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ericabilski/Downloads/"/>
    </mc:Choice>
  </mc:AlternateContent>
  <xr:revisionPtr revIDLastSave="0" documentId="8_{3B1CF465-9AF7-A741-A126-157347ABB28D}" xr6:coauthVersionLast="47" xr6:coauthVersionMax="47" xr10:uidLastSave="{00000000-0000-0000-0000-000000000000}"/>
  <bookViews>
    <workbookView xWindow="0" yWindow="600" windowWidth="16460" windowHeight="15940" xr2:uid="{082421DD-5AEF-A74E-9BF4-125569E5D6F9}"/>
  </bookViews>
  <sheets>
    <sheet name="Summary" sheetId="5" r:id="rId1"/>
    <sheet name="Dashboard" sheetId="4" r:id="rId2"/>
    <sheet name="Analysis" sheetId="1" r:id="rId3"/>
    <sheet name="Cleaned_Data" sheetId="3" r:id="rId4"/>
    <sheet name="Raw_Data" sheetId="2" r:id="rId5"/>
  </sheets>
  <definedNames>
    <definedName name="ExternalData_1" localSheetId="3" hidden="1">Cleaned_Data!$A$1:$H$1339</definedName>
    <definedName name="ExternalData_1" localSheetId="4" hidden="1">Raw_Data!$A$1:$G$1339</definedName>
  </definedName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4" l="1"/>
  <c r="H4" i="4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B2" i="3" a="1"/>
  <c r="B2" i="3" s="1"/>
  <c r="B3" i="3" a="1"/>
  <c r="B3" i="3" s="1"/>
  <c r="B4" i="3" a="1"/>
  <c r="B4" i="3" s="1"/>
  <c r="B5" i="3" a="1"/>
  <c r="B5" i="3" s="1"/>
  <c r="B6" i="3" a="1"/>
  <c r="B6" i="3" s="1"/>
  <c r="B7" i="3" a="1"/>
  <c r="B7" i="3" s="1"/>
  <c r="B8" i="3" a="1"/>
  <c r="B8" i="3" s="1"/>
  <c r="B9" i="3" a="1"/>
  <c r="B9" i="3" s="1"/>
  <c r="B10" i="3" a="1"/>
  <c r="B10" i="3" s="1"/>
  <c r="B11" i="3" a="1"/>
  <c r="B11" i="3" s="1"/>
  <c r="B12" i="3" a="1"/>
  <c r="B12" i="3" s="1"/>
  <c r="B13" i="3" a="1"/>
  <c r="B13" i="3" s="1"/>
  <c r="B14" i="3" a="1"/>
  <c r="B14" i="3" s="1"/>
  <c r="B15" i="3" a="1"/>
  <c r="B15" i="3" s="1"/>
  <c r="B16" i="3" a="1"/>
  <c r="B16" i="3" s="1"/>
  <c r="B17" i="3" a="1"/>
  <c r="B17" i="3" s="1"/>
  <c r="B18" i="3" a="1"/>
  <c r="B18" i="3" s="1"/>
  <c r="B19" i="3" a="1"/>
  <c r="B19" i="3" s="1"/>
  <c r="B20" i="3" a="1"/>
  <c r="B20" i="3" s="1"/>
  <c r="B21" i="3" a="1"/>
  <c r="B21" i="3" s="1"/>
  <c r="B22" i="3" a="1"/>
  <c r="B22" i="3" s="1"/>
  <c r="B23" i="3" a="1"/>
  <c r="B23" i="3" s="1"/>
  <c r="B24" i="3" a="1"/>
  <c r="B24" i="3" s="1"/>
  <c r="B25" i="3" a="1"/>
  <c r="B25" i="3" s="1"/>
  <c r="B26" i="3" a="1"/>
  <c r="B26" i="3" s="1"/>
  <c r="B27" i="3" a="1"/>
  <c r="B27" i="3" s="1"/>
  <c r="B28" i="3" a="1"/>
  <c r="B28" i="3" s="1"/>
  <c r="B29" i="3" a="1"/>
  <c r="B29" i="3" s="1"/>
  <c r="B30" i="3" a="1"/>
  <c r="B30" i="3" s="1"/>
  <c r="B31" i="3" a="1"/>
  <c r="B31" i="3" s="1"/>
  <c r="B32" i="3" a="1"/>
  <c r="B32" i="3" s="1"/>
  <c r="B33" i="3" a="1"/>
  <c r="B33" i="3" s="1"/>
  <c r="B34" i="3" a="1"/>
  <c r="B34" i="3" s="1"/>
  <c r="B35" i="3" a="1"/>
  <c r="B35" i="3" s="1"/>
  <c r="B36" i="3" a="1"/>
  <c r="B36" i="3" s="1"/>
  <c r="B37" i="3" a="1"/>
  <c r="B37" i="3" s="1"/>
  <c r="B38" i="3" a="1"/>
  <c r="B38" i="3" s="1"/>
  <c r="B39" i="3" a="1"/>
  <c r="B39" i="3" s="1"/>
  <c r="B40" i="3" a="1"/>
  <c r="B40" i="3" s="1"/>
  <c r="B41" i="3" a="1"/>
  <c r="B41" i="3" s="1"/>
  <c r="B42" i="3" a="1"/>
  <c r="B42" i="3" s="1"/>
  <c r="B43" i="3" a="1"/>
  <c r="B43" i="3" s="1"/>
  <c r="B44" i="3" a="1"/>
  <c r="B44" i="3" s="1"/>
  <c r="B45" i="3" a="1"/>
  <c r="B45" i="3" s="1"/>
  <c r="B46" i="3" a="1"/>
  <c r="B46" i="3" s="1"/>
  <c r="B47" i="3" a="1"/>
  <c r="B47" i="3" s="1"/>
  <c r="B48" i="3" a="1"/>
  <c r="B48" i="3" s="1"/>
  <c r="B49" i="3" a="1"/>
  <c r="B49" i="3" s="1"/>
  <c r="B50" i="3" a="1"/>
  <c r="B50" i="3" s="1"/>
  <c r="B51" i="3" a="1"/>
  <c r="B51" i="3" s="1"/>
  <c r="B52" i="3" a="1"/>
  <c r="B52" i="3" s="1"/>
  <c r="B53" i="3" a="1"/>
  <c r="B53" i="3" s="1"/>
  <c r="B54" i="3" a="1"/>
  <c r="B54" i="3" s="1"/>
  <c r="B55" i="3" a="1"/>
  <c r="B55" i="3" s="1"/>
  <c r="B56" i="3" a="1"/>
  <c r="B56" i="3" s="1"/>
  <c r="B57" i="3" a="1"/>
  <c r="B57" i="3" s="1"/>
  <c r="B58" i="3" a="1"/>
  <c r="B58" i="3" s="1"/>
  <c r="B59" i="3" a="1"/>
  <c r="B59" i="3" s="1"/>
  <c r="B60" i="3" a="1"/>
  <c r="B60" i="3" s="1"/>
  <c r="B61" i="3" a="1"/>
  <c r="B61" i="3" s="1"/>
  <c r="B62" i="3" a="1"/>
  <c r="B62" i="3" s="1"/>
  <c r="B63" i="3" a="1"/>
  <c r="B63" i="3" s="1"/>
  <c r="B64" i="3" a="1"/>
  <c r="B64" i="3" s="1"/>
  <c r="B65" i="3" a="1"/>
  <c r="B65" i="3" s="1"/>
  <c r="B66" i="3" a="1"/>
  <c r="B66" i="3" s="1"/>
  <c r="B67" i="3" a="1"/>
  <c r="B67" i="3" s="1"/>
  <c r="B68" i="3" a="1"/>
  <c r="B68" i="3" s="1"/>
  <c r="B69" i="3" a="1"/>
  <c r="B69" i="3" s="1"/>
  <c r="B70" i="3" a="1"/>
  <c r="B70" i="3" s="1"/>
  <c r="B71" i="3" a="1"/>
  <c r="B71" i="3" s="1"/>
  <c r="B72" i="3" a="1"/>
  <c r="B72" i="3" s="1"/>
  <c r="B73" i="3" a="1"/>
  <c r="B73" i="3" s="1"/>
  <c r="B74" i="3" a="1"/>
  <c r="B74" i="3" s="1"/>
  <c r="B75" i="3" a="1"/>
  <c r="B75" i="3" s="1"/>
  <c r="B76" i="3" a="1"/>
  <c r="B76" i="3" s="1"/>
  <c r="B77" i="3" a="1"/>
  <c r="B77" i="3" s="1"/>
  <c r="B78" i="3" a="1"/>
  <c r="B78" i="3" s="1"/>
  <c r="B79" i="3" a="1"/>
  <c r="B79" i="3" s="1"/>
  <c r="B80" i="3" a="1"/>
  <c r="B80" i="3" s="1"/>
  <c r="B81" i="3" a="1"/>
  <c r="B81" i="3" s="1"/>
  <c r="B82" i="3" a="1"/>
  <c r="B82" i="3" s="1"/>
  <c r="B83" i="3" a="1"/>
  <c r="B83" i="3" s="1"/>
  <c r="B84" i="3" a="1"/>
  <c r="B84" i="3" s="1"/>
  <c r="B85" i="3" a="1"/>
  <c r="B85" i="3" s="1"/>
  <c r="B86" i="3" a="1"/>
  <c r="B86" i="3" s="1"/>
  <c r="B87" i="3" a="1"/>
  <c r="B87" i="3" s="1"/>
  <c r="B88" i="3" a="1"/>
  <c r="B88" i="3" s="1"/>
  <c r="B89" i="3" a="1"/>
  <c r="B89" i="3" s="1"/>
  <c r="B90" i="3" a="1"/>
  <c r="B90" i="3" s="1"/>
  <c r="B91" i="3" a="1"/>
  <c r="B91" i="3" s="1"/>
  <c r="B92" i="3" a="1"/>
  <c r="B92" i="3" s="1"/>
  <c r="B93" i="3" a="1"/>
  <c r="B93" i="3" s="1"/>
  <c r="B94" i="3" a="1"/>
  <c r="B94" i="3" s="1"/>
  <c r="B95" i="3" a="1"/>
  <c r="B95" i="3" s="1"/>
  <c r="B96" i="3" a="1"/>
  <c r="B96" i="3" s="1"/>
  <c r="B97" i="3" a="1"/>
  <c r="B97" i="3" s="1"/>
  <c r="B98" i="3" a="1"/>
  <c r="B98" i="3" s="1"/>
  <c r="B99" i="3" a="1"/>
  <c r="B99" i="3" s="1"/>
  <c r="B100" i="3" a="1"/>
  <c r="B100" i="3" s="1"/>
  <c r="B101" i="3" a="1"/>
  <c r="B101" i="3" s="1"/>
  <c r="B102" i="3" a="1"/>
  <c r="B102" i="3" s="1"/>
  <c r="B103" i="3" a="1"/>
  <c r="B103" i="3" s="1"/>
  <c r="B104" i="3" a="1"/>
  <c r="B104" i="3" s="1"/>
  <c r="B105" i="3" a="1"/>
  <c r="B105" i="3" s="1"/>
  <c r="B106" i="3" a="1"/>
  <c r="B106" i="3" s="1"/>
  <c r="B107" i="3" a="1"/>
  <c r="B107" i="3" s="1"/>
  <c r="B108" i="3" a="1"/>
  <c r="B108" i="3" s="1"/>
  <c r="B109" i="3" a="1"/>
  <c r="B109" i="3" s="1"/>
  <c r="B110" i="3" a="1"/>
  <c r="B110" i="3" s="1"/>
  <c r="B111" i="3" a="1"/>
  <c r="B111" i="3" s="1"/>
  <c r="B112" i="3" a="1"/>
  <c r="B112" i="3" s="1"/>
  <c r="B113" i="3" a="1"/>
  <c r="B113" i="3" s="1"/>
  <c r="B114" i="3" a="1"/>
  <c r="B114" i="3" s="1"/>
  <c r="B115" i="3" a="1"/>
  <c r="B115" i="3" s="1"/>
  <c r="B116" i="3" a="1"/>
  <c r="B116" i="3" s="1"/>
  <c r="B117" i="3" a="1"/>
  <c r="B117" i="3" s="1"/>
  <c r="B118" i="3" a="1"/>
  <c r="B118" i="3" s="1"/>
  <c r="B119" i="3" a="1"/>
  <c r="B119" i="3" s="1"/>
  <c r="B120" i="3" a="1"/>
  <c r="B120" i="3" s="1"/>
  <c r="B121" i="3" a="1"/>
  <c r="B121" i="3" s="1"/>
  <c r="B122" i="3" a="1"/>
  <c r="B122" i="3" s="1"/>
  <c r="B123" i="3" a="1"/>
  <c r="B123" i="3" s="1"/>
  <c r="B124" i="3" a="1"/>
  <c r="B124" i="3" s="1"/>
  <c r="B125" i="3" a="1"/>
  <c r="B125" i="3" s="1"/>
  <c r="B126" i="3" a="1"/>
  <c r="B126" i="3" s="1"/>
  <c r="B127" i="3" a="1"/>
  <c r="B127" i="3" s="1"/>
  <c r="B128" i="3" a="1"/>
  <c r="B128" i="3" s="1"/>
  <c r="B129" i="3" a="1"/>
  <c r="B129" i="3" s="1"/>
  <c r="B130" i="3" a="1"/>
  <c r="B130" i="3" s="1"/>
  <c r="B131" i="3" a="1"/>
  <c r="B131" i="3" s="1"/>
  <c r="B132" i="3" a="1"/>
  <c r="B132" i="3" s="1"/>
  <c r="B133" i="3" a="1"/>
  <c r="B133" i="3" s="1"/>
  <c r="B134" i="3" a="1"/>
  <c r="B134" i="3" s="1"/>
  <c r="B135" i="3" a="1"/>
  <c r="B135" i="3" s="1"/>
  <c r="B136" i="3" a="1"/>
  <c r="B136" i="3" s="1"/>
  <c r="B137" i="3" a="1"/>
  <c r="B137" i="3" s="1"/>
  <c r="B138" i="3" a="1"/>
  <c r="B138" i="3" s="1"/>
  <c r="B139" i="3" a="1"/>
  <c r="B139" i="3" s="1"/>
  <c r="B140" i="3" a="1"/>
  <c r="B140" i="3" s="1"/>
  <c r="B141" i="3" a="1"/>
  <c r="B141" i="3" s="1"/>
  <c r="B142" i="3" a="1"/>
  <c r="B142" i="3" s="1"/>
  <c r="B143" i="3" a="1"/>
  <c r="B143" i="3" s="1"/>
  <c r="B144" i="3" a="1"/>
  <c r="B144" i="3" s="1"/>
  <c r="B145" i="3" a="1"/>
  <c r="B145" i="3" s="1"/>
  <c r="B146" i="3" a="1"/>
  <c r="B146" i="3" s="1"/>
  <c r="B147" i="3" a="1"/>
  <c r="B147" i="3" s="1"/>
  <c r="B148" i="3" a="1"/>
  <c r="B148" i="3" s="1"/>
  <c r="B149" i="3" a="1"/>
  <c r="B149" i="3" s="1"/>
  <c r="B150" i="3" a="1"/>
  <c r="B150" i="3" s="1"/>
  <c r="B151" i="3" a="1"/>
  <c r="B151" i="3" s="1"/>
  <c r="B152" i="3" a="1"/>
  <c r="B152" i="3" s="1"/>
  <c r="B153" i="3" a="1"/>
  <c r="B153" i="3" s="1"/>
  <c r="B154" i="3" a="1"/>
  <c r="B154" i="3" s="1"/>
  <c r="B155" i="3" a="1"/>
  <c r="B155" i="3" s="1"/>
  <c r="B156" i="3" a="1"/>
  <c r="B156" i="3" s="1"/>
  <c r="B157" i="3" a="1"/>
  <c r="B157" i="3" s="1"/>
  <c r="B158" i="3" a="1"/>
  <c r="B158" i="3" s="1"/>
  <c r="B159" i="3" a="1"/>
  <c r="B159" i="3" s="1"/>
  <c r="B160" i="3" a="1"/>
  <c r="B160" i="3" s="1"/>
  <c r="B161" i="3" a="1"/>
  <c r="B161" i="3" s="1"/>
  <c r="B162" i="3" a="1"/>
  <c r="B162" i="3" s="1"/>
  <c r="B163" i="3" a="1"/>
  <c r="B163" i="3" s="1"/>
  <c r="B164" i="3" a="1"/>
  <c r="B164" i="3" s="1"/>
  <c r="B165" i="3" a="1"/>
  <c r="B165" i="3" s="1"/>
  <c r="B166" i="3" a="1"/>
  <c r="B166" i="3" s="1"/>
  <c r="B167" i="3" a="1"/>
  <c r="B167" i="3" s="1"/>
  <c r="B168" i="3" a="1"/>
  <c r="B168" i="3" s="1"/>
  <c r="B169" i="3" a="1"/>
  <c r="B169" i="3" s="1"/>
  <c r="B170" i="3" a="1"/>
  <c r="B170" i="3" s="1"/>
  <c r="B171" i="3" a="1"/>
  <c r="B171" i="3" s="1"/>
  <c r="B172" i="3" a="1"/>
  <c r="B172" i="3" s="1"/>
  <c r="B173" i="3" a="1"/>
  <c r="B173" i="3" s="1"/>
  <c r="B174" i="3" a="1"/>
  <c r="B174" i="3" s="1"/>
  <c r="B175" i="3" a="1"/>
  <c r="B175" i="3" s="1"/>
  <c r="B176" i="3" a="1"/>
  <c r="B176" i="3" s="1"/>
  <c r="B177" i="3" a="1"/>
  <c r="B177" i="3" s="1"/>
  <c r="B178" i="3" a="1"/>
  <c r="B178" i="3" s="1"/>
  <c r="B179" i="3" a="1"/>
  <c r="B179" i="3" s="1"/>
  <c r="B180" i="3" a="1"/>
  <c r="B180" i="3" s="1"/>
  <c r="B181" i="3" a="1"/>
  <c r="B181" i="3" s="1"/>
  <c r="B182" i="3" a="1"/>
  <c r="B182" i="3" s="1"/>
  <c r="B183" i="3" a="1"/>
  <c r="B183" i="3" s="1"/>
  <c r="B184" i="3" a="1"/>
  <c r="B184" i="3" s="1"/>
  <c r="B185" i="3" a="1"/>
  <c r="B185" i="3" s="1"/>
  <c r="B186" i="3" a="1"/>
  <c r="B186" i="3" s="1"/>
  <c r="B187" i="3" a="1"/>
  <c r="B187" i="3" s="1"/>
  <c r="B188" i="3" a="1"/>
  <c r="B188" i="3" s="1"/>
  <c r="B189" i="3" a="1"/>
  <c r="B189" i="3" s="1"/>
  <c r="B190" i="3" a="1"/>
  <c r="B190" i="3" s="1"/>
  <c r="B191" i="3" a="1"/>
  <c r="B191" i="3" s="1"/>
  <c r="B192" i="3" a="1"/>
  <c r="B192" i="3" s="1"/>
  <c r="B193" i="3" a="1"/>
  <c r="B193" i="3" s="1"/>
  <c r="B194" i="3" a="1"/>
  <c r="B194" i="3" s="1"/>
  <c r="B195" i="3" a="1"/>
  <c r="B195" i="3" s="1"/>
  <c r="B196" i="3" a="1"/>
  <c r="B196" i="3" s="1"/>
  <c r="B197" i="3" a="1"/>
  <c r="B197" i="3" s="1"/>
  <c r="B198" i="3" a="1"/>
  <c r="B198" i="3" s="1"/>
  <c r="B199" i="3" a="1"/>
  <c r="B199" i="3" s="1"/>
  <c r="B200" i="3" a="1"/>
  <c r="B200" i="3" s="1"/>
  <c r="B201" i="3" a="1"/>
  <c r="B201" i="3" s="1"/>
  <c r="B202" i="3" a="1"/>
  <c r="B202" i="3" s="1"/>
  <c r="B203" i="3" a="1"/>
  <c r="B203" i="3" s="1"/>
  <c r="B204" i="3" a="1"/>
  <c r="B204" i="3" s="1"/>
  <c r="B205" i="3" a="1"/>
  <c r="B205" i="3" s="1"/>
  <c r="B206" i="3" a="1"/>
  <c r="B206" i="3" s="1"/>
  <c r="B207" i="3" a="1"/>
  <c r="B207" i="3" s="1"/>
  <c r="B208" i="3" a="1"/>
  <c r="B208" i="3" s="1"/>
  <c r="B209" i="3" a="1"/>
  <c r="B209" i="3" s="1"/>
  <c r="B210" i="3" a="1"/>
  <c r="B210" i="3" s="1"/>
  <c r="B211" i="3" a="1"/>
  <c r="B211" i="3" s="1"/>
  <c r="B212" i="3" a="1"/>
  <c r="B212" i="3" s="1"/>
  <c r="B213" i="3" a="1"/>
  <c r="B213" i="3" s="1"/>
  <c r="B214" i="3" a="1"/>
  <c r="B214" i="3" s="1"/>
  <c r="B215" i="3" a="1"/>
  <c r="B215" i="3" s="1"/>
  <c r="B216" i="3" a="1"/>
  <c r="B216" i="3" s="1"/>
  <c r="B217" i="3" a="1"/>
  <c r="B217" i="3" s="1"/>
  <c r="B218" i="3" a="1"/>
  <c r="B218" i="3" s="1"/>
  <c r="B219" i="3" a="1"/>
  <c r="B219" i="3" s="1"/>
  <c r="B220" i="3" a="1"/>
  <c r="B220" i="3" s="1"/>
  <c r="B221" i="3" a="1"/>
  <c r="B221" i="3" s="1"/>
  <c r="B222" i="3" a="1"/>
  <c r="B222" i="3" s="1"/>
  <c r="B223" i="3" a="1"/>
  <c r="B223" i="3" s="1"/>
  <c r="B224" i="3" a="1"/>
  <c r="B224" i="3" s="1"/>
  <c r="B225" i="3" a="1"/>
  <c r="B225" i="3" s="1"/>
  <c r="B226" i="3" a="1"/>
  <c r="B226" i="3" s="1"/>
  <c r="B227" i="3" a="1"/>
  <c r="B227" i="3" s="1"/>
  <c r="B228" i="3" a="1"/>
  <c r="B228" i="3" s="1"/>
  <c r="B229" i="3" a="1"/>
  <c r="B229" i="3" s="1"/>
  <c r="B230" i="3" a="1"/>
  <c r="B230" i="3" s="1"/>
  <c r="B231" i="3" a="1"/>
  <c r="B231" i="3" s="1"/>
  <c r="B232" i="3" a="1"/>
  <c r="B232" i="3" s="1"/>
  <c r="B233" i="3" a="1"/>
  <c r="B233" i="3" s="1"/>
  <c r="B234" i="3" a="1"/>
  <c r="B234" i="3" s="1"/>
  <c r="B235" i="3" a="1"/>
  <c r="B235" i="3" s="1"/>
  <c r="B236" i="3" a="1"/>
  <c r="B236" i="3" s="1"/>
  <c r="B237" i="3" a="1"/>
  <c r="B237" i="3" s="1"/>
  <c r="B238" i="3" a="1"/>
  <c r="B238" i="3" s="1"/>
  <c r="B239" i="3" a="1"/>
  <c r="B239" i="3" s="1"/>
  <c r="B240" i="3" a="1"/>
  <c r="B240" i="3" s="1"/>
  <c r="B241" i="3" a="1"/>
  <c r="B241" i="3" s="1"/>
  <c r="B242" i="3" a="1"/>
  <c r="B242" i="3" s="1"/>
  <c r="B243" i="3" a="1"/>
  <c r="B243" i="3" s="1"/>
  <c r="B244" i="3" a="1"/>
  <c r="B244" i="3" s="1"/>
  <c r="B245" i="3" a="1"/>
  <c r="B245" i="3" s="1"/>
  <c r="B246" i="3" a="1"/>
  <c r="B246" i="3" s="1"/>
  <c r="B247" i="3" a="1"/>
  <c r="B247" i="3" s="1"/>
  <c r="B248" i="3" a="1"/>
  <c r="B248" i="3" s="1"/>
  <c r="B249" i="3" a="1"/>
  <c r="B249" i="3" s="1"/>
  <c r="B250" i="3" a="1"/>
  <c r="B250" i="3" s="1"/>
  <c r="B251" i="3" a="1"/>
  <c r="B251" i="3" s="1"/>
  <c r="B252" i="3" a="1"/>
  <c r="B252" i="3" s="1"/>
  <c r="B253" i="3" a="1"/>
  <c r="B253" i="3" s="1"/>
  <c r="B254" i="3" a="1"/>
  <c r="B254" i="3" s="1"/>
  <c r="B255" i="3" a="1"/>
  <c r="B255" i="3" s="1"/>
  <c r="B256" i="3" a="1"/>
  <c r="B256" i="3" s="1"/>
  <c r="B257" i="3" a="1"/>
  <c r="B257" i="3" s="1"/>
  <c r="B258" i="3" a="1"/>
  <c r="B258" i="3" s="1"/>
  <c r="B259" i="3" a="1"/>
  <c r="B259" i="3" s="1"/>
  <c r="B260" i="3" a="1"/>
  <c r="B260" i="3" s="1"/>
  <c r="B261" i="3" a="1"/>
  <c r="B261" i="3" s="1"/>
  <c r="B262" i="3" a="1"/>
  <c r="B262" i="3" s="1"/>
  <c r="B263" i="3" a="1"/>
  <c r="B263" i="3" s="1"/>
  <c r="B264" i="3" a="1"/>
  <c r="B264" i="3" s="1"/>
  <c r="B265" i="3" a="1"/>
  <c r="B265" i="3" s="1"/>
  <c r="B266" i="3" a="1"/>
  <c r="B266" i="3" s="1"/>
  <c r="B267" i="3" a="1"/>
  <c r="B267" i="3" s="1"/>
  <c r="B268" i="3" a="1"/>
  <c r="B268" i="3" s="1"/>
  <c r="B269" i="3" a="1"/>
  <c r="B269" i="3" s="1"/>
  <c r="B270" i="3" a="1"/>
  <c r="B270" i="3" s="1"/>
  <c r="B271" i="3" a="1"/>
  <c r="B271" i="3" s="1"/>
  <c r="B272" i="3" a="1"/>
  <c r="B272" i="3" s="1"/>
  <c r="B273" i="3" a="1"/>
  <c r="B273" i="3" s="1"/>
  <c r="B274" i="3" a="1"/>
  <c r="B274" i="3" s="1"/>
  <c r="B275" i="3" a="1"/>
  <c r="B275" i="3" s="1"/>
  <c r="B276" i="3" a="1"/>
  <c r="B276" i="3" s="1"/>
  <c r="B277" i="3" a="1"/>
  <c r="B277" i="3" s="1"/>
  <c r="B278" i="3" a="1"/>
  <c r="B278" i="3" s="1"/>
  <c r="B279" i="3" a="1"/>
  <c r="B279" i="3" s="1"/>
  <c r="B280" i="3" a="1"/>
  <c r="B280" i="3" s="1"/>
  <c r="B281" i="3" a="1"/>
  <c r="B281" i="3" s="1"/>
  <c r="B282" i="3" a="1"/>
  <c r="B282" i="3" s="1"/>
  <c r="B283" i="3" a="1"/>
  <c r="B283" i="3" s="1"/>
  <c r="B284" i="3" a="1"/>
  <c r="B284" i="3" s="1"/>
  <c r="B285" i="3" a="1"/>
  <c r="B285" i="3" s="1"/>
  <c r="B286" i="3" a="1"/>
  <c r="B286" i="3" s="1"/>
  <c r="B287" i="3" a="1"/>
  <c r="B287" i="3" s="1"/>
  <c r="B288" i="3" a="1"/>
  <c r="B288" i="3" s="1"/>
  <c r="B289" i="3" a="1"/>
  <c r="B289" i="3" s="1"/>
  <c r="B290" i="3" a="1"/>
  <c r="B290" i="3" s="1"/>
  <c r="B291" i="3" a="1"/>
  <c r="B291" i="3" s="1"/>
  <c r="B292" i="3" a="1"/>
  <c r="B292" i="3" s="1"/>
  <c r="B293" i="3" a="1"/>
  <c r="B293" i="3" s="1"/>
  <c r="B294" i="3" a="1"/>
  <c r="B294" i="3" s="1"/>
  <c r="B295" i="3" a="1"/>
  <c r="B295" i="3" s="1"/>
  <c r="B296" i="3" a="1"/>
  <c r="B296" i="3" s="1"/>
  <c r="B297" i="3" a="1"/>
  <c r="B297" i="3" s="1"/>
  <c r="B298" i="3" a="1"/>
  <c r="B298" i="3" s="1"/>
  <c r="B299" i="3" a="1"/>
  <c r="B299" i="3" s="1"/>
  <c r="B300" i="3" a="1"/>
  <c r="B300" i="3" s="1"/>
  <c r="B301" i="3" a="1"/>
  <c r="B301" i="3" s="1"/>
  <c r="B302" i="3" a="1"/>
  <c r="B302" i="3" s="1"/>
  <c r="B303" i="3" a="1"/>
  <c r="B303" i="3" s="1"/>
  <c r="B304" i="3" a="1"/>
  <c r="B304" i="3" s="1"/>
  <c r="B305" i="3" a="1"/>
  <c r="B305" i="3" s="1"/>
  <c r="B306" i="3" a="1"/>
  <c r="B306" i="3" s="1"/>
  <c r="B307" i="3" a="1"/>
  <c r="B307" i="3" s="1"/>
  <c r="B308" i="3" a="1"/>
  <c r="B308" i="3" s="1"/>
  <c r="B309" i="3" a="1"/>
  <c r="B309" i="3" s="1"/>
  <c r="B310" i="3" a="1"/>
  <c r="B310" i="3" s="1"/>
  <c r="B311" i="3" a="1"/>
  <c r="B311" i="3" s="1"/>
  <c r="B312" i="3" a="1"/>
  <c r="B312" i="3" s="1"/>
  <c r="B313" i="3" a="1"/>
  <c r="B313" i="3" s="1"/>
  <c r="B314" i="3" a="1"/>
  <c r="B314" i="3" s="1"/>
  <c r="B315" i="3" a="1"/>
  <c r="B315" i="3" s="1"/>
  <c r="B316" i="3" a="1"/>
  <c r="B316" i="3" s="1"/>
  <c r="B317" i="3" a="1"/>
  <c r="B317" i="3" s="1"/>
  <c r="B318" i="3" a="1"/>
  <c r="B318" i="3" s="1"/>
  <c r="B319" i="3" a="1"/>
  <c r="B319" i="3" s="1"/>
  <c r="B320" i="3" a="1"/>
  <c r="B320" i="3" s="1"/>
  <c r="B321" i="3" a="1"/>
  <c r="B321" i="3" s="1"/>
  <c r="B322" i="3" a="1"/>
  <c r="B322" i="3" s="1"/>
  <c r="B323" i="3" a="1"/>
  <c r="B323" i="3" s="1"/>
  <c r="B324" i="3" a="1"/>
  <c r="B324" i="3" s="1"/>
  <c r="B325" i="3" a="1"/>
  <c r="B325" i="3" s="1"/>
  <c r="B326" i="3" a="1"/>
  <c r="B326" i="3" s="1"/>
  <c r="B327" i="3" a="1"/>
  <c r="B327" i="3" s="1"/>
  <c r="B328" i="3" a="1"/>
  <c r="B328" i="3" s="1"/>
  <c r="B329" i="3" a="1"/>
  <c r="B329" i="3" s="1"/>
  <c r="B330" i="3" a="1"/>
  <c r="B330" i="3" s="1"/>
  <c r="B331" i="3" a="1"/>
  <c r="B331" i="3" s="1"/>
  <c r="B332" i="3" a="1"/>
  <c r="B332" i="3" s="1"/>
  <c r="B333" i="3" a="1"/>
  <c r="B333" i="3" s="1"/>
  <c r="B334" i="3" a="1"/>
  <c r="B334" i="3" s="1"/>
  <c r="B335" i="3" a="1"/>
  <c r="B335" i="3" s="1"/>
  <c r="B336" i="3" a="1"/>
  <c r="B336" i="3" s="1"/>
  <c r="B337" i="3" a="1"/>
  <c r="B337" i="3" s="1"/>
  <c r="B338" i="3" a="1"/>
  <c r="B338" i="3" s="1"/>
  <c r="B339" i="3" a="1"/>
  <c r="B339" i="3" s="1"/>
  <c r="B340" i="3" a="1"/>
  <c r="B340" i="3" s="1"/>
  <c r="B341" i="3" a="1"/>
  <c r="B341" i="3" s="1"/>
  <c r="B342" i="3" a="1"/>
  <c r="B342" i="3" s="1"/>
  <c r="B343" i="3" a="1"/>
  <c r="B343" i="3" s="1"/>
  <c r="B344" i="3" a="1"/>
  <c r="B344" i="3" s="1"/>
  <c r="B345" i="3" a="1"/>
  <c r="B345" i="3" s="1"/>
  <c r="B346" i="3" a="1"/>
  <c r="B346" i="3" s="1"/>
  <c r="B347" i="3" a="1"/>
  <c r="B347" i="3" s="1"/>
  <c r="B348" i="3" a="1"/>
  <c r="B348" i="3" s="1"/>
  <c r="B349" i="3" a="1"/>
  <c r="B349" i="3" s="1"/>
  <c r="B350" i="3" a="1"/>
  <c r="B350" i="3" s="1"/>
  <c r="B351" i="3" a="1"/>
  <c r="B351" i="3" s="1"/>
  <c r="B352" i="3" a="1"/>
  <c r="B352" i="3" s="1"/>
  <c r="B353" i="3" a="1"/>
  <c r="B353" i="3" s="1"/>
  <c r="B354" i="3" a="1"/>
  <c r="B354" i="3" s="1"/>
  <c r="B355" i="3" a="1"/>
  <c r="B355" i="3" s="1"/>
  <c r="B356" i="3" a="1"/>
  <c r="B356" i="3" s="1"/>
  <c r="B357" i="3" a="1"/>
  <c r="B357" i="3" s="1"/>
  <c r="B358" i="3" a="1"/>
  <c r="B358" i="3" s="1"/>
  <c r="B359" i="3" a="1"/>
  <c r="B359" i="3" s="1"/>
  <c r="B360" i="3" a="1"/>
  <c r="B360" i="3" s="1"/>
  <c r="B361" i="3" a="1"/>
  <c r="B361" i="3" s="1"/>
  <c r="B362" i="3" a="1"/>
  <c r="B362" i="3" s="1"/>
  <c r="B363" i="3" a="1"/>
  <c r="B363" i="3" s="1"/>
  <c r="B364" i="3" a="1"/>
  <c r="B364" i="3" s="1"/>
  <c r="B365" i="3" a="1"/>
  <c r="B365" i="3" s="1"/>
  <c r="B366" i="3" a="1"/>
  <c r="B366" i="3" s="1"/>
  <c r="B367" i="3" a="1"/>
  <c r="B367" i="3" s="1"/>
  <c r="B368" i="3" a="1"/>
  <c r="B368" i="3" s="1"/>
  <c r="B369" i="3" a="1"/>
  <c r="B369" i="3" s="1"/>
  <c r="B370" i="3" a="1"/>
  <c r="B370" i="3" s="1"/>
  <c r="B371" i="3" a="1"/>
  <c r="B371" i="3" s="1"/>
  <c r="B372" i="3" a="1"/>
  <c r="B372" i="3" s="1"/>
  <c r="B373" i="3" a="1"/>
  <c r="B373" i="3" s="1"/>
  <c r="B374" i="3" a="1"/>
  <c r="B374" i="3" s="1"/>
  <c r="B375" i="3" a="1"/>
  <c r="B375" i="3" s="1"/>
  <c r="B376" i="3" a="1"/>
  <c r="B376" i="3" s="1"/>
  <c r="B377" i="3" a="1"/>
  <c r="B377" i="3" s="1"/>
  <c r="B378" i="3" a="1"/>
  <c r="B378" i="3" s="1"/>
  <c r="B379" i="3" a="1"/>
  <c r="B379" i="3" s="1"/>
  <c r="B380" i="3" a="1"/>
  <c r="B380" i="3" s="1"/>
  <c r="B381" i="3" a="1"/>
  <c r="B381" i="3" s="1"/>
  <c r="B382" i="3" a="1"/>
  <c r="B382" i="3" s="1"/>
  <c r="B383" i="3" a="1"/>
  <c r="B383" i="3" s="1"/>
  <c r="B384" i="3" a="1"/>
  <c r="B384" i="3" s="1"/>
  <c r="B385" i="3" a="1"/>
  <c r="B385" i="3" s="1"/>
  <c r="B386" i="3" a="1"/>
  <c r="B386" i="3" s="1"/>
  <c r="B387" i="3" a="1"/>
  <c r="B387" i="3" s="1"/>
  <c r="B388" i="3" a="1"/>
  <c r="B388" i="3" s="1"/>
  <c r="B389" i="3" a="1"/>
  <c r="B389" i="3" s="1"/>
  <c r="B390" i="3" a="1"/>
  <c r="B390" i="3" s="1"/>
  <c r="B391" i="3" a="1"/>
  <c r="B391" i="3" s="1"/>
  <c r="B392" i="3" a="1"/>
  <c r="B392" i="3" s="1"/>
  <c r="B393" i="3" a="1"/>
  <c r="B393" i="3" s="1"/>
  <c r="B394" i="3" a="1"/>
  <c r="B394" i="3" s="1"/>
  <c r="B395" i="3" a="1"/>
  <c r="B395" i="3" s="1"/>
  <c r="B396" i="3" a="1"/>
  <c r="B396" i="3" s="1"/>
  <c r="B397" i="3" a="1"/>
  <c r="B397" i="3" s="1"/>
  <c r="B398" i="3" a="1"/>
  <c r="B398" i="3" s="1"/>
  <c r="B399" i="3" a="1"/>
  <c r="B399" i="3" s="1"/>
  <c r="B400" i="3" a="1"/>
  <c r="B400" i="3" s="1"/>
  <c r="B401" i="3" a="1"/>
  <c r="B401" i="3" s="1"/>
  <c r="B402" i="3" a="1"/>
  <c r="B402" i="3" s="1"/>
  <c r="B403" i="3" a="1"/>
  <c r="B403" i="3" s="1"/>
  <c r="B404" i="3" a="1"/>
  <c r="B404" i="3" s="1"/>
  <c r="B405" i="3" a="1"/>
  <c r="B405" i="3" s="1"/>
  <c r="B406" i="3" a="1"/>
  <c r="B406" i="3" s="1"/>
  <c r="B407" i="3" a="1"/>
  <c r="B407" i="3" s="1"/>
  <c r="B408" i="3" a="1"/>
  <c r="B408" i="3" s="1"/>
  <c r="B409" i="3" a="1"/>
  <c r="B409" i="3" s="1"/>
  <c r="B410" i="3" a="1"/>
  <c r="B410" i="3" s="1"/>
  <c r="B411" i="3" a="1"/>
  <c r="B411" i="3" s="1"/>
  <c r="B412" i="3" a="1"/>
  <c r="B412" i="3" s="1"/>
  <c r="B413" i="3" a="1"/>
  <c r="B413" i="3" s="1"/>
  <c r="B414" i="3" a="1"/>
  <c r="B414" i="3" s="1"/>
  <c r="B415" i="3" a="1"/>
  <c r="B415" i="3" s="1"/>
  <c r="B416" i="3" a="1"/>
  <c r="B416" i="3" s="1"/>
  <c r="B417" i="3" a="1"/>
  <c r="B417" i="3" s="1"/>
  <c r="B418" i="3" a="1"/>
  <c r="B418" i="3" s="1"/>
  <c r="B419" i="3" a="1"/>
  <c r="B419" i="3" s="1"/>
  <c r="B420" i="3" a="1"/>
  <c r="B420" i="3" s="1"/>
  <c r="B421" i="3" a="1"/>
  <c r="B421" i="3" s="1"/>
  <c r="B422" i="3" a="1"/>
  <c r="B422" i="3" s="1"/>
  <c r="B423" i="3" a="1"/>
  <c r="B423" i="3" s="1"/>
  <c r="B424" i="3" a="1"/>
  <c r="B424" i="3" s="1"/>
  <c r="B425" i="3" a="1"/>
  <c r="B425" i="3" s="1"/>
  <c r="B426" i="3" a="1"/>
  <c r="B426" i="3" s="1"/>
  <c r="B427" i="3" a="1"/>
  <c r="B427" i="3" s="1"/>
  <c r="B428" i="3" a="1"/>
  <c r="B428" i="3" s="1"/>
  <c r="B429" i="3" a="1"/>
  <c r="B429" i="3" s="1"/>
  <c r="B430" i="3" a="1"/>
  <c r="B430" i="3" s="1"/>
  <c r="B431" i="3" a="1"/>
  <c r="B431" i="3" s="1"/>
  <c r="B432" i="3" a="1"/>
  <c r="B432" i="3" s="1"/>
  <c r="B433" i="3" a="1"/>
  <c r="B433" i="3" s="1"/>
  <c r="B434" i="3" a="1"/>
  <c r="B434" i="3" s="1"/>
  <c r="B435" i="3" a="1"/>
  <c r="B435" i="3" s="1"/>
  <c r="B436" i="3" a="1"/>
  <c r="B436" i="3" s="1"/>
  <c r="B437" i="3" a="1"/>
  <c r="B437" i="3" s="1"/>
  <c r="B438" i="3" a="1"/>
  <c r="B438" i="3" s="1"/>
  <c r="B439" i="3" a="1"/>
  <c r="B439" i="3" s="1"/>
  <c r="B440" i="3" a="1"/>
  <c r="B440" i="3" s="1"/>
  <c r="B441" i="3" a="1"/>
  <c r="B441" i="3" s="1"/>
  <c r="B442" i="3" a="1"/>
  <c r="B442" i="3" s="1"/>
  <c r="B443" i="3" a="1"/>
  <c r="B443" i="3" s="1"/>
  <c r="B444" i="3" a="1"/>
  <c r="B444" i="3" s="1"/>
  <c r="B445" i="3" a="1"/>
  <c r="B445" i="3" s="1"/>
  <c r="B446" i="3" a="1"/>
  <c r="B446" i="3" s="1"/>
  <c r="B447" i="3" a="1"/>
  <c r="B447" i="3" s="1"/>
  <c r="B448" i="3" a="1"/>
  <c r="B448" i="3" s="1"/>
  <c r="B449" i="3" a="1"/>
  <c r="B449" i="3" s="1"/>
  <c r="B450" i="3" a="1"/>
  <c r="B450" i="3" s="1"/>
  <c r="B451" i="3" a="1"/>
  <c r="B451" i="3" s="1"/>
  <c r="B452" i="3" a="1"/>
  <c r="B452" i="3" s="1"/>
  <c r="B453" i="3" a="1"/>
  <c r="B453" i="3" s="1"/>
  <c r="B454" i="3" a="1"/>
  <c r="B454" i="3" s="1"/>
  <c r="B455" i="3" a="1"/>
  <c r="B455" i="3" s="1"/>
  <c r="B456" i="3" a="1"/>
  <c r="B456" i="3" s="1"/>
  <c r="B457" i="3" a="1"/>
  <c r="B457" i="3" s="1"/>
  <c r="B458" i="3" a="1"/>
  <c r="B458" i="3" s="1"/>
  <c r="B459" i="3" a="1"/>
  <c r="B459" i="3" s="1"/>
  <c r="B460" i="3" a="1"/>
  <c r="B460" i="3" s="1"/>
  <c r="B461" i="3" a="1"/>
  <c r="B461" i="3" s="1"/>
  <c r="B462" i="3" a="1"/>
  <c r="B462" i="3" s="1"/>
  <c r="B463" i="3" a="1"/>
  <c r="B463" i="3" s="1"/>
  <c r="B464" i="3" a="1"/>
  <c r="B464" i="3" s="1"/>
  <c r="B465" i="3" a="1"/>
  <c r="B465" i="3" s="1"/>
  <c r="B466" i="3" a="1"/>
  <c r="B466" i="3" s="1"/>
  <c r="B467" i="3" a="1"/>
  <c r="B467" i="3" s="1"/>
  <c r="B468" i="3" a="1"/>
  <c r="B468" i="3" s="1"/>
  <c r="B469" i="3" a="1"/>
  <c r="B469" i="3" s="1"/>
  <c r="B470" i="3" a="1"/>
  <c r="B470" i="3" s="1"/>
  <c r="B471" i="3" a="1"/>
  <c r="B471" i="3" s="1"/>
  <c r="B472" i="3" a="1"/>
  <c r="B472" i="3" s="1"/>
  <c r="B473" i="3" a="1"/>
  <c r="B473" i="3" s="1"/>
  <c r="B474" i="3" a="1"/>
  <c r="B474" i="3" s="1"/>
  <c r="B475" i="3" a="1"/>
  <c r="B475" i="3" s="1"/>
  <c r="B476" i="3" a="1"/>
  <c r="B476" i="3" s="1"/>
  <c r="B477" i="3" a="1"/>
  <c r="B477" i="3" s="1"/>
  <c r="B478" i="3" a="1"/>
  <c r="B478" i="3" s="1"/>
  <c r="B479" i="3" a="1"/>
  <c r="B479" i="3" s="1"/>
  <c r="B480" i="3" a="1"/>
  <c r="B480" i="3" s="1"/>
  <c r="B481" i="3" a="1"/>
  <c r="B481" i="3" s="1"/>
  <c r="B482" i="3" a="1"/>
  <c r="B482" i="3" s="1"/>
  <c r="B483" i="3" a="1"/>
  <c r="B483" i="3" s="1"/>
  <c r="B484" i="3" a="1"/>
  <c r="B484" i="3" s="1"/>
  <c r="B485" i="3" a="1"/>
  <c r="B485" i="3" s="1"/>
  <c r="B486" i="3" a="1"/>
  <c r="B486" i="3" s="1"/>
  <c r="B487" i="3" a="1"/>
  <c r="B487" i="3" s="1"/>
  <c r="B488" i="3" a="1"/>
  <c r="B488" i="3" s="1"/>
  <c r="B489" i="3" a="1"/>
  <c r="B489" i="3" s="1"/>
  <c r="B490" i="3" a="1"/>
  <c r="B490" i="3" s="1"/>
  <c r="B491" i="3" a="1"/>
  <c r="B491" i="3" s="1"/>
  <c r="B492" i="3" a="1"/>
  <c r="B492" i="3" s="1"/>
  <c r="B493" i="3" a="1"/>
  <c r="B493" i="3" s="1"/>
  <c r="B494" i="3" a="1"/>
  <c r="B494" i="3" s="1"/>
  <c r="B495" i="3" a="1"/>
  <c r="B495" i="3" s="1"/>
  <c r="B496" i="3" a="1"/>
  <c r="B496" i="3" s="1"/>
  <c r="B497" i="3" a="1"/>
  <c r="B497" i="3" s="1"/>
  <c r="B498" i="3" a="1"/>
  <c r="B498" i="3" s="1"/>
  <c r="B499" i="3" a="1"/>
  <c r="B499" i="3" s="1"/>
  <c r="B500" i="3" a="1"/>
  <c r="B500" i="3" s="1"/>
  <c r="B501" i="3" a="1"/>
  <c r="B501" i="3" s="1"/>
  <c r="B502" i="3" a="1"/>
  <c r="B502" i="3" s="1"/>
  <c r="B503" i="3" a="1"/>
  <c r="B503" i="3" s="1"/>
  <c r="B504" i="3" a="1"/>
  <c r="B504" i="3" s="1"/>
  <c r="B505" i="3" a="1"/>
  <c r="B505" i="3" s="1"/>
  <c r="B506" i="3" a="1"/>
  <c r="B506" i="3" s="1"/>
  <c r="B507" i="3" a="1"/>
  <c r="B507" i="3" s="1"/>
  <c r="B508" i="3" a="1"/>
  <c r="B508" i="3" s="1"/>
  <c r="B509" i="3" a="1"/>
  <c r="B509" i="3" s="1"/>
  <c r="B510" i="3" a="1"/>
  <c r="B510" i="3" s="1"/>
  <c r="B511" i="3" a="1"/>
  <c r="B511" i="3" s="1"/>
  <c r="B512" i="3" a="1"/>
  <c r="B512" i="3" s="1"/>
  <c r="B513" i="3" a="1"/>
  <c r="B513" i="3" s="1"/>
  <c r="B514" i="3" a="1"/>
  <c r="B514" i="3" s="1"/>
  <c r="B515" i="3" a="1"/>
  <c r="B515" i="3" s="1"/>
  <c r="B516" i="3" a="1"/>
  <c r="B516" i="3" s="1"/>
  <c r="B517" i="3" a="1"/>
  <c r="B517" i="3" s="1"/>
  <c r="B518" i="3" a="1"/>
  <c r="B518" i="3" s="1"/>
  <c r="B519" i="3" a="1"/>
  <c r="B519" i="3" s="1"/>
  <c r="B520" i="3" a="1"/>
  <c r="B520" i="3" s="1"/>
  <c r="B521" i="3" a="1"/>
  <c r="B521" i="3" s="1"/>
  <c r="B522" i="3" a="1"/>
  <c r="B522" i="3" s="1"/>
  <c r="B523" i="3" a="1"/>
  <c r="B523" i="3" s="1"/>
  <c r="B524" i="3" a="1"/>
  <c r="B524" i="3" s="1"/>
  <c r="B525" i="3" a="1"/>
  <c r="B525" i="3" s="1"/>
  <c r="B526" i="3" a="1"/>
  <c r="B526" i="3" s="1"/>
  <c r="B527" i="3" a="1"/>
  <c r="B527" i="3" s="1"/>
  <c r="B528" i="3" a="1"/>
  <c r="B528" i="3" s="1"/>
  <c r="B529" i="3" a="1"/>
  <c r="B529" i="3" s="1"/>
  <c r="B530" i="3" a="1"/>
  <c r="B530" i="3" s="1"/>
  <c r="B531" i="3" a="1"/>
  <c r="B531" i="3" s="1"/>
  <c r="B532" i="3" a="1"/>
  <c r="B532" i="3" s="1"/>
  <c r="B533" i="3" a="1"/>
  <c r="B533" i="3" s="1"/>
  <c r="B534" i="3" a="1"/>
  <c r="B534" i="3" s="1"/>
  <c r="B535" i="3" a="1"/>
  <c r="B535" i="3" s="1"/>
  <c r="B536" i="3" a="1"/>
  <c r="B536" i="3" s="1"/>
  <c r="B537" i="3" a="1"/>
  <c r="B537" i="3" s="1"/>
  <c r="B538" i="3" a="1"/>
  <c r="B538" i="3" s="1"/>
  <c r="B539" i="3" a="1"/>
  <c r="B539" i="3" s="1"/>
  <c r="B540" i="3" a="1"/>
  <c r="B540" i="3" s="1"/>
  <c r="B541" i="3" a="1"/>
  <c r="B541" i="3" s="1"/>
  <c r="B542" i="3" a="1"/>
  <c r="B542" i="3" s="1"/>
  <c r="B543" i="3" a="1"/>
  <c r="B543" i="3" s="1"/>
  <c r="B544" i="3" a="1"/>
  <c r="B544" i="3" s="1"/>
  <c r="B545" i="3" a="1"/>
  <c r="B545" i="3" s="1"/>
  <c r="B546" i="3" a="1"/>
  <c r="B546" i="3" s="1"/>
  <c r="B547" i="3" a="1"/>
  <c r="B547" i="3" s="1"/>
  <c r="B548" i="3" a="1"/>
  <c r="B548" i="3" s="1"/>
  <c r="B549" i="3" a="1"/>
  <c r="B549" i="3" s="1"/>
  <c r="B550" i="3" a="1"/>
  <c r="B550" i="3" s="1"/>
  <c r="B551" i="3" a="1"/>
  <c r="B551" i="3" s="1"/>
  <c r="B552" i="3" a="1"/>
  <c r="B552" i="3" s="1"/>
  <c r="B553" i="3" a="1"/>
  <c r="B553" i="3" s="1"/>
  <c r="B554" i="3" a="1"/>
  <c r="B554" i="3" s="1"/>
  <c r="B555" i="3" a="1"/>
  <c r="B555" i="3" s="1"/>
  <c r="B556" i="3" a="1"/>
  <c r="B556" i="3" s="1"/>
  <c r="B557" i="3" a="1"/>
  <c r="B557" i="3" s="1"/>
  <c r="B558" i="3" a="1"/>
  <c r="B558" i="3" s="1"/>
  <c r="B559" i="3" a="1"/>
  <c r="B559" i="3" s="1"/>
  <c r="B560" i="3" a="1"/>
  <c r="B560" i="3" s="1"/>
  <c r="B561" i="3" a="1"/>
  <c r="B561" i="3" s="1"/>
  <c r="B562" i="3" a="1"/>
  <c r="B562" i="3" s="1"/>
  <c r="B563" i="3" a="1"/>
  <c r="B563" i="3" s="1"/>
  <c r="B564" i="3" a="1"/>
  <c r="B564" i="3" s="1"/>
  <c r="B565" i="3" a="1"/>
  <c r="B565" i="3" s="1"/>
  <c r="B566" i="3" a="1"/>
  <c r="B566" i="3" s="1"/>
  <c r="B567" i="3" a="1"/>
  <c r="B567" i="3" s="1"/>
  <c r="B568" i="3" a="1"/>
  <c r="B568" i="3" s="1"/>
  <c r="B569" i="3" a="1"/>
  <c r="B569" i="3" s="1"/>
  <c r="B570" i="3" a="1"/>
  <c r="B570" i="3" s="1"/>
  <c r="B571" i="3" a="1"/>
  <c r="B571" i="3" s="1"/>
  <c r="B572" i="3" a="1"/>
  <c r="B572" i="3" s="1"/>
  <c r="B573" i="3" a="1"/>
  <c r="B573" i="3" s="1"/>
  <c r="B574" i="3" a="1"/>
  <c r="B574" i="3" s="1"/>
  <c r="B575" i="3" a="1"/>
  <c r="B575" i="3" s="1"/>
  <c r="B576" i="3" a="1"/>
  <c r="B576" i="3" s="1"/>
  <c r="B577" i="3" a="1"/>
  <c r="B577" i="3" s="1"/>
  <c r="B578" i="3" a="1"/>
  <c r="B578" i="3" s="1"/>
  <c r="B579" i="3" a="1"/>
  <c r="B579" i="3" s="1"/>
  <c r="B580" i="3" a="1"/>
  <c r="B580" i="3" s="1"/>
  <c r="B581" i="3" a="1"/>
  <c r="B581" i="3" s="1"/>
  <c r="B582" i="3" a="1"/>
  <c r="B582" i="3" s="1"/>
  <c r="B583" i="3" a="1"/>
  <c r="B583" i="3" s="1"/>
  <c r="B584" i="3" a="1"/>
  <c r="B584" i="3" s="1"/>
  <c r="B585" i="3" a="1"/>
  <c r="B585" i="3" s="1"/>
  <c r="B586" i="3" a="1"/>
  <c r="B586" i="3" s="1"/>
  <c r="B587" i="3" a="1"/>
  <c r="B587" i="3" s="1"/>
  <c r="B588" i="3" a="1"/>
  <c r="B588" i="3" s="1"/>
  <c r="B589" i="3" a="1"/>
  <c r="B589" i="3" s="1"/>
  <c r="B590" i="3" a="1"/>
  <c r="B590" i="3" s="1"/>
  <c r="B591" i="3" a="1"/>
  <c r="B591" i="3" s="1"/>
  <c r="B592" i="3" a="1"/>
  <c r="B592" i="3" s="1"/>
  <c r="B593" i="3" a="1"/>
  <c r="B593" i="3" s="1"/>
  <c r="B594" i="3" a="1"/>
  <c r="B594" i="3" s="1"/>
  <c r="B595" i="3" a="1"/>
  <c r="B595" i="3" s="1"/>
  <c r="B596" i="3" a="1"/>
  <c r="B596" i="3" s="1"/>
  <c r="B597" i="3" a="1"/>
  <c r="B597" i="3" s="1"/>
  <c r="B598" i="3" a="1"/>
  <c r="B598" i="3" s="1"/>
  <c r="B599" i="3" a="1"/>
  <c r="B599" i="3" s="1"/>
  <c r="B600" i="3" a="1"/>
  <c r="B600" i="3" s="1"/>
  <c r="B601" i="3" a="1"/>
  <c r="B601" i="3" s="1"/>
  <c r="B602" i="3" a="1"/>
  <c r="B602" i="3" s="1"/>
  <c r="B603" i="3" a="1"/>
  <c r="B603" i="3" s="1"/>
  <c r="B604" i="3" a="1"/>
  <c r="B604" i="3" s="1"/>
  <c r="B605" i="3" a="1"/>
  <c r="B605" i="3" s="1"/>
  <c r="B606" i="3" a="1"/>
  <c r="B606" i="3" s="1"/>
  <c r="B607" i="3" a="1"/>
  <c r="B607" i="3" s="1"/>
  <c r="B608" i="3" a="1"/>
  <c r="B608" i="3" s="1"/>
  <c r="B609" i="3" a="1"/>
  <c r="B609" i="3" s="1"/>
  <c r="B610" i="3" a="1"/>
  <c r="B610" i="3" s="1"/>
  <c r="B611" i="3" a="1"/>
  <c r="B611" i="3" s="1"/>
  <c r="B612" i="3" a="1"/>
  <c r="B612" i="3" s="1"/>
  <c r="B613" i="3" a="1"/>
  <c r="B613" i="3" s="1"/>
  <c r="B614" i="3" a="1"/>
  <c r="B614" i="3" s="1"/>
  <c r="B615" i="3" a="1"/>
  <c r="B615" i="3" s="1"/>
  <c r="B616" i="3" a="1"/>
  <c r="B616" i="3" s="1"/>
  <c r="B617" i="3" a="1"/>
  <c r="B617" i="3" s="1"/>
  <c r="B618" i="3" a="1"/>
  <c r="B618" i="3" s="1"/>
  <c r="B619" i="3" a="1"/>
  <c r="B619" i="3" s="1"/>
  <c r="B620" i="3" a="1"/>
  <c r="B620" i="3" s="1"/>
  <c r="B621" i="3" a="1"/>
  <c r="B621" i="3" s="1"/>
  <c r="B622" i="3" a="1"/>
  <c r="B622" i="3" s="1"/>
  <c r="B623" i="3" a="1"/>
  <c r="B623" i="3" s="1"/>
  <c r="B624" i="3" a="1"/>
  <c r="B624" i="3" s="1"/>
  <c r="B625" i="3" a="1"/>
  <c r="B625" i="3" s="1"/>
  <c r="B626" i="3" a="1"/>
  <c r="B626" i="3" s="1"/>
  <c r="B627" i="3" a="1"/>
  <c r="B627" i="3" s="1"/>
  <c r="B628" i="3" a="1"/>
  <c r="B628" i="3" s="1"/>
  <c r="B629" i="3" a="1"/>
  <c r="B629" i="3" s="1"/>
  <c r="B630" i="3" a="1"/>
  <c r="B630" i="3" s="1"/>
  <c r="B631" i="3" a="1"/>
  <c r="B631" i="3" s="1"/>
  <c r="B632" i="3" a="1"/>
  <c r="B632" i="3" s="1"/>
  <c r="B633" i="3" a="1"/>
  <c r="B633" i="3" s="1"/>
  <c r="B634" i="3" a="1"/>
  <c r="B634" i="3" s="1"/>
  <c r="B635" i="3" a="1"/>
  <c r="B635" i="3" s="1"/>
  <c r="B636" i="3" a="1"/>
  <c r="B636" i="3" s="1"/>
  <c r="B637" i="3" a="1"/>
  <c r="B637" i="3" s="1"/>
  <c r="B638" i="3" a="1"/>
  <c r="B638" i="3" s="1"/>
  <c r="B639" i="3" a="1"/>
  <c r="B639" i="3" s="1"/>
  <c r="B640" i="3" a="1"/>
  <c r="B640" i="3" s="1"/>
  <c r="B641" i="3" a="1"/>
  <c r="B641" i="3" s="1"/>
  <c r="B642" i="3" a="1"/>
  <c r="B642" i="3" s="1"/>
  <c r="B643" i="3" a="1"/>
  <c r="B643" i="3" s="1"/>
  <c r="B644" i="3" a="1"/>
  <c r="B644" i="3" s="1"/>
  <c r="B645" i="3" a="1"/>
  <c r="B645" i="3" s="1"/>
  <c r="B646" i="3" a="1"/>
  <c r="B646" i="3" s="1"/>
  <c r="B647" i="3" a="1"/>
  <c r="B647" i="3" s="1"/>
  <c r="B648" i="3" a="1"/>
  <c r="B648" i="3" s="1"/>
  <c r="B649" i="3" a="1"/>
  <c r="B649" i="3" s="1"/>
  <c r="B650" i="3" a="1"/>
  <c r="B650" i="3" s="1"/>
  <c r="B651" i="3" a="1"/>
  <c r="B651" i="3" s="1"/>
  <c r="B652" i="3" a="1"/>
  <c r="B652" i="3" s="1"/>
  <c r="B653" i="3" a="1"/>
  <c r="B653" i="3" s="1"/>
  <c r="B654" i="3" a="1"/>
  <c r="B654" i="3" s="1"/>
  <c r="B655" i="3" a="1"/>
  <c r="B655" i="3" s="1"/>
  <c r="B656" i="3" a="1"/>
  <c r="B656" i="3" s="1"/>
  <c r="B657" i="3" a="1"/>
  <c r="B657" i="3" s="1"/>
  <c r="B658" i="3" a="1"/>
  <c r="B658" i="3" s="1"/>
  <c r="B659" i="3" a="1"/>
  <c r="B659" i="3" s="1"/>
  <c r="B660" i="3" a="1"/>
  <c r="B660" i="3" s="1"/>
  <c r="B661" i="3" a="1"/>
  <c r="B661" i="3" s="1"/>
  <c r="B662" i="3" a="1"/>
  <c r="B662" i="3" s="1"/>
  <c r="B663" i="3" a="1"/>
  <c r="B663" i="3" s="1"/>
  <c r="B664" i="3" a="1"/>
  <c r="B664" i="3" s="1"/>
  <c r="B665" i="3" a="1"/>
  <c r="B665" i="3" s="1"/>
  <c r="B666" i="3" a="1"/>
  <c r="B666" i="3" s="1"/>
  <c r="B667" i="3" a="1"/>
  <c r="B667" i="3" s="1"/>
  <c r="B668" i="3" a="1"/>
  <c r="B668" i="3" s="1"/>
  <c r="B669" i="3" a="1"/>
  <c r="B669" i="3" s="1"/>
  <c r="B670" i="3" a="1"/>
  <c r="B670" i="3" s="1"/>
  <c r="B671" i="3" a="1"/>
  <c r="B671" i="3" s="1"/>
  <c r="B672" i="3" a="1"/>
  <c r="B672" i="3" s="1"/>
  <c r="B673" i="3" a="1"/>
  <c r="B673" i="3" s="1"/>
  <c r="B674" i="3" a="1"/>
  <c r="B674" i="3" s="1"/>
  <c r="B675" i="3" a="1"/>
  <c r="B675" i="3" s="1"/>
  <c r="B676" i="3" a="1"/>
  <c r="B676" i="3" s="1"/>
  <c r="B677" i="3" a="1"/>
  <c r="B677" i="3" s="1"/>
  <c r="B678" i="3" a="1"/>
  <c r="B678" i="3" s="1"/>
  <c r="B679" i="3" a="1"/>
  <c r="B679" i="3" s="1"/>
  <c r="B680" i="3" a="1"/>
  <c r="B680" i="3" s="1"/>
  <c r="B681" i="3" a="1"/>
  <c r="B681" i="3" s="1"/>
  <c r="B682" i="3" a="1"/>
  <c r="B682" i="3" s="1"/>
  <c r="B683" i="3" a="1"/>
  <c r="B683" i="3" s="1"/>
  <c r="B684" i="3" a="1"/>
  <c r="B684" i="3" s="1"/>
  <c r="B685" i="3" a="1"/>
  <c r="B685" i="3" s="1"/>
  <c r="B686" i="3" a="1"/>
  <c r="B686" i="3" s="1"/>
  <c r="B687" i="3" a="1"/>
  <c r="B687" i="3" s="1"/>
  <c r="B688" i="3" a="1"/>
  <c r="B688" i="3" s="1"/>
  <c r="B689" i="3" a="1"/>
  <c r="B689" i="3" s="1"/>
  <c r="B690" i="3" a="1"/>
  <c r="B690" i="3" s="1"/>
  <c r="B691" i="3" a="1"/>
  <c r="B691" i="3" s="1"/>
  <c r="B692" i="3" a="1"/>
  <c r="B692" i="3" s="1"/>
  <c r="B693" i="3" a="1"/>
  <c r="B693" i="3" s="1"/>
  <c r="B694" i="3" a="1"/>
  <c r="B694" i="3" s="1"/>
  <c r="B695" i="3" a="1"/>
  <c r="B695" i="3" s="1"/>
  <c r="B696" i="3" a="1"/>
  <c r="B696" i="3" s="1"/>
  <c r="B697" i="3" a="1"/>
  <c r="B697" i="3" s="1"/>
  <c r="B698" i="3" a="1"/>
  <c r="B698" i="3" s="1"/>
  <c r="B699" i="3" a="1"/>
  <c r="B699" i="3" s="1"/>
  <c r="B700" i="3" a="1"/>
  <c r="B700" i="3" s="1"/>
  <c r="B701" i="3" a="1"/>
  <c r="B701" i="3" s="1"/>
  <c r="B702" i="3" a="1"/>
  <c r="B702" i="3" s="1"/>
  <c r="B703" i="3" a="1"/>
  <c r="B703" i="3" s="1"/>
  <c r="B704" i="3" a="1"/>
  <c r="B704" i="3" s="1"/>
  <c r="B705" i="3" a="1"/>
  <c r="B705" i="3" s="1"/>
  <c r="B706" i="3" a="1"/>
  <c r="B706" i="3" s="1"/>
  <c r="B707" i="3" a="1"/>
  <c r="B707" i="3" s="1"/>
  <c r="B708" i="3" a="1"/>
  <c r="B708" i="3" s="1"/>
  <c r="B709" i="3" a="1"/>
  <c r="B709" i="3" s="1"/>
  <c r="B710" i="3" a="1"/>
  <c r="B710" i="3" s="1"/>
  <c r="B711" i="3" a="1"/>
  <c r="B711" i="3" s="1"/>
  <c r="B712" i="3" a="1"/>
  <c r="B712" i="3" s="1"/>
  <c r="B713" i="3" a="1"/>
  <c r="B713" i="3" s="1"/>
  <c r="B714" i="3" a="1"/>
  <c r="B714" i="3" s="1"/>
  <c r="B715" i="3" a="1"/>
  <c r="B715" i="3" s="1"/>
  <c r="B716" i="3" a="1"/>
  <c r="B716" i="3" s="1"/>
  <c r="B717" i="3" a="1"/>
  <c r="B717" i="3" s="1"/>
  <c r="B718" i="3" a="1"/>
  <c r="B718" i="3" s="1"/>
  <c r="B719" i="3" a="1"/>
  <c r="B719" i="3" s="1"/>
  <c r="B720" i="3" a="1"/>
  <c r="B720" i="3" s="1"/>
  <c r="B721" i="3" a="1"/>
  <c r="B721" i="3" s="1"/>
  <c r="B722" i="3" a="1"/>
  <c r="B722" i="3" s="1"/>
  <c r="B723" i="3" a="1"/>
  <c r="B723" i="3" s="1"/>
  <c r="B724" i="3" a="1"/>
  <c r="B724" i="3" s="1"/>
  <c r="B725" i="3" a="1"/>
  <c r="B725" i="3" s="1"/>
  <c r="B726" i="3" a="1"/>
  <c r="B726" i="3" s="1"/>
  <c r="B727" i="3" a="1"/>
  <c r="B727" i="3" s="1"/>
  <c r="B728" i="3" a="1"/>
  <c r="B728" i="3" s="1"/>
  <c r="B729" i="3" a="1"/>
  <c r="B729" i="3" s="1"/>
  <c r="B730" i="3" a="1"/>
  <c r="B730" i="3" s="1"/>
  <c r="B731" i="3" a="1"/>
  <c r="B731" i="3" s="1"/>
  <c r="B732" i="3" a="1"/>
  <c r="B732" i="3" s="1"/>
  <c r="B733" i="3" a="1"/>
  <c r="B733" i="3" s="1"/>
  <c r="B734" i="3" a="1"/>
  <c r="B734" i="3" s="1"/>
  <c r="B735" i="3" a="1"/>
  <c r="B735" i="3" s="1"/>
  <c r="B736" i="3" a="1"/>
  <c r="B736" i="3" s="1"/>
  <c r="B737" i="3" a="1"/>
  <c r="B737" i="3" s="1"/>
  <c r="B738" i="3" a="1"/>
  <c r="B738" i="3" s="1"/>
  <c r="B739" i="3" a="1"/>
  <c r="B739" i="3" s="1"/>
  <c r="B740" i="3" a="1"/>
  <c r="B740" i="3" s="1"/>
  <c r="B741" i="3" a="1"/>
  <c r="B741" i="3" s="1"/>
  <c r="B742" i="3" a="1"/>
  <c r="B742" i="3" s="1"/>
  <c r="B743" i="3" a="1"/>
  <c r="B743" i="3" s="1"/>
  <c r="B744" i="3" a="1"/>
  <c r="B744" i="3" s="1"/>
  <c r="B745" i="3" a="1"/>
  <c r="B745" i="3" s="1"/>
  <c r="B746" i="3" a="1"/>
  <c r="B746" i="3" s="1"/>
  <c r="B747" i="3" a="1"/>
  <c r="B747" i="3" s="1"/>
  <c r="B748" i="3" a="1"/>
  <c r="B748" i="3" s="1"/>
  <c r="B749" i="3" a="1"/>
  <c r="B749" i="3" s="1"/>
  <c r="B750" i="3" a="1"/>
  <c r="B750" i="3" s="1"/>
  <c r="B751" i="3" a="1"/>
  <c r="B751" i="3" s="1"/>
  <c r="B752" i="3" a="1"/>
  <c r="B752" i="3" s="1"/>
  <c r="B753" i="3" a="1"/>
  <c r="B753" i="3" s="1"/>
  <c r="B754" i="3" a="1"/>
  <c r="B754" i="3" s="1"/>
  <c r="B755" i="3" a="1"/>
  <c r="B755" i="3" s="1"/>
  <c r="B756" i="3" a="1"/>
  <c r="B756" i="3" s="1"/>
  <c r="B757" i="3" a="1"/>
  <c r="B757" i="3" s="1"/>
  <c r="B758" i="3" a="1"/>
  <c r="B758" i="3" s="1"/>
  <c r="B759" i="3" a="1"/>
  <c r="B759" i="3" s="1"/>
  <c r="B760" i="3" a="1"/>
  <c r="B760" i="3" s="1"/>
  <c r="B761" i="3" a="1"/>
  <c r="B761" i="3" s="1"/>
  <c r="B762" i="3" a="1"/>
  <c r="B762" i="3" s="1"/>
  <c r="B763" i="3" a="1"/>
  <c r="B763" i="3" s="1"/>
  <c r="B764" i="3" a="1"/>
  <c r="B764" i="3" s="1"/>
  <c r="B765" i="3" a="1"/>
  <c r="B765" i="3" s="1"/>
  <c r="B766" i="3" a="1"/>
  <c r="B766" i="3" s="1"/>
  <c r="B767" i="3" a="1"/>
  <c r="B767" i="3" s="1"/>
  <c r="B768" i="3" a="1"/>
  <c r="B768" i="3" s="1"/>
  <c r="B769" i="3" a="1"/>
  <c r="B769" i="3" s="1"/>
  <c r="B770" i="3" a="1"/>
  <c r="B770" i="3" s="1"/>
  <c r="B771" i="3" a="1"/>
  <c r="B771" i="3" s="1"/>
  <c r="B772" i="3" a="1"/>
  <c r="B772" i="3" s="1"/>
  <c r="B773" i="3" a="1"/>
  <c r="B773" i="3" s="1"/>
  <c r="B774" i="3" a="1"/>
  <c r="B774" i="3" s="1"/>
  <c r="B775" i="3" a="1"/>
  <c r="B775" i="3" s="1"/>
  <c r="B776" i="3" a="1"/>
  <c r="B776" i="3" s="1"/>
  <c r="B777" i="3" a="1"/>
  <c r="B777" i="3" s="1"/>
  <c r="B778" i="3" a="1"/>
  <c r="B778" i="3" s="1"/>
  <c r="B779" i="3" a="1"/>
  <c r="B779" i="3" s="1"/>
  <c r="B780" i="3" a="1"/>
  <c r="B780" i="3" s="1"/>
  <c r="B781" i="3" a="1"/>
  <c r="B781" i="3" s="1"/>
  <c r="B782" i="3" a="1"/>
  <c r="B782" i="3" s="1"/>
  <c r="B783" i="3" a="1"/>
  <c r="B783" i="3" s="1"/>
  <c r="B784" i="3" a="1"/>
  <c r="B784" i="3" s="1"/>
  <c r="B785" i="3" a="1"/>
  <c r="B785" i="3" s="1"/>
  <c r="B786" i="3" a="1"/>
  <c r="B786" i="3" s="1"/>
  <c r="B787" i="3" a="1"/>
  <c r="B787" i="3" s="1"/>
  <c r="B788" i="3" a="1"/>
  <c r="B788" i="3" s="1"/>
  <c r="B789" i="3" a="1"/>
  <c r="B789" i="3" s="1"/>
  <c r="B790" i="3" a="1"/>
  <c r="B790" i="3" s="1"/>
  <c r="B791" i="3" a="1"/>
  <c r="B791" i="3" s="1"/>
  <c r="B792" i="3" a="1"/>
  <c r="B792" i="3" s="1"/>
  <c r="B793" i="3" a="1"/>
  <c r="B793" i="3" s="1"/>
  <c r="B794" i="3" a="1"/>
  <c r="B794" i="3" s="1"/>
  <c r="B795" i="3" a="1"/>
  <c r="B795" i="3" s="1"/>
  <c r="B796" i="3" a="1"/>
  <c r="B796" i="3" s="1"/>
  <c r="B797" i="3" a="1"/>
  <c r="B797" i="3" s="1"/>
  <c r="B798" i="3" a="1"/>
  <c r="B798" i="3" s="1"/>
  <c r="B799" i="3" a="1"/>
  <c r="B799" i="3" s="1"/>
  <c r="B800" i="3" a="1"/>
  <c r="B800" i="3" s="1"/>
  <c r="B801" i="3" a="1"/>
  <c r="B801" i="3" s="1"/>
  <c r="B802" i="3" a="1"/>
  <c r="B802" i="3" s="1"/>
  <c r="B803" i="3" a="1"/>
  <c r="B803" i="3" s="1"/>
  <c r="B804" i="3" a="1"/>
  <c r="B804" i="3" s="1"/>
  <c r="B805" i="3" a="1"/>
  <c r="B805" i="3" s="1"/>
  <c r="B806" i="3" a="1"/>
  <c r="B806" i="3" s="1"/>
  <c r="B807" i="3" a="1"/>
  <c r="B807" i="3" s="1"/>
  <c r="B808" i="3" a="1"/>
  <c r="B808" i="3" s="1"/>
  <c r="B809" i="3" a="1"/>
  <c r="B809" i="3" s="1"/>
  <c r="B810" i="3" a="1"/>
  <c r="B810" i="3" s="1"/>
  <c r="B811" i="3" a="1"/>
  <c r="B811" i="3" s="1"/>
  <c r="B812" i="3" a="1"/>
  <c r="B812" i="3" s="1"/>
  <c r="B813" i="3" a="1"/>
  <c r="B813" i="3" s="1"/>
  <c r="B814" i="3" a="1"/>
  <c r="B814" i="3" s="1"/>
  <c r="B815" i="3" a="1"/>
  <c r="B815" i="3" s="1"/>
  <c r="B816" i="3" a="1"/>
  <c r="B816" i="3" s="1"/>
  <c r="B817" i="3" a="1"/>
  <c r="B817" i="3" s="1"/>
  <c r="B818" i="3" a="1"/>
  <c r="B818" i="3" s="1"/>
  <c r="B819" i="3" a="1"/>
  <c r="B819" i="3" s="1"/>
  <c r="B820" i="3" a="1"/>
  <c r="B820" i="3" s="1"/>
  <c r="B821" i="3" a="1"/>
  <c r="B821" i="3" s="1"/>
  <c r="B822" i="3" a="1"/>
  <c r="B822" i="3" s="1"/>
  <c r="B823" i="3" a="1"/>
  <c r="B823" i="3" s="1"/>
  <c r="B824" i="3" a="1"/>
  <c r="B824" i="3" s="1"/>
  <c r="B825" i="3" a="1"/>
  <c r="B825" i="3" s="1"/>
  <c r="B826" i="3" a="1"/>
  <c r="B826" i="3" s="1"/>
  <c r="B827" i="3" a="1"/>
  <c r="B827" i="3" s="1"/>
  <c r="B828" i="3" a="1"/>
  <c r="B828" i="3" s="1"/>
  <c r="B829" i="3" a="1"/>
  <c r="B829" i="3" s="1"/>
  <c r="B830" i="3" a="1"/>
  <c r="B830" i="3" s="1"/>
  <c r="B831" i="3" a="1"/>
  <c r="B831" i="3" s="1"/>
  <c r="B832" i="3" a="1"/>
  <c r="B832" i="3" s="1"/>
  <c r="B833" i="3" a="1"/>
  <c r="B833" i="3" s="1"/>
  <c r="B834" i="3" a="1"/>
  <c r="B834" i="3" s="1"/>
  <c r="B835" i="3" a="1"/>
  <c r="B835" i="3" s="1"/>
  <c r="B836" i="3" a="1"/>
  <c r="B836" i="3" s="1"/>
  <c r="B837" i="3" a="1"/>
  <c r="B837" i="3" s="1"/>
  <c r="B838" i="3" a="1"/>
  <c r="B838" i="3" s="1"/>
  <c r="B839" i="3" a="1"/>
  <c r="B839" i="3" s="1"/>
  <c r="B840" i="3" a="1"/>
  <c r="B840" i="3" s="1"/>
  <c r="B841" i="3" a="1"/>
  <c r="B841" i="3" s="1"/>
  <c r="B842" i="3" a="1"/>
  <c r="B842" i="3" s="1"/>
  <c r="B843" i="3" a="1"/>
  <c r="B843" i="3" s="1"/>
  <c r="B844" i="3" a="1"/>
  <c r="B844" i="3" s="1"/>
  <c r="B845" i="3" a="1"/>
  <c r="B845" i="3" s="1"/>
  <c r="B846" i="3" a="1"/>
  <c r="B846" i="3" s="1"/>
  <c r="B847" i="3" a="1"/>
  <c r="B847" i="3" s="1"/>
  <c r="B848" i="3" a="1"/>
  <c r="B848" i="3" s="1"/>
  <c r="B849" i="3" a="1"/>
  <c r="B849" i="3" s="1"/>
  <c r="B850" i="3" a="1"/>
  <c r="B850" i="3" s="1"/>
  <c r="B851" i="3" a="1"/>
  <c r="B851" i="3" s="1"/>
  <c r="B852" i="3" a="1"/>
  <c r="B852" i="3" s="1"/>
  <c r="B853" i="3" a="1"/>
  <c r="B853" i="3" s="1"/>
  <c r="B854" i="3" a="1"/>
  <c r="B854" i="3" s="1"/>
  <c r="B855" i="3" a="1"/>
  <c r="B855" i="3" s="1"/>
  <c r="B856" i="3" a="1"/>
  <c r="B856" i="3" s="1"/>
  <c r="B857" i="3" a="1"/>
  <c r="B857" i="3" s="1"/>
  <c r="B858" i="3" a="1"/>
  <c r="B858" i="3" s="1"/>
  <c r="B859" i="3" a="1"/>
  <c r="B859" i="3" s="1"/>
  <c r="B860" i="3" a="1"/>
  <c r="B860" i="3" s="1"/>
  <c r="B861" i="3" a="1"/>
  <c r="B861" i="3" s="1"/>
  <c r="B862" i="3" a="1"/>
  <c r="B862" i="3" s="1"/>
  <c r="B863" i="3" a="1"/>
  <c r="B863" i="3" s="1"/>
  <c r="B864" i="3" a="1"/>
  <c r="B864" i="3" s="1"/>
  <c r="B865" i="3" a="1"/>
  <c r="B865" i="3" s="1"/>
  <c r="B866" i="3" a="1"/>
  <c r="B866" i="3" s="1"/>
  <c r="B867" i="3" a="1"/>
  <c r="B867" i="3" s="1"/>
  <c r="B868" i="3" a="1"/>
  <c r="B868" i="3" s="1"/>
  <c r="B869" i="3" a="1"/>
  <c r="B869" i="3" s="1"/>
  <c r="B870" i="3" a="1"/>
  <c r="B870" i="3" s="1"/>
  <c r="B871" i="3" a="1"/>
  <c r="B871" i="3" s="1"/>
  <c r="B872" i="3" a="1"/>
  <c r="B872" i="3" s="1"/>
  <c r="B873" i="3" a="1"/>
  <c r="B873" i="3" s="1"/>
  <c r="B874" i="3" a="1"/>
  <c r="B874" i="3" s="1"/>
  <c r="B875" i="3" a="1"/>
  <c r="B875" i="3" s="1"/>
  <c r="B876" i="3" a="1"/>
  <c r="B876" i="3" s="1"/>
  <c r="B877" i="3" a="1"/>
  <c r="B877" i="3" s="1"/>
  <c r="B878" i="3" a="1"/>
  <c r="B878" i="3" s="1"/>
  <c r="B879" i="3" a="1"/>
  <c r="B879" i="3" s="1"/>
  <c r="B880" i="3" a="1"/>
  <c r="B880" i="3" s="1"/>
  <c r="B881" i="3" a="1"/>
  <c r="B881" i="3" s="1"/>
  <c r="B882" i="3" a="1"/>
  <c r="B882" i="3" s="1"/>
  <c r="B883" i="3" a="1"/>
  <c r="B883" i="3" s="1"/>
  <c r="B884" i="3" a="1"/>
  <c r="B884" i="3" s="1"/>
  <c r="B885" i="3" a="1"/>
  <c r="B885" i="3" s="1"/>
  <c r="B886" i="3" a="1"/>
  <c r="B886" i="3" s="1"/>
  <c r="B887" i="3" a="1"/>
  <c r="B887" i="3" s="1"/>
  <c r="B888" i="3" a="1"/>
  <c r="B888" i="3" s="1"/>
  <c r="B889" i="3" a="1"/>
  <c r="B889" i="3" s="1"/>
  <c r="B890" i="3" a="1"/>
  <c r="B890" i="3" s="1"/>
  <c r="B891" i="3" a="1"/>
  <c r="B891" i="3" s="1"/>
  <c r="B892" i="3" a="1"/>
  <c r="B892" i="3" s="1"/>
  <c r="B893" i="3" a="1"/>
  <c r="B893" i="3" s="1"/>
  <c r="B894" i="3" a="1"/>
  <c r="B894" i="3" s="1"/>
  <c r="B895" i="3" a="1"/>
  <c r="B895" i="3" s="1"/>
  <c r="B896" i="3" a="1"/>
  <c r="B896" i="3" s="1"/>
  <c r="B897" i="3" a="1"/>
  <c r="B897" i="3" s="1"/>
  <c r="B898" i="3" a="1"/>
  <c r="B898" i="3" s="1"/>
  <c r="B899" i="3" a="1"/>
  <c r="B899" i="3" s="1"/>
  <c r="B900" i="3" a="1"/>
  <c r="B900" i="3" s="1"/>
  <c r="B901" i="3" a="1"/>
  <c r="B901" i="3" s="1"/>
  <c r="B902" i="3" a="1"/>
  <c r="B902" i="3" s="1"/>
  <c r="B903" i="3" a="1"/>
  <c r="B903" i="3" s="1"/>
  <c r="B904" i="3" a="1"/>
  <c r="B904" i="3" s="1"/>
  <c r="B905" i="3" a="1"/>
  <c r="B905" i="3" s="1"/>
  <c r="B906" i="3" a="1"/>
  <c r="B906" i="3" s="1"/>
  <c r="B907" i="3" a="1"/>
  <c r="B907" i="3" s="1"/>
  <c r="B908" i="3" a="1"/>
  <c r="B908" i="3" s="1"/>
  <c r="B909" i="3" a="1"/>
  <c r="B909" i="3" s="1"/>
  <c r="B910" i="3" a="1"/>
  <c r="B910" i="3" s="1"/>
  <c r="B911" i="3" a="1"/>
  <c r="B911" i="3" s="1"/>
  <c r="B912" i="3" a="1"/>
  <c r="B912" i="3" s="1"/>
  <c r="B913" i="3" a="1"/>
  <c r="B913" i="3" s="1"/>
  <c r="B914" i="3" a="1"/>
  <c r="B914" i="3" s="1"/>
  <c r="B915" i="3" a="1"/>
  <c r="B915" i="3" s="1"/>
  <c r="B916" i="3" a="1"/>
  <c r="B916" i="3" s="1"/>
  <c r="B917" i="3" a="1"/>
  <c r="B917" i="3" s="1"/>
  <c r="B918" i="3" a="1"/>
  <c r="B918" i="3" s="1"/>
  <c r="B919" i="3" a="1"/>
  <c r="B919" i="3" s="1"/>
  <c r="B920" i="3" a="1"/>
  <c r="B920" i="3" s="1"/>
  <c r="B921" i="3" a="1"/>
  <c r="B921" i="3" s="1"/>
  <c r="B922" i="3" a="1"/>
  <c r="B922" i="3" s="1"/>
  <c r="B923" i="3" a="1"/>
  <c r="B923" i="3" s="1"/>
  <c r="B924" i="3" a="1"/>
  <c r="B924" i="3" s="1"/>
  <c r="B925" i="3" a="1"/>
  <c r="B925" i="3" s="1"/>
  <c r="B926" i="3" a="1"/>
  <c r="B926" i="3" s="1"/>
  <c r="B927" i="3" a="1"/>
  <c r="B927" i="3" s="1"/>
  <c r="B928" i="3" a="1"/>
  <c r="B928" i="3" s="1"/>
  <c r="B929" i="3" a="1"/>
  <c r="B929" i="3" s="1"/>
  <c r="B930" i="3" a="1"/>
  <c r="B930" i="3" s="1"/>
  <c r="B931" i="3" a="1"/>
  <c r="B931" i="3" s="1"/>
  <c r="B932" i="3" a="1"/>
  <c r="B932" i="3" s="1"/>
  <c r="B933" i="3" a="1"/>
  <c r="B933" i="3" s="1"/>
  <c r="B934" i="3" a="1"/>
  <c r="B934" i="3" s="1"/>
  <c r="B935" i="3" a="1"/>
  <c r="B935" i="3" s="1"/>
  <c r="B936" i="3" a="1"/>
  <c r="B936" i="3" s="1"/>
  <c r="B937" i="3" a="1"/>
  <c r="B937" i="3" s="1"/>
  <c r="B938" i="3" a="1"/>
  <c r="B938" i="3" s="1"/>
  <c r="B939" i="3" a="1"/>
  <c r="B939" i="3" s="1"/>
  <c r="B940" i="3" a="1"/>
  <c r="B940" i="3" s="1"/>
  <c r="B941" i="3" a="1"/>
  <c r="B941" i="3" s="1"/>
  <c r="B942" i="3" a="1"/>
  <c r="B942" i="3" s="1"/>
  <c r="B943" i="3" a="1"/>
  <c r="B943" i="3" s="1"/>
  <c r="B944" i="3" a="1"/>
  <c r="B944" i="3" s="1"/>
  <c r="B945" i="3" a="1"/>
  <c r="B945" i="3" s="1"/>
  <c r="B946" i="3" a="1"/>
  <c r="B946" i="3" s="1"/>
  <c r="B947" i="3" a="1"/>
  <c r="B947" i="3" s="1"/>
  <c r="B948" i="3" a="1"/>
  <c r="B948" i="3" s="1"/>
  <c r="B949" i="3" a="1"/>
  <c r="B949" i="3" s="1"/>
  <c r="B950" i="3" a="1"/>
  <c r="B950" i="3" s="1"/>
  <c r="B951" i="3" a="1"/>
  <c r="B951" i="3" s="1"/>
  <c r="B952" i="3" a="1"/>
  <c r="B952" i="3" s="1"/>
  <c r="B953" i="3" a="1"/>
  <c r="B953" i="3" s="1"/>
  <c r="B954" i="3" a="1"/>
  <c r="B954" i="3" s="1"/>
  <c r="B955" i="3" a="1"/>
  <c r="B955" i="3" s="1"/>
  <c r="B956" i="3" a="1"/>
  <c r="B956" i="3" s="1"/>
  <c r="B957" i="3" a="1"/>
  <c r="B957" i="3" s="1"/>
  <c r="B958" i="3" a="1"/>
  <c r="B958" i="3" s="1"/>
  <c r="B959" i="3" a="1"/>
  <c r="B959" i="3" s="1"/>
  <c r="B960" i="3" a="1"/>
  <c r="B960" i="3" s="1"/>
  <c r="B961" i="3" a="1"/>
  <c r="B961" i="3" s="1"/>
  <c r="B962" i="3" a="1"/>
  <c r="B962" i="3" s="1"/>
  <c r="B963" i="3" a="1"/>
  <c r="B963" i="3" s="1"/>
  <c r="B964" i="3" a="1"/>
  <c r="B964" i="3" s="1"/>
  <c r="B965" i="3" a="1"/>
  <c r="B965" i="3" s="1"/>
  <c r="B966" i="3" a="1"/>
  <c r="B966" i="3" s="1"/>
  <c r="B967" i="3" a="1"/>
  <c r="B967" i="3" s="1"/>
  <c r="B968" i="3" a="1"/>
  <c r="B968" i="3" s="1"/>
  <c r="B969" i="3" a="1"/>
  <c r="B969" i="3" s="1"/>
  <c r="B970" i="3" a="1"/>
  <c r="B970" i="3" s="1"/>
  <c r="B971" i="3" a="1"/>
  <c r="B971" i="3" s="1"/>
  <c r="B972" i="3" a="1"/>
  <c r="B972" i="3" s="1"/>
  <c r="B973" i="3" a="1"/>
  <c r="B973" i="3" s="1"/>
  <c r="B974" i="3" a="1"/>
  <c r="B974" i="3" s="1"/>
  <c r="B975" i="3" a="1"/>
  <c r="B975" i="3" s="1"/>
  <c r="B976" i="3" a="1"/>
  <c r="B976" i="3" s="1"/>
  <c r="B977" i="3" a="1"/>
  <c r="B977" i="3" s="1"/>
  <c r="B978" i="3" a="1"/>
  <c r="B978" i="3" s="1"/>
  <c r="B979" i="3" a="1"/>
  <c r="B979" i="3" s="1"/>
  <c r="B980" i="3" a="1"/>
  <c r="B980" i="3" s="1"/>
  <c r="B981" i="3" a="1"/>
  <c r="B981" i="3" s="1"/>
  <c r="B982" i="3" a="1"/>
  <c r="B982" i="3" s="1"/>
  <c r="B983" i="3" a="1"/>
  <c r="B983" i="3" s="1"/>
  <c r="B984" i="3" a="1"/>
  <c r="B984" i="3" s="1"/>
  <c r="B985" i="3" a="1"/>
  <c r="B985" i="3" s="1"/>
  <c r="B986" i="3" a="1"/>
  <c r="B986" i="3" s="1"/>
  <c r="B987" i="3" a="1"/>
  <c r="B987" i="3" s="1"/>
  <c r="B988" i="3" a="1"/>
  <c r="B988" i="3" s="1"/>
  <c r="B989" i="3" a="1"/>
  <c r="B989" i="3" s="1"/>
  <c r="B990" i="3" a="1"/>
  <c r="B990" i="3" s="1"/>
  <c r="B991" i="3" a="1"/>
  <c r="B991" i="3" s="1"/>
  <c r="B992" i="3" a="1"/>
  <c r="B992" i="3" s="1"/>
  <c r="B993" i="3" a="1"/>
  <c r="B993" i="3" s="1"/>
  <c r="B994" i="3" a="1"/>
  <c r="B994" i="3" s="1"/>
  <c r="B995" i="3" a="1"/>
  <c r="B995" i="3" s="1"/>
  <c r="B996" i="3" a="1"/>
  <c r="B996" i="3" s="1"/>
  <c r="B997" i="3" a="1"/>
  <c r="B997" i="3" s="1"/>
  <c r="B998" i="3" a="1"/>
  <c r="B998" i="3" s="1"/>
  <c r="B999" i="3" a="1"/>
  <c r="B999" i="3" s="1"/>
  <c r="B1000" i="3" a="1"/>
  <c r="B1000" i="3" s="1"/>
  <c r="B1001" i="3" a="1"/>
  <c r="B1001" i="3" s="1"/>
  <c r="B1002" i="3" a="1"/>
  <c r="B1002" i="3" s="1"/>
  <c r="B1003" i="3" a="1"/>
  <c r="B1003" i="3" s="1"/>
  <c r="B1004" i="3" a="1"/>
  <c r="B1004" i="3" s="1"/>
  <c r="B1005" i="3" a="1"/>
  <c r="B1005" i="3" s="1"/>
  <c r="B1006" i="3" a="1"/>
  <c r="B1006" i="3" s="1"/>
  <c r="B1007" i="3" a="1"/>
  <c r="B1007" i="3" s="1"/>
  <c r="B1008" i="3" a="1"/>
  <c r="B1008" i="3" s="1"/>
  <c r="B1009" i="3" a="1"/>
  <c r="B1009" i="3" s="1"/>
  <c r="B1010" i="3" a="1"/>
  <c r="B1010" i="3" s="1"/>
  <c r="B1011" i="3" a="1"/>
  <c r="B1011" i="3" s="1"/>
  <c r="B1012" i="3" a="1"/>
  <c r="B1012" i="3" s="1"/>
  <c r="B1013" i="3" a="1"/>
  <c r="B1013" i="3" s="1"/>
  <c r="B1014" i="3" a="1"/>
  <c r="B1014" i="3" s="1"/>
  <c r="B1015" i="3" a="1"/>
  <c r="B1015" i="3" s="1"/>
  <c r="B1016" i="3" a="1"/>
  <c r="B1016" i="3" s="1"/>
  <c r="B1017" i="3" a="1"/>
  <c r="B1017" i="3" s="1"/>
  <c r="B1018" i="3" a="1"/>
  <c r="B1018" i="3" s="1"/>
  <c r="B1019" i="3" a="1"/>
  <c r="B1019" i="3" s="1"/>
  <c r="B1020" i="3" a="1"/>
  <c r="B1020" i="3" s="1"/>
  <c r="B1021" i="3" a="1"/>
  <c r="B1021" i="3" s="1"/>
  <c r="B1022" i="3" a="1"/>
  <c r="B1022" i="3" s="1"/>
  <c r="B1023" i="3" a="1"/>
  <c r="B1023" i="3" s="1"/>
  <c r="B1024" i="3" a="1"/>
  <c r="B1024" i="3" s="1"/>
  <c r="B1025" i="3" a="1"/>
  <c r="B1025" i="3" s="1"/>
  <c r="B1026" i="3" a="1"/>
  <c r="B1026" i="3" s="1"/>
  <c r="B1027" i="3" a="1"/>
  <c r="B1027" i="3" s="1"/>
  <c r="B1028" i="3" a="1"/>
  <c r="B1028" i="3" s="1"/>
  <c r="B1029" i="3" a="1"/>
  <c r="B1029" i="3" s="1"/>
  <c r="B1030" i="3" a="1"/>
  <c r="B1030" i="3" s="1"/>
  <c r="B1031" i="3" a="1"/>
  <c r="B1031" i="3" s="1"/>
  <c r="B1032" i="3" a="1"/>
  <c r="B1032" i="3" s="1"/>
  <c r="B1033" i="3" a="1"/>
  <c r="B1033" i="3" s="1"/>
  <c r="B1034" i="3" a="1"/>
  <c r="B1034" i="3" s="1"/>
  <c r="B1035" i="3" a="1"/>
  <c r="B1035" i="3" s="1"/>
  <c r="B1036" i="3" a="1"/>
  <c r="B1036" i="3" s="1"/>
  <c r="B1037" i="3" a="1"/>
  <c r="B1037" i="3" s="1"/>
  <c r="B1038" i="3" a="1"/>
  <c r="B1038" i="3" s="1"/>
  <c r="B1039" i="3" a="1"/>
  <c r="B1039" i="3" s="1"/>
  <c r="B1040" i="3" a="1"/>
  <c r="B1040" i="3" s="1"/>
  <c r="B1041" i="3" a="1"/>
  <c r="B1041" i="3" s="1"/>
  <c r="B1042" i="3" a="1"/>
  <c r="B1042" i="3" s="1"/>
  <c r="B1043" i="3" a="1"/>
  <c r="B1043" i="3" s="1"/>
  <c r="B1044" i="3" a="1"/>
  <c r="B1044" i="3" s="1"/>
  <c r="B1045" i="3" a="1"/>
  <c r="B1045" i="3" s="1"/>
  <c r="B1046" i="3" a="1"/>
  <c r="B1046" i="3" s="1"/>
  <c r="B1047" i="3" a="1"/>
  <c r="B1047" i="3" s="1"/>
  <c r="B1048" i="3" a="1"/>
  <c r="B1048" i="3" s="1"/>
  <c r="B1049" i="3" a="1"/>
  <c r="B1049" i="3" s="1"/>
  <c r="B1050" i="3" a="1"/>
  <c r="B1050" i="3" s="1"/>
  <c r="B1051" i="3" a="1"/>
  <c r="B1051" i="3" s="1"/>
  <c r="B1052" i="3" a="1"/>
  <c r="B1052" i="3" s="1"/>
  <c r="B1053" i="3" a="1"/>
  <c r="B1053" i="3" s="1"/>
  <c r="B1054" i="3" a="1"/>
  <c r="B1054" i="3" s="1"/>
  <c r="B1055" i="3" a="1"/>
  <c r="B1055" i="3" s="1"/>
  <c r="B1056" i="3" a="1"/>
  <c r="B1056" i="3" s="1"/>
  <c r="B1057" i="3" a="1"/>
  <c r="B1057" i="3" s="1"/>
  <c r="B1058" i="3" a="1"/>
  <c r="B1058" i="3" s="1"/>
  <c r="B1059" i="3" a="1"/>
  <c r="B1059" i="3" s="1"/>
  <c r="B1060" i="3" a="1"/>
  <c r="B1060" i="3" s="1"/>
  <c r="B1061" i="3" a="1"/>
  <c r="B1061" i="3" s="1"/>
  <c r="B1062" i="3" a="1"/>
  <c r="B1062" i="3" s="1"/>
  <c r="B1063" i="3" a="1"/>
  <c r="B1063" i="3" s="1"/>
  <c r="B1064" i="3" a="1"/>
  <c r="B1064" i="3" s="1"/>
  <c r="B1065" i="3" a="1"/>
  <c r="B1065" i="3" s="1"/>
  <c r="B1066" i="3" a="1"/>
  <c r="B1066" i="3" s="1"/>
  <c r="B1067" i="3" a="1"/>
  <c r="B1067" i="3" s="1"/>
  <c r="B1068" i="3" a="1"/>
  <c r="B1068" i="3" s="1"/>
  <c r="B1069" i="3" a="1"/>
  <c r="B1069" i="3" s="1"/>
  <c r="B1070" i="3" a="1"/>
  <c r="B1070" i="3" s="1"/>
  <c r="B1071" i="3" a="1"/>
  <c r="B1071" i="3" s="1"/>
  <c r="B1072" i="3" a="1"/>
  <c r="B1072" i="3" s="1"/>
  <c r="B1073" i="3" a="1"/>
  <c r="B1073" i="3" s="1"/>
  <c r="B1074" i="3" a="1"/>
  <c r="B1074" i="3" s="1"/>
  <c r="B1075" i="3" a="1"/>
  <c r="B1075" i="3" s="1"/>
  <c r="B1076" i="3" a="1"/>
  <c r="B1076" i="3" s="1"/>
  <c r="B1077" i="3" a="1"/>
  <c r="B1077" i="3" s="1"/>
  <c r="B1078" i="3" a="1"/>
  <c r="B1078" i="3" s="1"/>
  <c r="B1079" i="3" a="1"/>
  <c r="B1079" i="3" s="1"/>
  <c r="B1080" i="3" a="1"/>
  <c r="B1080" i="3" s="1"/>
  <c r="B1081" i="3" a="1"/>
  <c r="B1081" i="3" s="1"/>
  <c r="B1082" i="3" a="1"/>
  <c r="B1082" i="3" s="1"/>
  <c r="B1083" i="3" a="1"/>
  <c r="B1083" i="3" s="1"/>
  <c r="B1084" i="3" a="1"/>
  <c r="B1084" i="3" s="1"/>
  <c r="B1085" i="3" a="1"/>
  <c r="B1085" i="3" s="1"/>
  <c r="B1086" i="3" a="1"/>
  <c r="B1086" i="3" s="1"/>
  <c r="B1087" i="3" a="1"/>
  <c r="B1087" i="3" s="1"/>
  <c r="B1088" i="3" a="1"/>
  <c r="B1088" i="3" s="1"/>
  <c r="B1089" i="3" a="1"/>
  <c r="B1089" i="3" s="1"/>
  <c r="B1090" i="3" a="1"/>
  <c r="B1090" i="3" s="1"/>
  <c r="B1091" i="3" a="1"/>
  <c r="B1091" i="3" s="1"/>
  <c r="B1092" i="3" a="1"/>
  <c r="B1092" i="3" s="1"/>
  <c r="B1093" i="3" a="1"/>
  <c r="B1093" i="3" s="1"/>
  <c r="B1094" i="3" a="1"/>
  <c r="B1094" i="3" s="1"/>
  <c r="B1095" i="3" a="1"/>
  <c r="B1095" i="3" s="1"/>
  <c r="B1096" i="3" a="1"/>
  <c r="B1096" i="3" s="1"/>
  <c r="B1097" i="3" a="1"/>
  <c r="B1097" i="3" s="1"/>
  <c r="B1098" i="3" a="1"/>
  <c r="B1098" i="3" s="1"/>
  <c r="B1099" i="3" a="1"/>
  <c r="B1099" i="3" s="1"/>
  <c r="B1100" i="3" a="1"/>
  <c r="B1100" i="3" s="1"/>
  <c r="B1101" i="3" a="1"/>
  <c r="B1101" i="3" s="1"/>
  <c r="B1102" i="3" a="1"/>
  <c r="B1102" i="3" s="1"/>
  <c r="B1103" i="3" a="1"/>
  <c r="B1103" i="3" s="1"/>
  <c r="B1104" i="3" a="1"/>
  <c r="B1104" i="3" s="1"/>
  <c r="B1105" i="3" a="1"/>
  <c r="B1105" i="3" s="1"/>
  <c r="B1106" i="3" a="1"/>
  <c r="B1106" i="3" s="1"/>
  <c r="B1107" i="3" a="1"/>
  <c r="B1107" i="3" s="1"/>
  <c r="B1108" i="3" a="1"/>
  <c r="B1108" i="3" s="1"/>
  <c r="B1109" i="3" a="1"/>
  <c r="B1109" i="3" s="1"/>
  <c r="B1110" i="3" a="1"/>
  <c r="B1110" i="3" s="1"/>
  <c r="B1111" i="3" a="1"/>
  <c r="B1111" i="3" s="1"/>
  <c r="B1112" i="3" a="1"/>
  <c r="B1112" i="3" s="1"/>
  <c r="B1113" i="3" a="1"/>
  <c r="B1113" i="3" s="1"/>
  <c r="B1114" i="3" a="1"/>
  <c r="B1114" i="3" s="1"/>
  <c r="B1115" i="3" a="1"/>
  <c r="B1115" i="3" s="1"/>
  <c r="B1116" i="3" a="1"/>
  <c r="B1116" i="3" s="1"/>
  <c r="B1117" i="3" a="1"/>
  <c r="B1117" i="3" s="1"/>
  <c r="B1118" i="3" a="1"/>
  <c r="B1118" i="3" s="1"/>
  <c r="B1119" i="3" a="1"/>
  <c r="B1119" i="3" s="1"/>
  <c r="B1120" i="3" a="1"/>
  <c r="B1120" i="3" s="1"/>
  <c r="B1121" i="3" a="1"/>
  <c r="B1121" i="3" s="1"/>
  <c r="B1122" i="3" a="1"/>
  <c r="B1122" i="3" s="1"/>
  <c r="B1123" i="3" a="1"/>
  <c r="B1123" i="3" s="1"/>
  <c r="B1124" i="3" a="1"/>
  <c r="B1124" i="3" s="1"/>
  <c r="B1125" i="3" a="1"/>
  <c r="B1125" i="3" s="1"/>
  <c r="B1126" i="3" a="1"/>
  <c r="B1126" i="3" s="1"/>
  <c r="B1127" i="3" a="1"/>
  <c r="B1127" i="3" s="1"/>
  <c r="B1128" i="3" a="1"/>
  <c r="B1128" i="3" s="1"/>
  <c r="B1129" i="3" a="1"/>
  <c r="B1129" i="3" s="1"/>
  <c r="B1130" i="3" a="1"/>
  <c r="B1130" i="3" s="1"/>
  <c r="B1131" i="3" a="1"/>
  <c r="B1131" i="3" s="1"/>
  <c r="B1132" i="3" a="1"/>
  <c r="B1132" i="3" s="1"/>
  <c r="B1133" i="3" a="1"/>
  <c r="B1133" i="3" s="1"/>
  <c r="B1134" i="3" a="1"/>
  <c r="B1134" i="3" s="1"/>
  <c r="B1135" i="3" a="1"/>
  <c r="B1135" i="3" s="1"/>
  <c r="B1136" i="3" a="1"/>
  <c r="B1136" i="3" s="1"/>
  <c r="B1137" i="3" a="1"/>
  <c r="B1137" i="3" s="1"/>
  <c r="B1138" i="3" a="1"/>
  <c r="B1138" i="3" s="1"/>
  <c r="B1139" i="3" a="1"/>
  <c r="B1139" i="3" s="1"/>
  <c r="B1140" i="3" a="1"/>
  <c r="B1140" i="3" s="1"/>
  <c r="B1141" i="3" a="1"/>
  <c r="B1141" i="3" s="1"/>
  <c r="B1142" i="3" a="1"/>
  <c r="B1142" i="3" s="1"/>
  <c r="B1143" i="3" a="1"/>
  <c r="B1143" i="3" s="1"/>
  <c r="B1144" i="3" a="1"/>
  <c r="B1144" i="3" s="1"/>
  <c r="B1145" i="3" a="1"/>
  <c r="B1145" i="3" s="1"/>
  <c r="B1146" i="3" a="1"/>
  <c r="B1146" i="3" s="1"/>
  <c r="B1147" i="3" a="1"/>
  <c r="B1147" i="3" s="1"/>
  <c r="B1148" i="3" a="1"/>
  <c r="B1148" i="3" s="1"/>
  <c r="B1149" i="3" a="1"/>
  <c r="B1149" i="3" s="1"/>
  <c r="B1150" i="3" a="1"/>
  <c r="B1150" i="3" s="1"/>
  <c r="B1151" i="3" a="1"/>
  <c r="B1151" i="3" s="1"/>
  <c r="B1152" i="3" a="1"/>
  <c r="B1152" i="3" s="1"/>
  <c r="B1153" i="3" a="1"/>
  <c r="B1153" i="3" s="1"/>
  <c r="B1154" i="3" a="1"/>
  <c r="B1154" i="3" s="1"/>
  <c r="B1155" i="3" a="1"/>
  <c r="B1155" i="3" s="1"/>
  <c r="B1156" i="3" a="1"/>
  <c r="B1156" i="3" s="1"/>
  <c r="B1157" i="3" a="1"/>
  <c r="B1157" i="3" s="1"/>
  <c r="B1158" i="3" a="1"/>
  <c r="B1158" i="3" s="1"/>
  <c r="B1159" i="3" a="1"/>
  <c r="B1159" i="3" s="1"/>
  <c r="B1160" i="3" a="1"/>
  <c r="B1160" i="3" s="1"/>
  <c r="B1161" i="3" a="1"/>
  <c r="B1161" i="3" s="1"/>
  <c r="B1162" i="3" a="1"/>
  <c r="B1162" i="3" s="1"/>
  <c r="B1163" i="3" a="1"/>
  <c r="B1163" i="3" s="1"/>
  <c r="B1164" i="3" a="1"/>
  <c r="B1164" i="3" s="1"/>
  <c r="B1165" i="3" a="1"/>
  <c r="B1165" i="3" s="1"/>
  <c r="B1166" i="3" a="1"/>
  <c r="B1166" i="3" s="1"/>
  <c r="B1167" i="3" a="1"/>
  <c r="B1167" i="3" s="1"/>
  <c r="B1168" i="3" a="1"/>
  <c r="B1168" i="3" s="1"/>
  <c r="B1169" i="3" a="1"/>
  <c r="B1169" i="3" s="1"/>
  <c r="B1170" i="3" a="1"/>
  <c r="B1170" i="3" s="1"/>
  <c r="B1171" i="3" a="1"/>
  <c r="B1171" i="3" s="1"/>
  <c r="B1172" i="3" a="1"/>
  <c r="B1172" i="3" s="1"/>
  <c r="B1173" i="3" a="1"/>
  <c r="B1173" i="3" s="1"/>
  <c r="B1174" i="3" a="1"/>
  <c r="B1174" i="3" s="1"/>
  <c r="B1175" i="3" a="1"/>
  <c r="B1175" i="3" s="1"/>
  <c r="B1176" i="3" a="1"/>
  <c r="B1176" i="3" s="1"/>
  <c r="B1177" i="3" a="1"/>
  <c r="B1177" i="3" s="1"/>
  <c r="B1178" i="3" a="1"/>
  <c r="B1178" i="3" s="1"/>
  <c r="B1179" i="3" a="1"/>
  <c r="B1179" i="3" s="1"/>
  <c r="B1180" i="3" a="1"/>
  <c r="B1180" i="3" s="1"/>
  <c r="B1181" i="3" a="1"/>
  <c r="B1181" i="3" s="1"/>
  <c r="B1182" i="3" a="1"/>
  <c r="B1182" i="3" s="1"/>
  <c r="B1183" i="3" a="1"/>
  <c r="B1183" i="3" s="1"/>
  <c r="B1184" i="3" a="1"/>
  <c r="B1184" i="3" s="1"/>
  <c r="B1185" i="3" a="1"/>
  <c r="B1185" i="3" s="1"/>
  <c r="B1186" i="3" a="1"/>
  <c r="B1186" i="3" s="1"/>
  <c r="B1187" i="3" a="1"/>
  <c r="B1187" i="3" s="1"/>
  <c r="B1188" i="3" a="1"/>
  <c r="B1188" i="3" s="1"/>
  <c r="B1189" i="3" a="1"/>
  <c r="B1189" i="3" s="1"/>
  <c r="B1190" i="3" a="1"/>
  <c r="B1190" i="3" s="1"/>
  <c r="B1191" i="3" a="1"/>
  <c r="B1191" i="3" s="1"/>
  <c r="B1192" i="3" a="1"/>
  <c r="B1192" i="3" s="1"/>
  <c r="B1193" i="3" a="1"/>
  <c r="B1193" i="3" s="1"/>
  <c r="B1194" i="3" a="1"/>
  <c r="B1194" i="3" s="1"/>
  <c r="B1195" i="3" a="1"/>
  <c r="B1195" i="3" s="1"/>
  <c r="B1196" i="3" a="1"/>
  <c r="B1196" i="3" s="1"/>
  <c r="B1197" i="3" a="1"/>
  <c r="B1197" i="3" s="1"/>
  <c r="B1198" i="3" a="1"/>
  <c r="B1198" i="3" s="1"/>
  <c r="B1199" i="3" a="1"/>
  <c r="B1199" i="3" s="1"/>
  <c r="B1200" i="3" a="1"/>
  <c r="B1200" i="3" s="1"/>
  <c r="B1201" i="3" a="1"/>
  <c r="B1201" i="3" s="1"/>
  <c r="B1202" i="3" a="1"/>
  <c r="B1202" i="3" s="1"/>
  <c r="B1203" i="3" a="1"/>
  <c r="B1203" i="3" s="1"/>
  <c r="B1204" i="3" a="1"/>
  <c r="B1204" i="3" s="1"/>
  <c r="B1205" i="3" a="1"/>
  <c r="B1205" i="3" s="1"/>
  <c r="B1206" i="3" a="1"/>
  <c r="B1206" i="3" s="1"/>
  <c r="B1207" i="3" a="1"/>
  <c r="B1207" i="3" s="1"/>
  <c r="B1208" i="3" a="1"/>
  <c r="B1208" i="3" s="1"/>
  <c r="B1209" i="3" a="1"/>
  <c r="B1209" i="3" s="1"/>
  <c r="B1210" i="3" a="1"/>
  <c r="B1210" i="3" s="1"/>
  <c r="B1211" i="3" a="1"/>
  <c r="B1211" i="3" s="1"/>
  <c r="B1212" i="3" a="1"/>
  <c r="B1212" i="3" s="1"/>
  <c r="B1213" i="3" a="1"/>
  <c r="B1213" i="3" s="1"/>
  <c r="B1214" i="3" a="1"/>
  <c r="B1214" i="3" s="1"/>
  <c r="B1215" i="3" a="1"/>
  <c r="B1215" i="3" s="1"/>
  <c r="B1216" i="3" a="1"/>
  <c r="B1216" i="3" s="1"/>
  <c r="B1217" i="3" a="1"/>
  <c r="B1217" i="3" s="1"/>
  <c r="B1218" i="3" a="1"/>
  <c r="B1218" i="3" s="1"/>
  <c r="B1219" i="3" a="1"/>
  <c r="B1219" i="3" s="1"/>
  <c r="B1220" i="3" a="1"/>
  <c r="B1220" i="3" s="1"/>
  <c r="B1221" i="3" a="1"/>
  <c r="B1221" i="3" s="1"/>
  <c r="B1222" i="3" a="1"/>
  <c r="B1222" i="3" s="1"/>
  <c r="B1223" i="3" a="1"/>
  <c r="B1223" i="3" s="1"/>
  <c r="B1224" i="3" a="1"/>
  <c r="B1224" i="3" s="1"/>
  <c r="B1225" i="3" a="1"/>
  <c r="B1225" i="3" s="1"/>
  <c r="B1226" i="3" a="1"/>
  <c r="B1226" i="3" s="1"/>
  <c r="B1227" i="3" a="1"/>
  <c r="B1227" i="3" s="1"/>
  <c r="B1228" i="3" a="1"/>
  <c r="B1228" i="3" s="1"/>
  <c r="B1229" i="3" a="1"/>
  <c r="B1229" i="3" s="1"/>
  <c r="B1230" i="3" a="1"/>
  <c r="B1230" i="3" s="1"/>
  <c r="B1231" i="3" a="1"/>
  <c r="B1231" i="3" s="1"/>
  <c r="B1232" i="3" a="1"/>
  <c r="B1232" i="3" s="1"/>
  <c r="B1233" i="3" a="1"/>
  <c r="B1233" i="3" s="1"/>
  <c r="B1234" i="3" a="1"/>
  <c r="B1234" i="3" s="1"/>
  <c r="B1235" i="3" a="1"/>
  <c r="B1235" i="3" s="1"/>
  <c r="B1236" i="3" a="1"/>
  <c r="B1236" i="3" s="1"/>
  <c r="B1237" i="3" a="1"/>
  <c r="B1237" i="3" s="1"/>
  <c r="B1238" i="3" a="1"/>
  <c r="B1238" i="3" s="1"/>
  <c r="B1239" i="3" a="1"/>
  <c r="B1239" i="3" s="1"/>
  <c r="B1240" i="3" a="1"/>
  <c r="B1240" i="3" s="1"/>
  <c r="B1241" i="3" a="1"/>
  <c r="B1241" i="3" s="1"/>
  <c r="B1242" i="3" a="1"/>
  <c r="B1242" i="3" s="1"/>
  <c r="B1243" i="3" a="1"/>
  <c r="B1243" i="3" s="1"/>
  <c r="B1244" i="3" a="1"/>
  <c r="B1244" i="3" s="1"/>
  <c r="B1245" i="3" a="1"/>
  <c r="B1245" i="3" s="1"/>
  <c r="B1246" i="3" a="1"/>
  <c r="B1246" i="3" s="1"/>
  <c r="B1247" i="3" a="1"/>
  <c r="B1247" i="3" s="1"/>
  <c r="B1248" i="3" a="1"/>
  <c r="B1248" i="3" s="1"/>
  <c r="B1249" i="3" a="1"/>
  <c r="B1249" i="3" s="1"/>
  <c r="B1250" i="3" a="1"/>
  <c r="B1250" i="3" s="1"/>
  <c r="B1251" i="3" a="1"/>
  <c r="B1251" i="3" s="1"/>
  <c r="B1252" i="3" a="1"/>
  <c r="B1252" i="3" s="1"/>
  <c r="B1253" i="3" a="1"/>
  <c r="B1253" i="3" s="1"/>
  <c r="B1254" i="3" a="1"/>
  <c r="B1254" i="3" s="1"/>
  <c r="B1255" i="3" a="1"/>
  <c r="B1255" i="3" s="1"/>
  <c r="B1256" i="3" a="1"/>
  <c r="B1256" i="3" s="1"/>
  <c r="B1257" i="3" a="1"/>
  <c r="B1257" i="3" s="1"/>
  <c r="B1258" i="3" a="1"/>
  <c r="B1258" i="3" s="1"/>
  <c r="B1259" i="3" a="1"/>
  <c r="B1259" i="3" s="1"/>
  <c r="B1260" i="3" a="1"/>
  <c r="B1260" i="3" s="1"/>
  <c r="B1261" i="3" a="1"/>
  <c r="B1261" i="3" s="1"/>
  <c r="B1262" i="3" a="1"/>
  <c r="B1262" i="3" s="1"/>
  <c r="B1263" i="3" a="1"/>
  <c r="B1263" i="3" s="1"/>
  <c r="B1264" i="3" a="1"/>
  <c r="B1264" i="3" s="1"/>
  <c r="B1265" i="3" a="1"/>
  <c r="B1265" i="3" s="1"/>
  <c r="B1266" i="3" a="1"/>
  <c r="B1266" i="3" s="1"/>
  <c r="B1267" i="3" a="1"/>
  <c r="B1267" i="3" s="1"/>
  <c r="B1268" i="3" a="1"/>
  <c r="B1268" i="3" s="1"/>
  <c r="B1269" i="3" a="1"/>
  <c r="B1269" i="3" s="1"/>
  <c r="B1270" i="3" a="1"/>
  <c r="B1270" i="3" s="1"/>
  <c r="B1271" i="3" a="1"/>
  <c r="B1271" i="3" s="1"/>
  <c r="B1272" i="3" a="1"/>
  <c r="B1272" i="3" s="1"/>
  <c r="B1273" i="3" a="1"/>
  <c r="B1273" i="3" s="1"/>
  <c r="B1274" i="3" a="1"/>
  <c r="B1274" i="3" s="1"/>
  <c r="B1275" i="3" a="1"/>
  <c r="B1275" i="3" s="1"/>
  <c r="B1276" i="3" a="1"/>
  <c r="B1276" i="3" s="1"/>
  <c r="B1277" i="3" a="1"/>
  <c r="B1277" i="3" s="1"/>
  <c r="B1278" i="3" a="1"/>
  <c r="B1278" i="3" s="1"/>
  <c r="B1279" i="3" a="1"/>
  <c r="B1279" i="3" s="1"/>
  <c r="B1280" i="3" a="1"/>
  <c r="B1280" i="3" s="1"/>
  <c r="B1281" i="3" a="1"/>
  <c r="B1281" i="3" s="1"/>
  <c r="B1282" i="3" a="1"/>
  <c r="B1282" i="3" s="1"/>
  <c r="B1283" i="3" a="1"/>
  <c r="B1283" i="3" s="1"/>
  <c r="B1284" i="3" a="1"/>
  <c r="B1284" i="3" s="1"/>
  <c r="B1285" i="3" a="1"/>
  <c r="B1285" i="3" s="1"/>
  <c r="B1286" i="3" a="1"/>
  <c r="B1286" i="3" s="1"/>
  <c r="B1287" i="3" a="1"/>
  <c r="B1287" i="3" s="1"/>
  <c r="B1288" i="3" a="1"/>
  <c r="B1288" i="3" s="1"/>
  <c r="B1289" i="3" a="1"/>
  <c r="B1289" i="3" s="1"/>
  <c r="B1290" i="3" a="1"/>
  <c r="B1290" i="3" s="1"/>
  <c r="B1291" i="3" a="1"/>
  <c r="B1291" i="3" s="1"/>
  <c r="B1292" i="3" a="1"/>
  <c r="B1292" i="3" s="1"/>
  <c r="B1293" i="3" a="1"/>
  <c r="B1293" i="3" s="1"/>
  <c r="B1294" i="3" a="1"/>
  <c r="B1294" i="3" s="1"/>
  <c r="B1295" i="3" a="1"/>
  <c r="B1295" i="3" s="1"/>
  <c r="B1296" i="3" a="1"/>
  <c r="B1296" i="3" s="1"/>
  <c r="B1297" i="3" a="1"/>
  <c r="B1297" i="3" s="1"/>
  <c r="B1298" i="3" a="1"/>
  <c r="B1298" i="3" s="1"/>
  <c r="B1299" i="3" a="1"/>
  <c r="B1299" i="3" s="1"/>
  <c r="B1300" i="3" a="1"/>
  <c r="B1300" i="3" s="1"/>
  <c r="B1301" i="3" a="1"/>
  <c r="B1301" i="3" s="1"/>
  <c r="B1302" i="3" a="1"/>
  <c r="B1302" i="3" s="1"/>
  <c r="B1303" i="3" a="1"/>
  <c r="B1303" i="3" s="1"/>
  <c r="B1304" i="3" a="1"/>
  <c r="B1304" i="3" s="1"/>
  <c r="B1305" i="3" a="1"/>
  <c r="B1305" i="3" s="1"/>
  <c r="B1306" i="3" a="1"/>
  <c r="B1306" i="3" s="1"/>
  <c r="B1307" i="3" a="1"/>
  <c r="B1307" i="3" s="1"/>
  <c r="B1308" i="3" a="1"/>
  <c r="B1308" i="3" s="1"/>
  <c r="B1309" i="3" a="1"/>
  <c r="B1309" i="3" s="1"/>
  <c r="B1310" i="3" a="1"/>
  <c r="B1310" i="3" s="1"/>
  <c r="B1311" i="3" a="1"/>
  <c r="B1311" i="3" s="1"/>
  <c r="B1312" i="3" a="1"/>
  <c r="B1312" i="3" s="1"/>
  <c r="B1313" i="3" a="1"/>
  <c r="B1313" i="3" s="1"/>
  <c r="B1314" i="3" a="1"/>
  <c r="B1314" i="3" s="1"/>
  <c r="B1315" i="3" a="1"/>
  <c r="B1315" i="3" s="1"/>
  <c r="B1316" i="3" a="1"/>
  <c r="B1316" i="3" s="1"/>
  <c r="B1317" i="3" a="1"/>
  <c r="B1317" i="3" s="1"/>
  <c r="B1318" i="3" a="1"/>
  <c r="B1318" i="3" s="1"/>
  <c r="B1319" i="3" a="1"/>
  <c r="B1319" i="3" s="1"/>
  <c r="B1320" i="3" a="1"/>
  <c r="B1320" i="3" s="1"/>
  <c r="B1321" i="3" a="1"/>
  <c r="B1321" i="3" s="1"/>
  <c r="B1322" i="3" a="1"/>
  <c r="B1322" i="3" s="1"/>
  <c r="B1323" i="3" a="1"/>
  <c r="B1323" i="3" s="1"/>
  <c r="B1324" i="3" a="1"/>
  <c r="B1324" i="3" s="1"/>
  <c r="B1325" i="3" a="1"/>
  <c r="B1325" i="3" s="1"/>
  <c r="B1326" i="3" a="1"/>
  <c r="B1326" i="3" s="1"/>
  <c r="B1327" i="3" a="1"/>
  <c r="B1327" i="3" s="1"/>
  <c r="B1328" i="3" a="1"/>
  <c r="B1328" i="3" s="1"/>
  <c r="B1329" i="3" a="1"/>
  <c r="B1329" i="3" s="1"/>
  <c r="B1330" i="3" a="1"/>
  <c r="B1330" i="3" s="1"/>
  <c r="B1331" i="3" a="1"/>
  <c r="B1331" i="3" s="1"/>
  <c r="B1332" i="3" a="1"/>
  <c r="B1332" i="3" s="1"/>
  <c r="B1333" i="3" a="1"/>
  <c r="B1333" i="3" s="1"/>
  <c r="B1334" i="3" a="1"/>
  <c r="B1334" i="3" s="1"/>
  <c r="B1335" i="3" a="1"/>
  <c r="B1335" i="3" s="1"/>
  <c r="B1336" i="3" a="1"/>
  <c r="B1336" i="3" s="1"/>
  <c r="B1337" i="3" a="1"/>
  <c r="B1337" i="3" s="1"/>
  <c r="B1338" i="3" a="1"/>
  <c r="B1338" i="3" s="1"/>
  <c r="B1339" i="3" a="1"/>
  <c r="B1339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3EAE42-67E8-0440-B4E7-CC40CD814A2B}" keepAlive="1" name="Query - insurance" description="Connection to the 'insurance' query in the workbook." type="5" refreshedVersion="8" background="1" saveData="1">
    <dbPr connection="Provider=Microsoft.Mashup.OleDb.1;Data Source=$Workbook$;Location=insurance;Extended Properties=&quot;&quot;" command="SELECT * FROM [insurance]"/>
  </connection>
  <connection id="2" xr16:uid="{7E5E1123-535E-4445-B9F4-3330543061E6}" keepAlive="1" name="Query - insurance (2)" description="Connection to the 'insurance (2)' query in the workbook." type="5" refreshedVersion="8" background="1" saveData="1">
    <dbPr connection="Provider=Microsoft.Mashup.OleDb.1;Data Source=$Workbook$;Location=&quot;insurance (2)&quot;;Extended Properties=&quot;&quot;" command="SELECT * FROM [insuranc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<sst xmlns="http://schemas.openxmlformats.org/spreadsheetml/2006/main" count="8128" uniqueCount="86">
  <si>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</si>
  <si>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</si>
  <si>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</si>
  <si>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</si>
  <si>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</si>
  <si>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</si>
  <si>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</si>
  <si>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</si>
  <si>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</si>
  <si>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</si>
  <si>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</si>
  <si>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</si>
  <si>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</si>
  <si>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</si>
  <si>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</si>
  <si>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Cost per Dependent</t>
  </si>
  <si>
    <t>High Claimant Flag</t>
  </si>
  <si>
    <t>BMI Risk</t>
  </si>
  <si>
    <t>Smoker Risk Flag</t>
  </si>
  <si>
    <t>Region Risk Tier</t>
  </si>
  <si>
    <t>Combined Risk Score</t>
  </si>
  <si>
    <t>Age</t>
  </si>
  <si>
    <t>Age Group</t>
  </si>
  <si>
    <t>Sex</t>
  </si>
  <si>
    <t>BMI</t>
  </si>
  <si>
    <t>Smoker Status</t>
  </si>
  <si>
    <t>Region</t>
  </si>
  <si>
    <t>Annual Charges</t>
  </si>
  <si>
    <t>Cost Percentile Rank</t>
  </si>
  <si>
    <t>Dependents</t>
  </si>
  <si>
    <t>18-25</t>
  </si>
  <si>
    <t>26-35</t>
  </si>
  <si>
    <t>36-45</t>
  </si>
  <si>
    <t>46-55</t>
  </si>
  <si>
    <t>56-64</t>
  </si>
  <si>
    <t>Grand Total</t>
  </si>
  <si>
    <t>Avg Claim Cost</t>
  </si>
  <si>
    <t># of Members</t>
  </si>
  <si>
    <t>Avg Cost per Dependent</t>
  </si>
  <si>
    <t>High</t>
  </si>
  <si>
    <t>Low</t>
  </si>
  <si>
    <t>Risk Score</t>
  </si>
  <si>
    <t>Avg Percentile</t>
  </si>
  <si>
    <t>Non_smoker</t>
  </si>
  <si>
    <t>Smoker</t>
  </si>
  <si>
    <t>Age Group
Avg Claim Cost</t>
  </si>
  <si>
    <t>Normal</t>
  </si>
  <si>
    <t>Obese</t>
  </si>
  <si>
    <t>Overweight</t>
  </si>
  <si>
    <t>Underweight</t>
  </si>
  <si>
    <t xml:space="preserve">BMI Category 
</t>
  </si>
  <si>
    <t>Southeast</t>
  </si>
  <si>
    <t>Southwest</t>
  </si>
  <si>
    <t>Northeast</t>
  </si>
  <si>
    <t>Northwest</t>
  </si>
  <si>
    <t>Avg BMI</t>
  </si>
  <si>
    <t>Avg Dependents</t>
  </si>
  <si>
    <t>High Claimant</t>
  </si>
  <si>
    <t>Insurance Risk Analysis Dashboard</t>
  </si>
  <si>
    <t>Total members</t>
  </si>
  <si>
    <t>High Claimants</t>
  </si>
  <si>
    <t>Avg Risk Score</t>
  </si>
  <si>
    <t>Avg Age</t>
  </si>
  <si>
    <t>Prepared by: Erica Bilski | May 2026</t>
  </si>
  <si>
    <t>PROJECT OVERVIEW</t>
  </si>
  <si>
    <t>Insurance Risk Analysis - Executive Summary</t>
  </si>
  <si>
    <t>This analysis examines a dataset of 1,338 insurees to pinpoint key cost drivers and risk factors for acturial pricing decisions.The dataset contains demographic information, health indicators, and annual  medical charges across four U.S. regions.</t>
  </si>
  <si>
    <t>KEY FINDINGS</t>
  </si>
  <si>
    <r>
      <t>1.</t>
    </r>
    <r>
      <rPr>
        <b/>
        <sz val="12"/>
        <color theme="1"/>
        <rFont val="Aptos Narrow"/>
        <scheme val="minor"/>
      </rPr>
      <t xml:space="preserve"> Smoking status is the single largest cost driver </t>
    </r>
    <r>
      <rPr>
        <sz val="12"/>
        <color theme="1"/>
        <rFont val="Aptos Narrow"/>
        <scheme val="minor"/>
      </rPr>
      <t>-smokers average $32,050 annually while non-smokers average $8,434, a 3.8x difference that increases with age.</t>
    </r>
  </si>
  <si>
    <t>DECISION RECOMMENDATIONS</t>
  </si>
  <si>
    <r>
      <t xml:space="preserve">3. </t>
    </r>
    <r>
      <rPr>
        <b/>
        <sz val="12"/>
        <color theme="1"/>
        <rFont val="Aptos Narrow"/>
        <scheme val="minor"/>
      </rPr>
      <t>31% of insurees are high claimants</t>
    </r>
    <r>
      <rPr>
        <sz val="12"/>
        <color theme="1"/>
        <rFont val="Aptos Narrow"/>
        <family val="2"/>
        <scheme val="minor"/>
      </rPr>
      <t xml:space="preserve"> - this group generates disproportionately high costs and should be the focus of risk management efforts.</t>
    </r>
  </si>
  <si>
    <r>
      <t>4.</t>
    </r>
    <r>
      <rPr>
        <b/>
        <sz val="12"/>
        <color theme="1"/>
        <rFont val="Aptos Narrow"/>
        <scheme val="minor"/>
      </rPr>
      <t xml:space="preserve"> Age is a strong cost predictor </t>
    </r>
    <r>
      <rPr>
        <sz val="12"/>
        <color theme="1"/>
        <rFont val="Aptos Narrow"/>
        <family val="2"/>
        <scheme val="minor"/>
      </rPr>
      <t>-  average claim costs rise consistently from  $9,087 (18-25) to $18,796 (56-64), nearly doubling across age bands.</t>
    </r>
  </si>
  <si>
    <r>
      <t>5.</t>
    </r>
    <r>
      <rPr>
        <b/>
        <sz val="12"/>
        <color theme="1"/>
        <rFont val="Aptos Narrow"/>
        <scheme val="minor"/>
      </rPr>
      <t xml:space="preserve"> Risk scoring model is validated </t>
    </r>
    <r>
      <rPr>
        <sz val="12"/>
        <color theme="1"/>
        <rFont val="Aptos Narrow"/>
        <family val="2"/>
        <scheme val="minor"/>
      </rPr>
      <t>- average annual costs increase consistently from $7,279 (score 0) to $42,256 (score 6), confirming model effectively ranks low and high risk members.</t>
    </r>
  </si>
  <si>
    <t>2. Introduce regional pricing adjustment for  insurees who reside in the Southeast.</t>
  </si>
  <si>
    <t>5. Apply smoker loading factor of at least 3.8x to smoker premiums.</t>
  </si>
  <si>
    <t>RISK SEGMENTATION SUMMARY</t>
  </si>
  <si>
    <t>Risk Tier</t>
  </si>
  <si>
    <t>Score Range</t>
  </si>
  <si>
    <t>Low Risk</t>
  </si>
  <si>
    <t>High Risk</t>
  </si>
  <si>
    <t>0-3</t>
  </si>
  <si>
    <t>4-6</t>
  </si>
  <si>
    <r>
      <t xml:space="preserve">2. </t>
    </r>
    <r>
      <rPr>
        <b/>
        <sz val="12"/>
        <color theme="1"/>
        <rFont val="Aptos Narrow"/>
        <scheme val="minor"/>
      </rPr>
      <t xml:space="preserve"> Southeast is the highest cost region</t>
    </r>
    <r>
      <rPr>
        <sz val="12"/>
        <color theme="1"/>
        <rFont val="Aptos Narrow"/>
        <family val="2"/>
        <scheme val="minor"/>
      </rPr>
      <t xml:space="preserve"> - consistently more expensive across all BMI categories.</t>
    </r>
  </si>
  <si>
    <t>1. Implement age-banded premium tiers aligned with the five different age groups.</t>
  </si>
  <si>
    <t>3. Monitor high claimant group (scores 4-6) for case management opportunities.</t>
  </si>
  <si>
    <t>4. Utilize combined risk scores for underwriting decisions and flagging high risk applicants.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</si>
</sst>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Aptos Narrow (Body)"/>
    </font>
    <font>
      <sz val="10"/>
      <color theme="2" tint="-0.499984740745262"/>
      <name val="Aptos Narrow"/>
      <family val="2"/>
      <scheme val="minor"/>
    </font>
    <font>
      <b/>
      <sz val="24"/>
      <color theme="0"/>
      <name val="Aptos Narrow"/>
      <scheme val="minor"/>
    </font>
    <font>
      <b/>
      <sz val="20"/>
      <color theme="3" tint="0.249977111117893"/>
      <name val="Aptos Narrow"/>
      <scheme val="minor"/>
    </font>
    <font>
      <b/>
      <sz val="13"/>
      <color theme="0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9" fontId="0" fillId="0" borderId="0" xfId="2" applyFon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9" fontId="0" fillId="0" borderId="0" xfId="0" applyNumberFormat="1"/>
    <xf numFmtId="0" fontId="3" fillId="0" borderId="0" xfId="0" applyFont="1"/>
    <xf numFmtId="0" fontId="0" fillId="3" borderId="0" xfId="0" applyFill="1"/>
    <xf numFmtId="0" fontId="6" fillId="0" borderId="0" xfId="0" applyFont="1"/>
    <xf numFmtId="0" fontId="10" fillId="2" borderId="6" xfId="0" applyFont="1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3" fontId="0" fillId="7" borderId="6" xfId="0" applyNumberFormat="1" applyFill="1" applyBorder="1" applyAlignment="1">
      <alignment horizontal="center"/>
    </xf>
    <xf numFmtId="6" fontId="0" fillId="7" borderId="6" xfId="0" applyNumberFormat="1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6" fontId="0" fillId="8" borderId="6" xfId="0" applyNumberFormat="1" applyFill="1" applyBorder="1" applyAlignment="1">
      <alignment horizontal="center"/>
    </xf>
    <xf numFmtId="0" fontId="0" fillId="8" borderId="6" xfId="1" quotePrefix="1" applyNumberFormat="1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3" fontId="5" fillId="2" borderId="1" xfId="0" applyNumberFormat="1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center" vertical="center"/>
    </xf>
    <xf numFmtId="3" fontId="5" fillId="2" borderId="3" xfId="0" applyNumberFormat="1" applyFont="1" applyFill="1" applyBorder="1" applyAlignment="1">
      <alignment horizontal="center" vertical="center"/>
    </xf>
    <xf numFmtId="3" fontId="5" fillId="2" borderId="4" xfId="0" applyNumberFormat="1" applyFont="1" applyFill="1" applyBorder="1" applyAlignment="1">
      <alignment horizontal="center" vertical="center"/>
    </xf>
    <xf numFmtId="6" fontId="5" fillId="4" borderId="1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9" fontId="5" fillId="5" borderId="1" xfId="2" applyFont="1" applyFill="1" applyBorder="1" applyAlignment="1">
      <alignment horizontal="center" vertical="center"/>
    </xf>
    <xf numFmtId="9" fontId="5" fillId="5" borderId="2" xfId="2" applyFont="1" applyFill="1" applyBorder="1" applyAlignment="1">
      <alignment horizontal="center" vertical="center"/>
    </xf>
    <xf numFmtId="9" fontId="5" fillId="5" borderId="3" xfId="2" applyFont="1" applyFill="1" applyBorder="1" applyAlignment="1">
      <alignment horizontal="center" vertical="center"/>
    </xf>
    <xf numFmtId="9" fontId="5" fillId="5" borderId="4" xfId="2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2" fontId="5" fillId="6" borderId="2" xfId="0" applyNumberFormat="1" applyFont="1" applyFill="1" applyBorder="1" applyAlignment="1">
      <alignment horizontal="center" vertical="center"/>
    </xf>
    <xf numFmtId="2" fontId="5" fillId="6" borderId="3" xfId="0" applyNumberFormat="1" applyFont="1" applyFill="1" applyBorder="1" applyAlignment="1">
      <alignment horizontal="center" vertical="center"/>
    </xf>
    <xf numFmtId="2" fontId="5" fillId="6" borderId="4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[insurance_analysis_project.xlsx]Analysis!PivotTable2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Avg</a:t>
            </a:r>
            <a:r>
              <a:rPr lang="en-US" b="1" baseline="0"/>
              <a:t> Claim Cost by Age Group</a:t>
            </a:r>
            <a:endParaRPr lang="en-US" b="1"/>
          </a:p>
        </c:rich>
      </c:tx>
      <c:layout>
        <c:manualLayout>
          <c:xMode val="edge"/>
          <c:yMode val="edge"/>
          <c:x val="0.30234944590259549"/>
          <c:y val="2.2222222222222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</c:f>
              <c:strCache>
                <c:ptCount val="1"/>
                <c:pt idx="0">
                  <c:v>Avg Claim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Analysis!$A$3:$A$8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56-64</c:v>
                </c:pt>
              </c:strCache>
            </c:strRef>
          </c:cat>
          <c:val>
            <c:numRef>
              <c:f>Analysis!$B$3:$B$8</c:f>
              <c:numCache>
                <c:formatCode>_("$"* #,##0.00_);_("$"* \(#,##0.00\);_("$"* "-"??_);_(@_)</c:formatCode>
                <c:ptCount val="5"/>
                <c:pt idx="0">
                  <c:v>9087.0158069248355</c:v>
                </c:pt>
                <c:pt idx="1">
                  <c:v>10495.163046902982</c:v>
                </c:pt>
                <c:pt idx="2">
                  <c:v>13493.485246780301</c:v>
                </c:pt>
                <c:pt idx="3">
                  <c:v>15986.900309542252</c:v>
                </c:pt>
                <c:pt idx="4">
                  <c:v>18795.993815787024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9-9B4D-9E40-F17B1B9B58DF}"/>
            </c:ext>
          </c:extLst>
        </c:ser>
        <c:ser>
          <c:idx val="1"/>
          <c:order val="1"/>
          <c:tx>
            <c:strRef>
              <c:f>Analysis!$C$2</c:f>
              <c:strCache>
                <c:ptCount val="1"/>
                <c:pt idx="0">
                  <c:v>Avg Cost per Dependent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Analysis!$A$3:$A$8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56-64</c:v>
                </c:pt>
              </c:strCache>
            </c:strRef>
          </c:cat>
          <c:val>
            <c:numRef>
              <c:f>Analysis!$C$3:$C$8</c:f>
              <c:numCache>
                <c:formatCode>_("$"* #,##0.00_);_("$"* \(#,##0.00\);_("$"* "-"??_);_(@_)</c:formatCode>
                <c:ptCount val="5"/>
                <c:pt idx="0">
                  <c:v>6660.1659686546827</c:v>
                </c:pt>
                <c:pt idx="1">
                  <c:v>5884.5025758470156</c:v>
                </c:pt>
                <c:pt idx="2">
                  <c:v>7099.2453771944456</c:v>
                </c:pt>
                <c:pt idx="3">
                  <c:v>8882.9349776613817</c:v>
                </c:pt>
                <c:pt idx="4">
                  <c:v>14132.873953728396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F9-9B4D-9E40-F17B1B9B58DF}"/>
            </c:ext>
          </c:extLst>
        </c:ser>
        <c:ser>
          <c:idx val="2"/>
          <c:order val="2"/>
          <c:tx>
            <c:strRef>
              <c:f>Analysis!$D$2</c:f>
              <c:strCache>
                <c:ptCount val="1"/>
                <c:pt idx="0">
                  <c:v># of Members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Analysis!$A$3:$A$8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56-64</c:v>
                </c:pt>
              </c:strCache>
            </c:strRef>
          </c:cat>
          <c:val>
            <c:numRef>
              <c:f>Analysis!$D$3:$D$8</c:f>
              <c:numCache>
                <c:formatCode>General</c:formatCode>
                <c:ptCount val="5"/>
                <c:pt idx="0">
                  <c:v>306</c:v>
                </c:pt>
                <c:pt idx="1">
                  <c:v>268</c:v>
                </c:pt>
                <c:pt idx="2">
                  <c:v>264</c:v>
                </c:pt>
                <c:pt idx="3">
                  <c:v>284</c:v>
                </c:pt>
                <c:pt idx="4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F9-9B4D-9E40-F17B1B9B5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35359"/>
        <c:axId val="2109276608"/>
      </c:barChart>
      <c:catAx>
        <c:axId val="2993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276608"/>
        <c:crosses val="autoZero"/>
        <c:auto val="1"/>
        <c:lblAlgn val="ctr"/>
        <c:lblOffset val="100"/>
        <c:noMultiLvlLbl val="0"/>
      </c:catAx>
      <c:valAx>
        <c:axId val="210927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3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[insurance_analysis_project.xlsx]Analysis!PivotTable3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Avg</a:t>
            </a:r>
            <a:r>
              <a:rPr lang="en-US" b="1" baseline="0"/>
              <a:t> Claim Cost by Risk Score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Analysis!$G$2</c:f>
              <c:strCache>
                <c:ptCount val="1"/>
                <c:pt idx="0">
                  <c:v>Avg Claim Cost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Analysis!$F$3:$F$10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Analysis!$G$3:$G$10</c:f>
              <c:numCache>
                <c:formatCode>_("$"* #,##0.00_);_("$"* \(#,##0.00\);_("$"* "-"??_);_(@_)</c:formatCode>
                <c:ptCount val="7"/>
                <c:pt idx="0">
                  <c:v>7278.5358419018421</c:v>
                </c:pt>
                <c:pt idx="1">
                  <c:v>8534.5857911834501</c:v>
                </c:pt>
                <c:pt idx="2">
                  <c:v>8925.3109553652903</c:v>
                </c:pt>
                <c:pt idx="3">
                  <c:v>10178.924307477881</c:v>
                </c:pt>
                <c:pt idx="4">
                  <c:v>22284.289325942031</c:v>
                </c:pt>
                <c:pt idx="5">
                  <c:v>37722.818305094348</c:v>
                </c:pt>
                <c:pt idx="6">
                  <c:v>42256.051772586201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D-BA4F-A6BA-E023E129AD7B}"/>
            </c:ext>
          </c:extLst>
        </c:ser>
        <c:ser>
          <c:idx val="1"/>
          <c:order val="1"/>
          <c:tx>
            <c:strRef>
              <c:f>Analysis!$H$2</c:f>
              <c:strCache>
                <c:ptCount val="1"/>
                <c:pt idx="0">
                  <c:v># of Members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Analysis!$F$3:$F$10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Analysis!$H$3:$H$10</c:f>
              <c:numCache>
                <c:formatCode>General</c:formatCode>
                <c:ptCount val="7"/>
                <c:pt idx="0">
                  <c:v>163</c:v>
                </c:pt>
                <c:pt idx="1">
                  <c:v>278</c:v>
                </c:pt>
                <c:pt idx="2">
                  <c:v>438</c:v>
                </c:pt>
                <c:pt idx="3">
                  <c:v>226</c:v>
                </c:pt>
                <c:pt idx="4">
                  <c:v>69</c:v>
                </c:pt>
                <c:pt idx="5">
                  <c:v>106</c:v>
                </c:pt>
                <c:pt idx="6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7D-BA4F-A6BA-E023E129AD7B}"/>
            </c:ext>
          </c:extLst>
        </c:ser>
        <c:ser>
          <c:idx val="2"/>
          <c:order val="2"/>
          <c:tx>
            <c:strRef>
              <c:f>Analysis!$I$2</c:f>
              <c:strCache>
                <c:ptCount val="1"/>
                <c:pt idx="0">
                  <c:v>Avg Percentile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Analysis!$F$3:$F$10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Analysis!$I$3:$I$10</c:f>
              <c:numCache>
                <c:formatCode>0%</c:formatCode>
                <c:ptCount val="7"/>
                <c:pt idx="0">
                  <c:v>0.35050920245398776</c:v>
                </c:pt>
                <c:pt idx="1">
                  <c:v>0.40433453237410055</c:v>
                </c:pt>
                <c:pt idx="2">
                  <c:v>0.42913470319634711</c:v>
                </c:pt>
                <c:pt idx="3">
                  <c:v>0.45320796460176999</c:v>
                </c:pt>
                <c:pt idx="4">
                  <c:v>0.81304347826086942</c:v>
                </c:pt>
                <c:pt idx="5">
                  <c:v>0.91782075471698066</c:v>
                </c:pt>
                <c:pt idx="6">
                  <c:v>0.94858620689655171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7D-BA4F-A6BA-E023E129A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447679"/>
        <c:axId val="2130621120"/>
      </c:barChart>
      <c:catAx>
        <c:axId val="1144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621120"/>
        <c:crosses val="autoZero"/>
        <c:auto val="1"/>
        <c:lblAlgn val="ctr"/>
        <c:lblOffset val="100"/>
        <c:noMultiLvlLbl val="0"/>
      </c:catAx>
      <c:valAx>
        <c:axId val="213062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[insurance_analysis_project.xlsx]Analysis!PivotTable4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Smoker</a:t>
            </a:r>
            <a:r>
              <a:rPr lang="en-US" b="1" baseline="0"/>
              <a:t> vs Non-Smoker Cost by Age Group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Analysis!$L$2:$L$3</c:f>
              <c:strCache>
                <c:ptCount val="1"/>
                <c:pt idx="0">
                  <c:v>Non_smoker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Analysis!$K$4:$K$9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56-64</c:v>
                </c:pt>
              </c:strCache>
            </c:strRef>
          </c:cat>
          <c:val>
            <c:numRef>
              <c:f>Analysis!$L$4:$L$9</c:f>
              <c:numCache>
                <c:formatCode>_("$"* #,##0.00_);_("$"* \(#,##0.00\);_("$"* "-"??_);_(@_)</c:formatCode>
                <c:ptCount val="5"/>
                <c:pt idx="0">
                  <c:v>4003.9239230663907</c:v>
                </c:pt>
                <c:pt idx="1">
                  <c:v>5796.8447539622648</c:v>
                </c:pt>
                <c:pt idx="2">
                  <c:v>7822.872646650244</c:v>
                </c:pt>
                <c:pt idx="3">
                  <c:v>11692.787747543098</c:v>
                </c:pt>
                <c:pt idx="4">
                  <c:v>14087.584152954541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E7-A94F-B40B-C184E07ACFF5}"/>
            </c:ext>
          </c:extLst>
        </c:ser>
        <c:ser>
          <c:idx val="1"/>
          <c:order val="1"/>
          <c:tx>
            <c:strRef>
              <c:f>Analysis!$M$2:$M$3</c:f>
              <c:strCache>
                <c:ptCount val="1"/>
                <c:pt idx="0">
                  <c:v>Smoker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Analysis!$K$4:$K$9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56-64</c:v>
                </c:pt>
              </c:strCache>
            </c:strRef>
          </c:cat>
          <c:val>
            <c:numRef>
              <c:f>Analysis!$M$4:$M$9</c:f>
              <c:numCache>
                <c:formatCode>_("$"* #,##0.00_);_("$"* \(#,##0.00\);_("$"* "-"??_);_(@_)</c:formatCode>
                <c:ptCount val="5"/>
                <c:pt idx="0">
                  <c:v>27933.556484000004</c:v>
                </c:pt>
                <c:pt idx="1">
                  <c:v>28281.653727321416</c:v>
                </c:pt>
                <c:pt idx="2">
                  <c:v>32364.540293114755</c:v>
                </c:pt>
                <c:pt idx="3">
                  <c:v>35145.248663076934</c:v>
                </c:pt>
                <c:pt idx="4">
                  <c:v>39512.996332249997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E7-A94F-B40B-C184E07AC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4406335"/>
        <c:axId val="274339967"/>
      </c:barChart>
      <c:catAx>
        <c:axId val="32440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339967"/>
        <c:crosses val="autoZero"/>
        <c:auto val="1"/>
        <c:lblAlgn val="ctr"/>
        <c:lblOffset val="100"/>
        <c:noMultiLvlLbl val="0"/>
      </c:catAx>
      <c:valAx>
        <c:axId val="27433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40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[insurance_analysis_project.xlsx]Analysis!PivotTable5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Avg</a:t>
            </a:r>
            <a:r>
              <a:rPr lang="en-US" b="1" baseline="0"/>
              <a:t> Claim Cost by BMI Category &amp; Region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Analysis!$B$16:$B$17</c:f>
              <c:strCache>
                <c:ptCount val="1"/>
                <c:pt idx="0">
                  <c:v>Northeast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Analysis!$A$18:$A$22</c:f>
              <c:strCache>
                <c:ptCount val="4"/>
                <c:pt idx="0">
                  <c:v>Normal</c:v>
                </c:pt>
                <c:pt idx="1">
                  <c:v>Obese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Analysis!$B$18:$B$22</c:f>
              <c:numCache>
                <c:formatCode>_("$"* #,##0.00_);_("$"* \(#,##0.00\);_("$"* "-"??_);_(@_)</c:formatCode>
                <c:ptCount val="4"/>
                <c:pt idx="0">
                  <c:v>11317.394238493152</c:v>
                </c:pt>
                <c:pt idx="1">
                  <c:v>16565.81692335664</c:v>
                </c:pt>
                <c:pt idx="2">
                  <c:v>10810.640251622452</c:v>
                </c:pt>
                <c:pt idx="3">
                  <c:v>8914.4239200000011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6-6644-97C7-E0C2F11FA9C9}"/>
            </c:ext>
          </c:extLst>
        </c:ser>
        <c:ser>
          <c:idx val="1"/>
          <c:order val="1"/>
          <c:tx>
            <c:strRef>
              <c:f>Analysis!$C$16:$C$17</c:f>
              <c:strCache>
                <c:ptCount val="1"/>
                <c:pt idx="0">
                  <c:v>Northwest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Analysis!$A$18:$A$22</c:f>
              <c:strCache>
                <c:ptCount val="4"/>
                <c:pt idx="0">
                  <c:v>Normal</c:v>
                </c:pt>
                <c:pt idx="1">
                  <c:v>Obese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Analysis!$C$18:$C$22</c:f>
              <c:numCache>
                <c:formatCode>_("$"* #,##0.00_);_("$"* \(#,##0.00\);_("$"* "-"??_);_(@_)</c:formatCode>
                <c:ptCount val="4"/>
                <c:pt idx="0">
                  <c:v>10000.515592380947</c:v>
                </c:pt>
                <c:pt idx="1">
                  <c:v>14309.985293243244</c:v>
                </c:pt>
                <c:pt idx="2">
                  <c:v>11432.133012336444</c:v>
                </c:pt>
                <c:pt idx="3">
                  <c:v>9223.3512142857144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E6-6644-97C7-E0C2F11FA9C9}"/>
            </c:ext>
          </c:extLst>
        </c:ser>
        <c:ser>
          <c:idx val="2"/>
          <c:order val="2"/>
          <c:tx>
            <c:strRef>
              <c:f>Analysis!$D$16:$D$17</c:f>
              <c:strCache>
                <c:ptCount val="1"/>
                <c:pt idx="0">
                  <c:v>Southeast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Analysis!$A$18:$A$22</c:f>
              <c:strCache>
                <c:ptCount val="4"/>
                <c:pt idx="0">
                  <c:v>Normal</c:v>
                </c:pt>
                <c:pt idx="1">
                  <c:v>Obese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Analysis!$D$18:$D$22</c:f>
              <c:numCache>
                <c:formatCode>_("$"* #,##0.00_);_("$"* \(#,##0.00\);_("$"* "-"??_);_(@_)</c:formatCode>
                <c:ptCount val="4"/>
                <c:pt idx="0">
                  <c:v>13123.557043658539</c:v>
                </c:pt>
                <c:pt idx="1">
                  <c:v>16282.346012757196</c:v>
                </c:pt>
                <c:pt idx="2">
                  <c:v>10862.673042500004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E6-6644-97C7-E0C2F11FA9C9}"/>
            </c:ext>
          </c:extLst>
        </c:ser>
        <c:ser>
          <c:idx val="3"/>
          <c:order val="3"/>
          <c:tx>
            <c:strRef>
              <c:f>Analysis!$E$16:$E$17</c:f>
              <c:strCache>
                <c:ptCount val="1"/>
                <c:pt idx="0">
                  <c:v>Southwest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Analysis!$A$18:$A$22</c:f>
              <c:strCache>
                <c:ptCount val="4"/>
                <c:pt idx="0">
                  <c:v>Normal</c:v>
                </c:pt>
                <c:pt idx="1">
                  <c:v>Obese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Analysis!$E$18:$E$22</c:f>
              <c:numCache>
                <c:formatCode>_("$"* #,##0.00_);_("$"* \(#,##0.00\);_("$"* "-"??_);_(@_)</c:formatCode>
                <c:ptCount val="4"/>
                <c:pt idx="0">
                  <c:v>7246.5184166666695</c:v>
                </c:pt>
                <c:pt idx="1">
                  <c:v>14752.031514161854</c:v>
                </c:pt>
                <c:pt idx="2">
                  <c:v>10786.970273960398</c:v>
                </c:pt>
                <c:pt idx="3">
                  <c:v>7778.7713333333331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E6-6644-97C7-E0C2F11FA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81535487"/>
        <c:axId val="581534143"/>
      </c:barChart>
      <c:catAx>
        <c:axId val="581535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534143"/>
        <c:crosses val="autoZero"/>
        <c:auto val="1"/>
        <c:lblAlgn val="ctr"/>
        <c:lblOffset val="100"/>
        <c:noMultiLvlLbl val="0"/>
      </c:catAx>
      <c:valAx>
        <c:axId val="581534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53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63500</xdr:rowOff>
    </xdr:from>
    <xdr:to>
      <xdr:col>5</xdr:col>
      <xdr:colOff>423333</xdr:colOff>
      <xdr:row>22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5B6809-ECD9-B2DE-7E04-FBF436C987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593856</xdr:colOff>
      <xdr:row>6</xdr:row>
      <xdr:rowOff>61455</xdr:rowOff>
    </xdr:from>
    <xdr:to>
      <xdr:col>13</xdr:col>
      <xdr:colOff>187456</xdr:colOff>
      <xdr:row>22</xdr:row>
      <xdr:rowOff>10655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5C9727-9CC7-ADB0-D8D1-898D26854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272835</xdr:colOff>
      <xdr:row>31</xdr:row>
      <xdr:rowOff>16981</xdr:rowOff>
    </xdr:from>
    <xdr:to>
      <xdr:col>5</xdr:col>
      <xdr:colOff>696168</xdr:colOff>
      <xdr:row>46</xdr:row>
      <xdr:rowOff>169381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0264E4-84DD-3C4B-6672-14512F308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548716</xdr:colOff>
      <xdr:row>31</xdr:row>
      <xdr:rowOff>131708</xdr:rowOff>
    </xdr:from>
    <xdr:to>
      <xdr:col>13</xdr:col>
      <xdr:colOff>142316</xdr:colOff>
      <xdr:row>47</xdr:row>
      <xdr:rowOff>80908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58D5D1-37EB-F2F6-41CF-31E5E8E52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ica Bilski" refreshedDate="46158.915121064812" createdVersion="8" refreshedVersion="8" minRefreshableVersion="3" recordCount="1338" xr:uid="{D7F902DF-DFEF-1140-BD98-C254EA4B2740}">
  <cacheSource type="worksheet">
    <worksheetSource name="insurance3"/>
  </cacheSource>
  <cacheFields count="15">
    <cacheField name="Age" numFmtId="0">
      <sharedItems containsSemiMixedTypes="0" containsString="0" containsNumber="1" containsInteger="1" minValue="18" maxValue="64"/>
    </cacheField>
    <cacheField name="Age Group" numFmtId="0">
      <sharedItems count="5">
        <s v="18-25"/>
        <s v="26-35"/>
        <s v="46-55"/>
        <s v="36-45"/>
        <s v="56-64"/>
      </sharedItems>
    </cacheField>
    <cacheField name="Sex" numFmtId="0">
      <sharedItems/>
    </cacheField>
    <cacheField name="BMI" numFmtId="0">
      <sharedItems containsSemiMixedTypes="0" containsString="0" containsNumber="1" minValue="15.96" maxValue="53.13"/>
    </cacheField>
    <cacheField name="Dependents" numFmtId="0">
      <sharedItems containsSemiMixedTypes="0" containsString="0" containsNumber="1" containsInteger="1" minValue="0" maxValue="5"/>
    </cacheField>
    <cacheField name="Smoker Status" numFmtId="0">
      <sharedItems count="2">
        <s v="yes"/>
        <s v="no"/>
      </sharedItems>
    </cacheField>
    <cacheField name="Region" numFmtId="0">
      <sharedItems count="4">
        <s v="Southwest"/>
        <s v="Southeast"/>
        <s v="Northwest"/>
        <s v="Northeast"/>
      </sharedItems>
    </cacheField>
    <cacheField name="Annual Charges" numFmtId="44">
      <sharedItems containsSemiMixedTypes="0" containsString="0" containsNumber="1" minValue="1121.8739" maxValue="63770.428010000003"/>
    </cacheField>
    <cacheField name="Cost per Dependent" numFmtId="44">
      <sharedItems containsSemiMixedTypes="0" containsString="0" containsNumber="1" minValue="768.0007333333333" maxValue="63770.428010000003"/>
    </cacheField>
    <cacheField name="High Claimant Flag" numFmtId="0">
      <sharedItems count="2">
        <s v="High"/>
        <s v="Low"/>
      </sharedItems>
    </cacheField>
    <cacheField name="Cost Percentile Rank" numFmtId="9">
      <sharedItems containsSemiMixedTypes="0" containsString="0" containsNumber="1" minValue="0" maxValue="1"/>
    </cacheField>
    <cacheField name="BMI Risk" numFmtId="0">
      <sharedItems count="4">
        <s v="Overweight"/>
        <s v="Obese"/>
        <s v="Normal"/>
        <s v="Underweight"/>
      </sharedItems>
    </cacheField>
    <cacheField name="Smoker Risk Flag" numFmtId="0">
      <sharedItems/>
    </cacheField>
    <cacheField name="Region Risk Tier" numFmtId="0">
      <sharedItems/>
    </cacheField>
    <cacheField name="Combined Risk Score" numFmtId="0">
      <sharedItems containsSemiMixedTypes="0" containsString="0" containsNumber="1" containsInteger="1" minValue="0" maxValue="6" count="7">
        <n v="4"/>
        <n v="3"/>
        <n v="0"/>
        <n v="1"/>
        <n v="2"/>
        <n v="5"/>
        <n v="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8">
  <r>
    <n v="19"/>
    <x v="0"/>
    <s v="female"/>
    <n v="27.9"/>
    <n v="0"/>
    <x v="0"/>
    <x v="0"/>
    <n v="16884.923999999999"/>
    <n v="16884.923999999999"/>
    <x v="0"/>
    <n v="0.752"/>
    <x v="0"/>
    <s v="High Risk"/>
    <s v="Tier 3"/>
    <x v="0"/>
  </r>
  <r>
    <n v="18"/>
    <x v="0"/>
    <s v="male"/>
    <n v="33.770000000000003"/>
    <n v="1"/>
    <x v="1"/>
    <x v="1"/>
    <n v="1725.5523000000001"/>
    <n v="862.77615000000003"/>
    <x v="1"/>
    <n v="4.2999999999999997E-2"/>
    <x v="1"/>
    <s v="Standard"/>
    <s v="Tier 1"/>
    <x v="1"/>
  </r>
  <r>
    <n v="28"/>
    <x v="1"/>
    <s v="male"/>
    <n v="33"/>
    <n v="3"/>
    <x v="1"/>
    <x v="1"/>
    <n v="4449.4620000000004"/>
    <n v="1112.3655000000001"/>
    <x v="1"/>
    <n v="0.22900000000000001"/>
    <x v="1"/>
    <s v="Standard"/>
    <s v="Tier 1"/>
    <x v="1"/>
  </r>
  <r>
    <n v="33"/>
    <x v="1"/>
    <s v="male"/>
    <n v="22.704999999999998"/>
    <n v="0"/>
    <x v="1"/>
    <x v="2"/>
    <n v="21984.47061"/>
    <n v="21984.47061"/>
    <x v="0"/>
    <n v="0.82099999999999995"/>
    <x v="2"/>
    <s v="Standard"/>
    <s v="Tier 4"/>
    <x v="2"/>
  </r>
  <r>
    <n v="32"/>
    <x v="1"/>
    <s v="male"/>
    <n v="28.88"/>
    <n v="0"/>
    <x v="1"/>
    <x v="2"/>
    <n v="3866.8552"/>
    <n v="3866.8552"/>
    <x v="1"/>
    <n v="0.19"/>
    <x v="0"/>
    <s v="Standard"/>
    <s v="Tier 4"/>
    <x v="3"/>
  </r>
  <r>
    <n v="31"/>
    <x v="1"/>
    <s v="female"/>
    <n v="25.74"/>
    <n v="0"/>
    <x v="1"/>
    <x v="1"/>
    <n v="3756.6215999999999"/>
    <n v="3756.6215999999999"/>
    <x v="1"/>
    <n v="0.185"/>
    <x v="0"/>
    <s v="Standard"/>
    <s v="Tier 1"/>
    <x v="4"/>
  </r>
  <r>
    <n v="46"/>
    <x v="2"/>
    <s v="female"/>
    <n v="33.44"/>
    <n v="1"/>
    <x v="1"/>
    <x v="1"/>
    <n v="8240.5895999999993"/>
    <n v="4120.2947999999997"/>
    <x v="1"/>
    <n v="0.439"/>
    <x v="1"/>
    <s v="Standard"/>
    <s v="Tier 1"/>
    <x v="1"/>
  </r>
  <r>
    <n v="37"/>
    <x v="3"/>
    <s v="female"/>
    <n v="27.74"/>
    <n v="3"/>
    <x v="1"/>
    <x v="2"/>
    <n v="7281.5056000000004"/>
    <n v="1820.3764000000001"/>
    <x v="1"/>
    <n v="0.39400000000000002"/>
    <x v="0"/>
    <s v="Standard"/>
    <s v="Tier 4"/>
    <x v="3"/>
  </r>
  <r>
    <n v="37"/>
    <x v="3"/>
    <s v="male"/>
    <n v="29.83"/>
    <n v="2"/>
    <x v="1"/>
    <x v="3"/>
    <n v="6406.4107000000004"/>
    <n v="2135.4702333333335"/>
    <x v="1"/>
    <n v="0.34399999999999997"/>
    <x v="0"/>
    <s v="Standard"/>
    <s v="Tier 2"/>
    <x v="3"/>
  </r>
  <r>
    <n v="60"/>
    <x v="4"/>
    <s v="female"/>
    <n v="25.84"/>
    <n v="0"/>
    <x v="1"/>
    <x v="2"/>
    <n v="28923.136920000001"/>
    <n v="28923.136920000001"/>
    <x v="0"/>
    <n v="0.875"/>
    <x v="0"/>
    <s v="Standard"/>
    <s v="Tier 4"/>
    <x v="3"/>
  </r>
  <r>
    <n v="25"/>
    <x v="0"/>
    <s v="male"/>
    <n v="26.22"/>
    <n v="0"/>
    <x v="1"/>
    <x v="3"/>
    <n v="2721.3208"/>
    <n v="2721.3208"/>
    <x v="1"/>
    <n v="0.126"/>
    <x v="0"/>
    <s v="Standard"/>
    <s v="Tier 2"/>
    <x v="3"/>
  </r>
  <r>
    <n v="62"/>
    <x v="4"/>
    <s v="female"/>
    <n v="26.29"/>
    <n v="0"/>
    <x v="0"/>
    <x v="1"/>
    <n v="27808.7251"/>
    <n v="27808.7251"/>
    <x v="0"/>
    <n v="0.86899999999999999"/>
    <x v="0"/>
    <s v="High Risk"/>
    <s v="Tier 1"/>
    <x v="5"/>
  </r>
  <r>
    <n v="23"/>
    <x v="0"/>
    <s v="male"/>
    <n v="34.4"/>
    <n v="0"/>
    <x v="1"/>
    <x v="0"/>
    <n v="1826.8430000000001"/>
    <n v="1826.8430000000001"/>
    <x v="1"/>
    <n v="5.2999999999999999E-2"/>
    <x v="1"/>
    <s v="Standard"/>
    <s v="Tier 3"/>
    <x v="4"/>
  </r>
  <r>
    <n v="56"/>
    <x v="4"/>
    <s v="female"/>
    <n v="39.82"/>
    <n v="0"/>
    <x v="1"/>
    <x v="1"/>
    <n v="11090.7178"/>
    <n v="11090.7178"/>
    <x v="1"/>
    <n v="0.58199999999999996"/>
    <x v="1"/>
    <s v="Standard"/>
    <s v="Tier 1"/>
    <x v="1"/>
  </r>
  <r>
    <n v="27"/>
    <x v="1"/>
    <s v="male"/>
    <n v="42.13"/>
    <n v="0"/>
    <x v="0"/>
    <x v="1"/>
    <n v="39611.757700000002"/>
    <n v="39611.757700000002"/>
    <x v="0"/>
    <n v="0.93500000000000005"/>
    <x v="1"/>
    <s v="High Risk"/>
    <s v="Tier 1"/>
    <x v="6"/>
  </r>
  <r>
    <n v="19"/>
    <x v="0"/>
    <s v="male"/>
    <n v="24.6"/>
    <n v="1"/>
    <x v="1"/>
    <x v="0"/>
    <n v="1837.2370000000001"/>
    <n v="918.61850000000004"/>
    <x v="1"/>
    <n v="5.3999999999999999E-2"/>
    <x v="2"/>
    <s v="Standard"/>
    <s v="Tier 3"/>
    <x v="2"/>
  </r>
  <r>
    <n v="52"/>
    <x v="2"/>
    <s v="female"/>
    <n v="30.78"/>
    <n v="1"/>
    <x v="1"/>
    <x v="3"/>
    <n v="10797.3362"/>
    <n v="5398.6680999999999"/>
    <x v="1"/>
    <n v="0.56599999999999995"/>
    <x v="1"/>
    <s v="Standard"/>
    <s v="Tier 2"/>
    <x v="4"/>
  </r>
  <r>
    <n v="23"/>
    <x v="0"/>
    <s v="male"/>
    <n v="23.844999999999999"/>
    <n v="0"/>
    <x v="1"/>
    <x v="3"/>
    <n v="2395.17155"/>
    <n v="2395.17155"/>
    <x v="1"/>
    <n v="0.10100000000000001"/>
    <x v="2"/>
    <s v="Standard"/>
    <s v="Tier 2"/>
    <x v="2"/>
  </r>
  <r>
    <n v="56"/>
    <x v="4"/>
    <s v="male"/>
    <n v="40.299999999999997"/>
    <n v="0"/>
    <x v="1"/>
    <x v="0"/>
    <n v="10602.385"/>
    <n v="10602.385"/>
    <x v="1"/>
    <n v="0.56000000000000005"/>
    <x v="1"/>
    <s v="Standard"/>
    <s v="Tier 3"/>
    <x v="4"/>
  </r>
  <r>
    <n v="30"/>
    <x v="1"/>
    <s v="male"/>
    <n v="35.299999999999997"/>
    <n v="0"/>
    <x v="0"/>
    <x v="0"/>
    <n v="36837.466999999997"/>
    <n v="36837.466999999997"/>
    <x v="0"/>
    <n v="0.91300000000000003"/>
    <x v="1"/>
    <s v="High Risk"/>
    <s v="Tier 3"/>
    <x v="5"/>
  </r>
  <r>
    <n v="60"/>
    <x v="4"/>
    <s v="female"/>
    <n v="36.005000000000003"/>
    <n v="0"/>
    <x v="1"/>
    <x v="3"/>
    <n v="13228.846949999999"/>
    <n v="13228.846949999999"/>
    <x v="1"/>
    <n v="0.68500000000000005"/>
    <x v="1"/>
    <s v="Standard"/>
    <s v="Tier 2"/>
    <x v="4"/>
  </r>
  <r>
    <n v="30"/>
    <x v="1"/>
    <s v="female"/>
    <n v="32.4"/>
    <n v="1"/>
    <x v="1"/>
    <x v="0"/>
    <n v="4149.7359999999999"/>
    <n v="2074.8679999999999"/>
    <x v="1"/>
    <n v="0.20799999999999999"/>
    <x v="1"/>
    <s v="Standard"/>
    <s v="Tier 3"/>
    <x v="4"/>
  </r>
  <r>
    <n v="18"/>
    <x v="0"/>
    <s v="male"/>
    <n v="34.1"/>
    <n v="0"/>
    <x v="1"/>
    <x v="1"/>
    <n v="1137.011"/>
    <n v="1137.011"/>
    <x v="1"/>
    <n v="2E-3"/>
    <x v="1"/>
    <s v="Standard"/>
    <s v="Tier 1"/>
    <x v="1"/>
  </r>
  <r>
    <n v="34"/>
    <x v="1"/>
    <s v="female"/>
    <n v="31.92"/>
    <n v="1"/>
    <x v="0"/>
    <x v="3"/>
    <n v="37701.876799999998"/>
    <n v="18850.938399999999"/>
    <x v="0"/>
    <n v="0.92100000000000004"/>
    <x v="1"/>
    <s v="High Risk"/>
    <s v="Tier 2"/>
    <x v="5"/>
  </r>
  <r>
    <n v="37"/>
    <x v="3"/>
    <s v="male"/>
    <n v="28.024999999999999"/>
    <n v="2"/>
    <x v="1"/>
    <x v="2"/>
    <n v="6203.90175"/>
    <n v="2067.9672500000001"/>
    <x v="1"/>
    <n v="0.33100000000000002"/>
    <x v="0"/>
    <s v="Standard"/>
    <s v="Tier 4"/>
    <x v="3"/>
  </r>
  <r>
    <n v="59"/>
    <x v="4"/>
    <s v="female"/>
    <n v="27.72"/>
    <n v="3"/>
    <x v="1"/>
    <x v="1"/>
    <n v="14001.1338"/>
    <n v="3500.2834499999999"/>
    <x v="0"/>
    <n v="0.70899999999999996"/>
    <x v="0"/>
    <s v="Standard"/>
    <s v="Tier 1"/>
    <x v="4"/>
  </r>
  <r>
    <n v="63"/>
    <x v="4"/>
    <s v="female"/>
    <n v="23.085000000000001"/>
    <n v="0"/>
    <x v="1"/>
    <x v="3"/>
    <n v="14451.835150000001"/>
    <n v="14451.835150000001"/>
    <x v="0"/>
    <n v="0.72499999999999998"/>
    <x v="2"/>
    <s v="Standard"/>
    <s v="Tier 2"/>
    <x v="2"/>
  </r>
  <r>
    <n v="55"/>
    <x v="2"/>
    <s v="female"/>
    <n v="32.774999999999999"/>
    <n v="2"/>
    <x v="1"/>
    <x v="2"/>
    <n v="12268.632250000001"/>
    <n v="4089.5440833333337"/>
    <x v="1"/>
    <n v="0.64500000000000002"/>
    <x v="1"/>
    <s v="Standard"/>
    <s v="Tier 4"/>
    <x v="4"/>
  </r>
  <r>
    <n v="23"/>
    <x v="0"/>
    <s v="male"/>
    <n v="17.385000000000002"/>
    <n v="1"/>
    <x v="1"/>
    <x v="2"/>
    <n v="2775.1921499999999"/>
    <n v="1387.5960749999999"/>
    <x v="1"/>
    <n v="0.13"/>
    <x v="3"/>
    <s v="Standard"/>
    <s v="Tier 4"/>
    <x v="2"/>
  </r>
  <r>
    <n v="31"/>
    <x v="1"/>
    <s v="male"/>
    <n v="36.299999999999997"/>
    <n v="2"/>
    <x v="0"/>
    <x v="0"/>
    <n v="38711"/>
    <n v="12903.666666666666"/>
    <x v="0"/>
    <n v="0.92800000000000005"/>
    <x v="1"/>
    <s v="High Risk"/>
    <s v="Tier 3"/>
    <x v="5"/>
  </r>
  <r>
    <n v="22"/>
    <x v="0"/>
    <s v="male"/>
    <n v="35.6"/>
    <n v="0"/>
    <x v="0"/>
    <x v="0"/>
    <n v="35585.576000000001"/>
    <n v="35585.576000000001"/>
    <x v="0"/>
    <n v="0.90400000000000003"/>
    <x v="1"/>
    <s v="High Risk"/>
    <s v="Tier 3"/>
    <x v="5"/>
  </r>
  <r>
    <n v="18"/>
    <x v="0"/>
    <s v="female"/>
    <n v="26.315000000000001"/>
    <n v="0"/>
    <x v="1"/>
    <x v="3"/>
    <n v="2198.1898500000002"/>
    <n v="2198.1898500000002"/>
    <x v="1"/>
    <n v="8.5000000000000006E-2"/>
    <x v="0"/>
    <s v="Standard"/>
    <s v="Tier 2"/>
    <x v="3"/>
  </r>
  <r>
    <n v="19"/>
    <x v="0"/>
    <s v="female"/>
    <n v="28.6"/>
    <n v="5"/>
    <x v="1"/>
    <x v="0"/>
    <n v="4687.7969999999996"/>
    <n v="781.29949999999997"/>
    <x v="1"/>
    <n v="0.246"/>
    <x v="0"/>
    <s v="Standard"/>
    <s v="Tier 3"/>
    <x v="3"/>
  </r>
  <r>
    <n v="63"/>
    <x v="4"/>
    <s v="male"/>
    <n v="28.31"/>
    <n v="0"/>
    <x v="1"/>
    <x v="2"/>
    <n v="13770.097900000001"/>
    <n v="13770.097900000001"/>
    <x v="0"/>
    <n v="0.7"/>
    <x v="0"/>
    <s v="Standard"/>
    <s v="Tier 4"/>
    <x v="3"/>
  </r>
  <r>
    <n v="28"/>
    <x v="1"/>
    <s v="male"/>
    <n v="36.4"/>
    <n v="1"/>
    <x v="0"/>
    <x v="0"/>
    <n v="51194.559139999998"/>
    <n v="25597.279569999999"/>
    <x v="0"/>
    <n v="0.995"/>
    <x v="1"/>
    <s v="High Risk"/>
    <s v="Tier 3"/>
    <x v="5"/>
  </r>
  <r>
    <n v="19"/>
    <x v="0"/>
    <s v="male"/>
    <n v="20.425000000000001"/>
    <n v="0"/>
    <x v="1"/>
    <x v="2"/>
    <n v="1625.4337499999999"/>
    <n v="1625.4337499999999"/>
    <x v="1"/>
    <n v="2.1000000000000001E-2"/>
    <x v="2"/>
    <s v="Standard"/>
    <s v="Tier 4"/>
    <x v="2"/>
  </r>
  <r>
    <n v="62"/>
    <x v="4"/>
    <s v="female"/>
    <n v="32.965000000000003"/>
    <n v="3"/>
    <x v="1"/>
    <x v="2"/>
    <n v="15612.19335"/>
    <n v="3903.0483374999999"/>
    <x v="0"/>
    <n v="0.73799999999999999"/>
    <x v="1"/>
    <s v="Standard"/>
    <s v="Tier 4"/>
    <x v="4"/>
  </r>
  <r>
    <n v="26"/>
    <x v="1"/>
    <s v="male"/>
    <n v="20.8"/>
    <n v="0"/>
    <x v="1"/>
    <x v="0"/>
    <n v="2302.3000000000002"/>
    <n v="2302.3000000000002"/>
    <x v="1"/>
    <n v="9.7000000000000003E-2"/>
    <x v="2"/>
    <s v="Standard"/>
    <s v="Tier 3"/>
    <x v="2"/>
  </r>
  <r>
    <n v="35"/>
    <x v="1"/>
    <s v="male"/>
    <n v="36.67"/>
    <n v="1"/>
    <x v="0"/>
    <x v="3"/>
    <n v="39774.276299999998"/>
    <n v="19887.138149999999"/>
    <x v="0"/>
    <n v="0.93799999999999994"/>
    <x v="1"/>
    <s v="High Risk"/>
    <s v="Tier 2"/>
    <x v="5"/>
  </r>
  <r>
    <n v="60"/>
    <x v="4"/>
    <s v="male"/>
    <n v="39.9"/>
    <n v="0"/>
    <x v="0"/>
    <x v="0"/>
    <n v="48173.360999999997"/>
    <n v="48173.360999999997"/>
    <x v="0"/>
    <n v="0.98799999999999999"/>
    <x v="1"/>
    <s v="High Risk"/>
    <s v="Tier 3"/>
    <x v="5"/>
  </r>
  <r>
    <n v="24"/>
    <x v="0"/>
    <s v="female"/>
    <n v="26.6"/>
    <n v="0"/>
    <x v="1"/>
    <x v="3"/>
    <n v="3046.0619999999999"/>
    <n v="3046.0619999999999"/>
    <x v="1"/>
    <n v="0.14399999999999999"/>
    <x v="0"/>
    <s v="Standard"/>
    <s v="Tier 2"/>
    <x v="3"/>
  </r>
  <r>
    <n v="31"/>
    <x v="1"/>
    <s v="female"/>
    <n v="36.630000000000003"/>
    <n v="2"/>
    <x v="1"/>
    <x v="1"/>
    <n v="4949.7587000000003"/>
    <n v="1649.9195666666667"/>
    <x v="1"/>
    <n v="0.26700000000000002"/>
    <x v="1"/>
    <s v="Standard"/>
    <s v="Tier 1"/>
    <x v="1"/>
  </r>
  <r>
    <n v="41"/>
    <x v="3"/>
    <s v="male"/>
    <n v="21.78"/>
    <n v="1"/>
    <x v="1"/>
    <x v="1"/>
    <n v="6272.4772000000003"/>
    <n v="3136.2386000000001"/>
    <x v="1"/>
    <n v="0.33300000000000002"/>
    <x v="2"/>
    <s v="Standard"/>
    <s v="Tier 1"/>
    <x v="3"/>
  </r>
  <r>
    <n v="37"/>
    <x v="3"/>
    <s v="female"/>
    <n v="30.8"/>
    <n v="2"/>
    <x v="1"/>
    <x v="1"/>
    <n v="6313.759"/>
    <n v="2104.5863333333332"/>
    <x v="1"/>
    <n v="0.33600000000000002"/>
    <x v="1"/>
    <s v="Standard"/>
    <s v="Tier 1"/>
    <x v="1"/>
  </r>
  <r>
    <n v="38"/>
    <x v="3"/>
    <s v="male"/>
    <n v="37.049999999999997"/>
    <n v="1"/>
    <x v="1"/>
    <x v="3"/>
    <n v="6079.6715000000004"/>
    <n v="3039.8357500000002"/>
    <x v="1"/>
    <n v="0.32200000000000001"/>
    <x v="1"/>
    <s v="Standard"/>
    <s v="Tier 2"/>
    <x v="4"/>
  </r>
  <r>
    <n v="55"/>
    <x v="2"/>
    <s v="male"/>
    <n v="37.299999999999997"/>
    <n v="0"/>
    <x v="1"/>
    <x v="0"/>
    <n v="20630.283510000001"/>
    <n v="20630.283510000001"/>
    <x v="0"/>
    <n v="0.80300000000000005"/>
    <x v="1"/>
    <s v="Standard"/>
    <s v="Tier 3"/>
    <x v="4"/>
  </r>
  <r>
    <n v="18"/>
    <x v="0"/>
    <s v="female"/>
    <n v="38.664999999999999"/>
    <n v="2"/>
    <x v="1"/>
    <x v="3"/>
    <n v="3393.35635"/>
    <n v="1131.1187833333333"/>
    <x v="1"/>
    <n v="0.16700000000000001"/>
    <x v="1"/>
    <s v="Standard"/>
    <s v="Tier 2"/>
    <x v="4"/>
  </r>
  <r>
    <n v="28"/>
    <x v="1"/>
    <s v="female"/>
    <n v="34.770000000000003"/>
    <n v="0"/>
    <x v="1"/>
    <x v="2"/>
    <n v="3556.9223000000002"/>
    <n v="3556.9223000000002"/>
    <x v="1"/>
    <n v="0.17499999999999999"/>
    <x v="1"/>
    <s v="Standard"/>
    <s v="Tier 4"/>
    <x v="4"/>
  </r>
  <r>
    <n v="60"/>
    <x v="4"/>
    <s v="female"/>
    <n v="24.53"/>
    <n v="0"/>
    <x v="1"/>
    <x v="1"/>
    <n v="12629.896699999999"/>
    <n v="12629.896699999999"/>
    <x v="1"/>
    <n v="0.65900000000000003"/>
    <x v="2"/>
    <s v="Standard"/>
    <s v="Tier 1"/>
    <x v="3"/>
  </r>
  <r>
    <n v="36"/>
    <x v="3"/>
    <s v="male"/>
    <n v="35.200000000000003"/>
    <n v="1"/>
    <x v="0"/>
    <x v="1"/>
    <n v="38709.175999999999"/>
    <n v="19354.588"/>
    <x v="0"/>
    <n v="0.92800000000000005"/>
    <x v="1"/>
    <s v="High Risk"/>
    <s v="Tier 1"/>
    <x v="6"/>
  </r>
  <r>
    <n v="18"/>
    <x v="0"/>
    <s v="female"/>
    <n v="35.625"/>
    <n v="0"/>
    <x v="1"/>
    <x v="3"/>
    <n v="2211.1307499999998"/>
    <n v="2211.1307499999998"/>
    <x v="1"/>
    <n v="0.09"/>
    <x v="1"/>
    <s v="Standard"/>
    <s v="Tier 2"/>
    <x v="4"/>
  </r>
  <r>
    <n v="21"/>
    <x v="0"/>
    <s v="female"/>
    <n v="33.630000000000003"/>
    <n v="2"/>
    <x v="1"/>
    <x v="2"/>
    <n v="3579.8287"/>
    <n v="1193.2762333333333"/>
    <x v="1"/>
    <n v="0.17799999999999999"/>
    <x v="1"/>
    <s v="Standard"/>
    <s v="Tier 4"/>
    <x v="4"/>
  </r>
  <r>
    <n v="48"/>
    <x v="2"/>
    <s v="male"/>
    <n v="28"/>
    <n v="1"/>
    <x v="0"/>
    <x v="0"/>
    <n v="23568.272000000001"/>
    <n v="11784.136"/>
    <x v="0"/>
    <n v="0.83499999999999996"/>
    <x v="0"/>
    <s v="High Risk"/>
    <s v="Tier 3"/>
    <x v="0"/>
  </r>
  <r>
    <n v="36"/>
    <x v="3"/>
    <s v="male"/>
    <n v="34.43"/>
    <n v="0"/>
    <x v="0"/>
    <x v="1"/>
    <n v="37742.575700000001"/>
    <n v="37742.575700000001"/>
    <x v="0"/>
    <n v="0.92200000000000004"/>
    <x v="1"/>
    <s v="High Risk"/>
    <s v="Tier 1"/>
    <x v="6"/>
  </r>
  <r>
    <n v="40"/>
    <x v="3"/>
    <s v="female"/>
    <n v="28.69"/>
    <n v="3"/>
    <x v="1"/>
    <x v="2"/>
    <n v="8059.6791000000003"/>
    <n v="2014.9197750000001"/>
    <x v="1"/>
    <n v="0.42899999999999999"/>
    <x v="0"/>
    <s v="Standard"/>
    <s v="Tier 4"/>
    <x v="3"/>
  </r>
  <r>
    <n v="58"/>
    <x v="4"/>
    <s v="male"/>
    <n v="36.954999999999998"/>
    <n v="2"/>
    <x v="0"/>
    <x v="2"/>
    <n v="47496.494449999998"/>
    <n v="15832.164816666666"/>
    <x v="0"/>
    <n v="0.98599999999999999"/>
    <x v="1"/>
    <s v="High Risk"/>
    <s v="Tier 4"/>
    <x v="5"/>
  </r>
  <r>
    <n v="58"/>
    <x v="4"/>
    <s v="female"/>
    <n v="31.824999999999999"/>
    <n v="2"/>
    <x v="1"/>
    <x v="3"/>
    <n v="13607.36875"/>
    <n v="4535.7895833333332"/>
    <x v="0"/>
    <n v="0.69599999999999995"/>
    <x v="1"/>
    <s v="Standard"/>
    <s v="Tier 2"/>
    <x v="4"/>
  </r>
  <r>
    <n v="18"/>
    <x v="0"/>
    <s v="male"/>
    <n v="31.68"/>
    <n v="2"/>
    <x v="0"/>
    <x v="1"/>
    <n v="34303.167200000004"/>
    <n v="11434.389066666668"/>
    <x v="0"/>
    <n v="0.89400000000000002"/>
    <x v="1"/>
    <s v="High Risk"/>
    <s v="Tier 1"/>
    <x v="6"/>
  </r>
  <r>
    <n v="53"/>
    <x v="2"/>
    <s v="female"/>
    <n v="22.88"/>
    <n v="1"/>
    <x v="0"/>
    <x v="1"/>
    <n v="23244.790199999999"/>
    <n v="11622.3951"/>
    <x v="0"/>
    <n v="0.83099999999999996"/>
    <x v="2"/>
    <s v="High Risk"/>
    <s v="Tier 1"/>
    <x v="0"/>
  </r>
  <r>
    <n v="34"/>
    <x v="1"/>
    <s v="female"/>
    <n v="37.335000000000001"/>
    <n v="2"/>
    <x v="1"/>
    <x v="2"/>
    <n v="5989.5236500000001"/>
    <n v="1996.5078833333334"/>
    <x v="1"/>
    <n v="0.32"/>
    <x v="1"/>
    <s v="Standard"/>
    <s v="Tier 4"/>
    <x v="4"/>
  </r>
  <r>
    <n v="43"/>
    <x v="3"/>
    <s v="male"/>
    <n v="27.36"/>
    <n v="3"/>
    <x v="1"/>
    <x v="3"/>
    <n v="8606.2173999999995"/>
    <n v="2151.5543499999999"/>
    <x v="1"/>
    <n v="0.46500000000000002"/>
    <x v="0"/>
    <s v="Standard"/>
    <s v="Tier 2"/>
    <x v="3"/>
  </r>
  <r>
    <n v="25"/>
    <x v="0"/>
    <s v="male"/>
    <n v="33.659999999999997"/>
    <n v="4"/>
    <x v="1"/>
    <x v="1"/>
    <n v="4504.6624000000002"/>
    <n v="900.93248000000006"/>
    <x v="1"/>
    <n v="0.23400000000000001"/>
    <x v="1"/>
    <s v="Standard"/>
    <s v="Tier 1"/>
    <x v="1"/>
  </r>
  <r>
    <n v="64"/>
    <x v="4"/>
    <s v="male"/>
    <n v="24.7"/>
    <n v="1"/>
    <x v="1"/>
    <x v="2"/>
    <n v="30166.618170000002"/>
    <n v="15083.309085000001"/>
    <x v="0"/>
    <n v="0.88"/>
    <x v="2"/>
    <s v="Standard"/>
    <s v="Tier 4"/>
    <x v="2"/>
  </r>
  <r>
    <n v="28"/>
    <x v="1"/>
    <s v="female"/>
    <n v="25.934999999999999"/>
    <n v="1"/>
    <x v="1"/>
    <x v="2"/>
    <n v="4133.6416499999996"/>
    <n v="2066.8208249999998"/>
    <x v="1"/>
    <n v="0.20599999999999999"/>
    <x v="0"/>
    <s v="Standard"/>
    <s v="Tier 4"/>
    <x v="3"/>
  </r>
  <r>
    <n v="20"/>
    <x v="0"/>
    <s v="female"/>
    <n v="22.42"/>
    <n v="0"/>
    <x v="0"/>
    <x v="2"/>
    <n v="14711.7438"/>
    <n v="14711.7438"/>
    <x v="0"/>
    <n v="0.73"/>
    <x v="2"/>
    <s v="High Risk"/>
    <s v="Tier 4"/>
    <x v="1"/>
  </r>
  <r>
    <n v="19"/>
    <x v="0"/>
    <s v="female"/>
    <n v="28.9"/>
    <n v="0"/>
    <x v="1"/>
    <x v="0"/>
    <n v="1743.2139999999999"/>
    <n v="1743.2139999999999"/>
    <x v="1"/>
    <n v="4.7E-2"/>
    <x v="0"/>
    <s v="Standard"/>
    <s v="Tier 3"/>
    <x v="3"/>
  </r>
  <r>
    <n v="61"/>
    <x v="4"/>
    <s v="female"/>
    <n v="39.1"/>
    <n v="2"/>
    <x v="1"/>
    <x v="0"/>
    <n v="14235.072"/>
    <n v="4745.0240000000003"/>
    <x v="0"/>
    <n v="0.71399999999999997"/>
    <x v="1"/>
    <s v="Standard"/>
    <s v="Tier 3"/>
    <x v="4"/>
  </r>
  <r>
    <n v="40"/>
    <x v="3"/>
    <s v="male"/>
    <n v="26.315000000000001"/>
    <n v="1"/>
    <x v="1"/>
    <x v="2"/>
    <n v="6389.3778499999999"/>
    <n v="3194.6889249999999"/>
    <x v="1"/>
    <n v="0.34100000000000003"/>
    <x v="0"/>
    <s v="Standard"/>
    <s v="Tier 4"/>
    <x v="3"/>
  </r>
  <r>
    <n v="40"/>
    <x v="3"/>
    <s v="female"/>
    <n v="36.19"/>
    <n v="0"/>
    <x v="1"/>
    <x v="1"/>
    <n v="5920.1040999999996"/>
    <n v="5920.1040999999996"/>
    <x v="1"/>
    <n v="0.313"/>
    <x v="1"/>
    <s v="Standard"/>
    <s v="Tier 1"/>
    <x v="1"/>
  </r>
  <r>
    <n v="28"/>
    <x v="1"/>
    <s v="male"/>
    <n v="23.98"/>
    <n v="3"/>
    <x v="0"/>
    <x v="1"/>
    <n v="17663.144199999999"/>
    <n v="4415.7860499999997"/>
    <x v="0"/>
    <n v="0.76200000000000001"/>
    <x v="2"/>
    <s v="High Risk"/>
    <s v="Tier 1"/>
    <x v="0"/>
  </r>
  <r>
    <n v="27"/>
    <x v="1"/>
    <s v="female"/>
    <n v="24.75"/>
    <n v="0"/>
    <x v="0"/>
    <x v="1"/>
    <n v="16577.779500000001"/>
    <n v="16577.779500000001"/>
    <x v="0"/>
    <n v="0.748"/>
    <x v="2"/>
    <s v="High Risk"/>
    <s v="Tier 1"/>
    <x v="0"/>
  </r>
  <r>
    <n v="31"/>
    <x v="1"/>
    <s v="male"/>
    <n v="28.5"/>
    <n v="5"/>
    <x v="1"/>
    <x v="3"/>
    <n v="6799.4579999999996"/>
    <n v="1133.2429999999999"/>
    <x v="1"/>
    <n v="0.36699999999999999"/>
    <x v="0"/>
    <s v="Standard"/>
    <s v="Tier 2"/>
    <x v="3"/>
  </r>
  <r>
    <n v="53"/>
    <x v="2"/>
    <s v="female"/>
    <n v="28.1"/>
    <n v="3"/>
    <x v="1"/>
    <x v="0"/>
    <n v="11741.726000000001"/>
    <n v="2935.4315000000001"/>
    <x v="1"/>
    <n v="0.61599999999999999"/>
    <x v="0"/>
    <s v="Standard"/>
    <s v="Tier 3"/>
    <x v="3"/>
  </r>
  <r>
    <n v="58"/>
    <x v="4"/>
    <s v="male"/>
    <n v="32.01"/>
    <n v="1"/>
    <x v="1"/>
    <x v="1"/>
    <n v="11946.625899999999"/>
    <n v="5973.3129499999995"/>
    <x v="1"/>
    <n v="0.63100000000000001"/>
    <x v="1"/>
    <s v="Standard"/>
    <s v="Tier 1"/>
    <x v="1"/>
  </r>
  <r>
    <n v="44"/>
    <x v="3"/>
    <s v="male"/>
    <n v="27.4"/>
    <n v="2"/>
    <x v="1"/>
    <x v="0"/>
    <n v="7726.8540000000003"/>
    <n v="2575.6179999999999"/>
    <x v="1"/>
    <n v="0.41499999999999998"/>
    <x v="0"/>
    <s v="Standard"/>
    <s v="Tier 3"/>
    <x v="3"/>
  </r>
  <r>
    <n v="57"/>
    <x v="4"/>
    <s v="male"/>
    <n v="34.01"/>
    <n v="0"/>
    <x v="1"/>
    <x v="2"/>
    <n v="11356.660900000001"/>
    <n v="11356.660900000001"/>
    <x v="1"/>
    <n v="0.59499999999999997"/>
    <x v="1"/>
    <s v="Standard"/>
    <s v="Tier 4"/>
    <x v="4"/>
  </r>
  <r>
    <n v="29"/>
    <x v="1"/>
    <s v="female"/>
    <n v="29.59"/>
    <n v="1"/>
    <x v="1"/>
    <x v="1"/>
    <n v="3947.4131000000002"/>
    <n v="1973.7065500000001"/>
    <x v="1"/>
    <n v="0.19500000000000001"/>
    <x v="0"/>
    <s v="Standard"/>
    <s v="Tier 1"/>
    <x v="4"/>
  </r>
  <r>
    <n v="21"/>
    <x v="0"/>
    <s v="male"/>
    <n v="35.53"/>
    <n v="0"/>
    <x v="1"/>
    <x v="1"/>
    <n v="1532.4697000000001"/>
    <n v="1532.4697000000001"/>
    <x v="1"/>
    <n v="1.6E-2"/>
    <x v="1"/>
    <s v="Standard"/>
    <s v="Tier 1"/>
    <x v="1"/>
  </r>
  <r>
    <n v="22"/>
    <x v="0"/>
    <s v="female"/>
    <n v="39.805"/>
    <n v="0"/>
    <x v="1"/>
    <x v="3"/>
    <n v="2755.0209500000001"/>
    <n v="2755.0209500000001"/>
    <x v="1"/>
    <n v="0.13"/>
    <x v="1"/>
    <s v="Standard"/>
    <s v="Tier 2"/>
    <x v="4"/>
  </r>
  <r>
    <n v="41"/>
    <x v="3"/>
    <s v="female"/>
    <n v="32.965000000000003"/>
    <n v="0"/>
    <x v="1"/>
    <x v="2"/>
    <n v="6571.0243499999997"/>
    <n v="6571.0243499999997"/>
    <x v="1"/>
    <n v="0.35199999999999998"/>
    <x v="1"/>
    <s v="Standard"/>
    <s v="Tier 4"/>
    <x v="4"/>
  </r>
  <r>
    <n v="31"/>
    <x v="1"/>
    <s v="male"/>
    <n v="26.885000000000002"/>
    <n v="1"/>
    <x v="1"/>
    <x v="3"/>
    <n v="4441.2131499999996"/>
    <n v="2220.6065749999998"/>
    <x v="1"/>
    <n v="0.22800000000000001"/>
    <x v="0"/>
    <s v="Standard"/>
    <s v="Tier 2"/>
    <x v="3"/>
  </r>
  <r>
    <n v="45"/>
    <x v="3"/>
    <s v="female"/>
    <n v="38.284999999999997"/>
    <n v="0"/>
    <x v="1"/>
    <x v="3"/>
    <n v="7935.29115"/>
    <n v="7935.29115"/>
    <x v="1"/>
    <n v="0.42299999999999999"/>
    <x v="1"/>
    <s v="Standard"/>
    <s v="Tier 2"/>
    <x v="4"/>
  </r>
  <r>
    <n v="22"/>
    <x v="0"/>
    <s v="male"/>
    <n v="37.619999999999997"/>
    <n v="1"/>
    <x v="0"/>
    <x v="1"/>
    <n v="37165.163800000002"/>
    <n v="18582.581900000001"/>
    <x v="0"/>
    <n v="0.91700000000000004"/>
    <x v="1"/>
    <s v="High Risk"/>
    <s v="Tier 1"/>
    <x v="6"/>
  </r>
  <r>
    <n v="48"/>
    <x v="2"/>
    <s v="female"/>
    <n v="41.23"/>
    <n v="4"/>
    <x v="1"/>
    <x v="2"/>
    <n v="11033.661700000001"/>
    <n v="2206.73234"/>
    <x v="1"/>
    <n v="0.57799999999999996"/>
    <x v="1"/>
    <s v="Standard"/>
    <s v="Tier 4"/>
    <x v="4"/>
  </r>
  <r>
    <n v="37"/>
    <x v="3"/>
    <s v="female"/>
    <n v="34.799999999999997"/>
    <n v="2"/>
    <x v="0"/>
    <x v="0"/>
    <n v="39836.519"/>
    <n v="13278.839666666667"/>
    <x v="0"/>
    <n v="0.93899999999999995"/>
    <x v="1"/>
    <s v="High Risk"/>
    <s v="Tier 3"/>
    <x v="5"/>
  </r>
  <r>
    <n v="45"/>
    <x v="3"/>
    <s v="male"/>
    <n v="22.895"/>
    <n v="2"/>
    <x v="0"/>
    <x v="2"/>
    <n v="21098.554049999999"/>
    <n v="7032.8513499999999"/>
    <x v="0"/>
    <n v="0.80900000000000005"/>
    <x v="2"/>
    <s v="High Risk"/>
    <s v="Tier 4"/>
    <x v="1"/>
  </r>
  <r>
    <n v="57"/>
    <x v="4"/>
    <s v="female"/>
    <n v="31.16"/>
    <n v="0"/>
    <x v="0"/>
    <x v="2"/>
    <n v="43578.939400000003"/>
    <n v="43578.939400000003"/>
    <x v="0"/>
    <n v="0.96199999999999997"/>
    <x v="1"/>
    <s v="High Risk"/>
    <s v="Tier 4"/>
    <x v="5"/>
  </r>
  <r>
    <n v="56"/>
    <x v="4"/>
    <s v="female"/>
    <n v="27.2"/>
    <n v="0"/>
    <x v="1"/>
    <x v="0"/>
    <n v="11073.175999999999"/>
    <n v="11073.175999999999"/>
    <x v="1"/>
    <n v="0.57999999999999996"/>
    <x v="0"/>
    <s v="Standard"/>
    <s v="Tier 3"/>
    <x v="3"/>
  </r>
  <r>
    <n v="46"/>
    <x v="2"/>
    <s v="female"/>
    <n v="27.74"/>
    <n v="0"/>
    <x v="1"/>
    <x v="2"/>
    <n v="8026.6665999999996"/>
    <n v="8026.6665999999996"/>
    <x v="1"/>
    <n v="0.42699999999999999"/>
    <x v="0"/>
    <s v="Standard"/>
    <s v="Tier 4"/>
    <x v="3"/>
  </r>
  <r>
    <n v="55"/>
    <x v="2"/>
    <s v="female"/>
    <n v="26.98"/>
    <n v="0"/>
    <x v="1"/>
    <x v="2"/>
    <n v="11082.5772"/>
    <n v="11082.5772"/>
    <x v="1"/>
    <n v="0.58099999999999996"/>
    <x v="0"/>
    <s v="Standard"/>
    <s v="Tier 4"/>
    <x v="3"/>
  </r>
  <r>
    <n v="21"/>
    <x v="0"/>
    <s v="female"/>
    <n v="39.49"/>
    <n v="0"/>
    <x v="1"/>
    <x v="1"/>
    <n v="2026.9740999999999"/>
    <n v="2026.9740999999999"/>
    <x v="1"/>
    <n v="7.0999999999999994E-2"/>
    <x v="1"/>
    <s v="Standard"/>
    <s v="Tier 1"/>
    <x v="1"/>
  </r>
  <r>
    <n v="53"/>
    <x v="2"/>
    <s v="female"/>
    <n v="24.795000000000002"/>
    <n v="1"/>
    <x v="1"/>
    <x v="2"/>
    <n v="10942.13205"/>
    <n v="5471.0660250000001"/>
    <x v="1"/>
    <n v="0.57199999999999995"/>
    <x v="2"/>
    <s v="Standard"/>
    <s v="Tier 4"/>
    <x v="2"/>
  </r>
  <r>
    <n v="59"/>
    <x v="4"/>
    <s v="male"/>
    <n v="29.83"/>
    <n v="3"/>
    <x v="0"/>
    <x v="3"/>
    <n v="30184.936699999998"/>
    <n v="7546.2341749999996"/>
    <x v="0"/>
    <n v="0.88100000000000001"/>
    <x v="0"/>
    <s v="High Risk"/>
    <s v="Tier 2"/>
    <x v="0"/>
  </r>
  <r>
    <n v="35"/>
    <x v="1"/>
    <s v="male"/>
    <n v="34.770000000000003"/>
    <n v="2"/>
    <x v="1"/>
    <x v="2"/>
    <n v="5729.0052999999998"/>
    <n v="1909.6684333333333"/>
    <x v="1"/>
    <n v="0.308"/>
    <x v="1"/>
    <s v="Standard"/>
    <s v="Tier 4"/>
    <x v="4"/>
  </r>
  <r>
    <n v="64"/>
    <x v="4"/>
    <s v="female"/>
    <n v="31.3"/>
    <n v="2"/>
    <x v="0"/>
    <x v="0"/>
    <n v="47291.055"/>
    <n v="15763.684999999999"/>
    <x v="0"/>
    <n v="0.98299999999999998"/>
    <x v="1"/>
    <s v="High Risk"/>
    <s v="Tier 3"/>
    <x v="5"/>
  </r>
  <r>
    <n v="28"/>
    <x v="1"/>
    <s v="female"/>
    <n v="37.619999999999997"/>
    <n v="1"/>
    <x v="1"/>
    <x v="1"/>
    <n v="3766.8838000000001"/>
    <n v="1883.4419"/>
    <x v="1"/>
    <n v="0.187"/>
    <x v="1"/>
    <s v="Standard"/>
    <s v="Tier 1"/>
    <x v="1"/>
  </r>
  <r>
    <n v="54"/>
    <x v="2"/>
    <s v="female"/>
    <n v="30.8"/>
    <n v="3"/>
    <x v="1"/>
    <x v="0"/>
    <n v="12105.32"/>
    <n v="3026.33"/>
    <x v="1"/>
    <n v="0.63600000000000001"/>
    <x v="1"/>
    <s v="Standard"/>
    <s v="Tier 3"/>
    <x v="4"/>
  </r>
  <r>
    <n v="55"/>
    <x v="2"/>
    <s v="male"/>
    <n v="38.28"/>
    <n v="0"/>
    <x v="1"/>
    <x v="1"/>
    <n v="10226.2842"/>
    <n v="10226.2842"/>
    <x v="1"/>
    <n v="0.54200000000000004"/>
    <x v="1"/>
    <s v="Standard"/>
    <s v="Tier 1"/>
    <x v="1"/>
  </r>
  <r>
    <n v="56"/>
    <x v="4"/>
    <s v="male"/>
    <n v="19.95"/>
    <n v="0"/>
    <x v="0"/>
    <x v="3"/>
    <n v="22412.648499999999"/>
    <n v="22412.648499999999"/>
    <x v="0"/>
    <n v="0.82499999999999996"/>
    <x v="2"/>
    <s v="High Risk"/>
    <s v="Tier 2"/>
    <x v="1"/>
  </r>
  <r>
    <n v="38"/>
    <x v="3"/>
    <s v="male"/>
    <n v="19.3"/>
    <n v="0"/>
    <x v="0"/>
    <x v="0"/>
    <n v="15820.699000000001"/>
    <n v="15820.699000000001"/>
    <x v="0"/>
    <n v="0.74"/>
    <x v="2"/>
    <s v="High Risk"/>
    <s v="Tier 3"/>
    <x v="1"/>
  </r>
  <r>
    <n v="41"/>
    <x v="3"/>
    <s v="female"/>
    <n v="31.6"/>
    <n v="0"/>
    <x v="1"/>
    <x v="0"/>
    <n v="6186.1270000000004"/>
    <n v="6186.1270000000004"/>
    <x v="1"/>
    <n v="0.32900000000000001"/>
    <x v="1"/>
    <s v="Standard"/>
    <s v="Tier 3"/>
    <x v="4"/>
  </r>
  <r>
    <n v="30"/>
    <x v="1"/>
    <s v="male"/>
    <n v="25.46"/>
    <n v="0"/>
    <x v="1"/>
    <x v="3"/>
    <n v="3645.0893999999998"/>
    <n v="3645.0893999999998"/>
    <x v="1"/>
    <n v="0.18099999999999999"/>
    <x v="0"/>
    <s v="Standard"/>
    <s v="Tier 2"/>
    <x v="3"/>
  </r>
  <r>
    <n v="18"/>
    <x v="0"/>
    <s v="female"/>
    <n v="30.114999999999998"/>
    <n v="0"/>
    <x v="1"/>
    <x v="3"/>
    <n v="21344.846699999998"/>
    <n v="21344.846699999998"/>
    <x v="0"/>
    <n v="0.81299999999999994"/>
    <x v="1"/>
    <s v="Standard"/>
    <s v="Tier 2"/>
    <x v="4"/>
  </r>
  <r>
    <n v="61"/>
    <x v="4"/>
    <s v="female"/>
    <n v="29.92"/>
    <n v="3"/>
    <x v="0"/>
    <x v="1"/>
    <n v="30942.191800000001"/>
    <n v="7735.5479500000001"/>
    <x v="0"/>
    <n v="0.88300000000000001"/>
    <x v="0"/>
    <s v="High Risk"/>
    <s v="Tier 1"/>
    <x v="5"/>
  </r>
  <r>
    <n v="34"/>
    <x v="1"/>
    <s v="female"/>
    <n v="27.5"/>
    <n v="1"/>
    <x v="1"/>
    <x v="0"/>
    <n v="5003.8530000000001"/>
    <n v="2501.9265"/>
    <x v="1"/>
    <n v="0.26900000000000002"/>
    <x v="0"/>
    <s v="Standard"/>
    <s v="Tier 3"/>
    <x v="3"/>
  </r>
  <r>
    <n v="20"/>
    <x v="0"/>
    <s v="male"/>
    <n v="28.024999999999999"/>
    <n v="1"/>
    <x v="0"/>
    <x v="2"/>
    <n v="17560.37975"/>
    <n v="8780.189875"/>
    <x v="0"/>
    <n v="0.76"/>
    <x v="0"/>
    <s v="High Risk"/>
    <s v="Tier 4"/>
    <x v="0"/>
  </r>
  <r>
    <n v="19"/>
    <x v="0"/>
    <s v="female"/>
    <n v="28.4"/>
    <n v="1"/>
    <x v="1"/>
    <x v="0"/>
    <n v="2331.5189999999998"/>
    <n v="1165.7594999999999"/>
    <x v="1"/>
    <n v="9.9000000000000005E-2"/>
    <x v="0"/>
    <s v="Standard"/>
    <s v="Tier 3"/>
    <x v="3"/>
  </r>
  <r>
    <n v="26"/>
    <x v="1"/>
    <s v="male"/>
    <n v="30.875"/>
    <n v="2"/>
    <x v="1"/>
    <x v="2"/>
    <n v="3877.3042500000001"/>
    <n v="1292.4347500000001"/>
    <x v="1"/>
    <n v="0.192"/>
    <x v="1"/>
    <s v="Standard"/>
    <s v="Tier 4"/>
    <x v="4"/>
  </r>
  <r>
    <n v="29"/>
    <x v="1"/>
    <s v="male"/>
    <n v="27.94"/>
    <n v="0"/>
    <x v="1"/>
    <x v="1"/>
    <n v="2867.1196"/>
    <n v="2867.1196"/>
    <x v="1"/>
    <n v="0.13600000000000001"/>
    <x v="0"/>
    <s v="Standard"/>
    <s v="Tier 1"/>
    <x v="4"/>
  </r>
  <r>
    <n v="63"/>
    <x v="4"/>
    <s v="male"/>
    <n v="35.090000000000003"/>
    <n v="0"/>
    <x v="0"/>
    <x v="1"/>
    <n v="47055.532099999997"/>
    <n v="47055.532099999997"/>
    <x v="0"/>
    <n v="0.98199999999999998"/>
    <x v="1"/>
    <s v="High Risk"/>
    <s v="Tier 1"/>
    <x v="6"/>
  </r>
  <r>
    <n v="54"/>
    <x v="2"/>
    <s v="male"/>
    <n v="33.630000000000003"/>
    <n v="1"/>
    <x v="1"/>
    <x v="2"/>
    <n v="10825.253699999999"/>
    <n v="5412.6268499999996"/>
    <x v="1"/>
    <n v="0.56899999999999995"/>
    <x v="1"/>
    <s v="Standard"/>
    <s v="Tier 4"/>
    <x v="4"/>
  </r>
  <r>
    <n v="55"/>
    <x v="2"/>
    <s v="female"/>
    <n v="29.7"/>
    <n v="2"/>
    <x v="1"/>
    <x v="0"/>
    <n v="11881.358"/>
    <n v="3960.4526666666666"/>
    <x v="1"/>
    <n v="0.626"/>
    <x v="0"/>
    <s v="Standard"/>
    <s v="Tier 3"/>
    <x v="3"/>
  </r>
  <r>
    <n v="37"/>
    <x v="3"/>
    <s v="male"/>
    <n v="30.8"/>
    <n v="0"/>
    <x v="1"/>
    <x v="0"/>
    <n v="4646.759"/>
    <n v="4646.759"/>
    <x v="1"/>
    <n v="0.24199999999999999"/>
    <x v="1"/>
    <s v="Standard"/>
    <s v="Tier 3"/>
    <x v="4"/>
  </r>
  <r>
    <n v="21"/>
    <x v="0"/>
    <s v="female"/>
    <n v="35.72"/>
    <n v="0"/>
    <x v="1"/>
    <x v="2"/>
    <n v="2404.7338"/>
    <n v="2404.7338"/>
    <x v="1"/>
    <n v="0.10299999999999999"/>
    <x v="1"/>
    <s v="Standard"/>
    <s v="Tier 4"/>
    <x v="4"/>
  </r>
  <r>
    <n v="52"/>
    <x v="2"/>
    <s v="male"/>
    <n v="32.204999999999998"/>
    <n v="3"/>
    <x v="1"/>
    <x v="3"/>
    <n v="11488.31695"/>
    <n v="2872.0792375000001"/>
    <x v="1"/>
    <n v="0.60399999999999998"/>
    <x v="1"/>
    <s v="Standard"/>
    <s v="Tier 2"/>
    <x v="4"/>
  </r>
  <r>
    <n v="60"/>
    <x v="4"/>
    <s v="male"/>
    <n v="28.594999999999999"/>
    <n v="0"/>
    <x v="1"/>
    <x v="3"/>
    <n v="30259.995559999999"/>
    <n v="30259.995559999999"/>
    <x v="0"/>
    <n v="0.88100000000000001"/>
    <x v="0"/>
    <s v="Standard"/>
    <s v="Tier 2"/>
    <x v="3"/>
  </r>
  <r>
    <n v="58"/>
    <x v="4"/>
    <s v="male"/>
    <n v="49.06"/>
    <n v="0"/>
    <x v="1"/>
    <x v="1"/>
    <n v="11381.3254"/>
    <n v="11381.3254"/>
    <x v="1"/>
    <n v="0.59799999999999998"/>
    <x v="1"/>
    <s v="Standard"/>
    <s v="Tier 1"/>
    <x v="1"/>
  </r>
  <r>
    <n v="29"/>
    <x v="1"/>
    <s v="female"/>
    <n v="27.94"/>
    <n v="1"/>
    <x v="0"/>
    <x v="1"/>
    <n v="19107.779600000002"/>
    <n v="9553.8898000000008"/>
    <x v="0"/>
    <n v="0.78200000000000003"/>
    <x v="0"/>
    <s v="High Risk"/>
    <s v="Tier 1"/>
    <x v="5"/>
  </r>
  <r>
    <n v="49"/>
    <x v="2"/>
    <s v="female"/>
    <n v="27.17"/>
    <n v="0"/>
    <x v="1"/>
    <x v="1"/>
    <n v="8601.3292999999994"/>
    <n v="8601.3292999999994"/>
    <x v="1"/>
    <n v="0.46200000000000002"/>
    <x v="0"/>
    <s v="Standard"/>
    <s v="Tier 1"/>
    <x v="4"/>
  </r>
  <r>
    <n v="37"/>
    <x v="3"/>
    <s v="female"/>
    <n v="23.37"/>
    <n v="2"/>
    <x v="1"/>
    <x v="2"/>
    <n v="6686.4313000000002"/>
    <n v="2228.8104333333335"/>
    <x v="1"/>
    <n v="0.36"/>
    <x v="2"/>
    <s v="Standard"/>
    <s v="Tier 4"/>
    <x v="2"/>
  </r>
  <r>
    <n v="44"/>
    <x v="3"/>
    <s v="male"/>
    <n v="37.1"/>
    <n v="2"/>
    <x v="1"/>
    <x v="0"/>
    <n v="7740.3370000000004"/>
    <n v="2580.1123333333335"/>
    <x v="1"/>
    <n v="0.41899999999999998"/>
    <x v="1"/>
    <s v="Standard"/>
    <s v="Tier 3"/>
    <x v="4"/>
  </r>
  <r>
    <n v="18"/>
    <x v="0"/>
    <s v="male"/>
    <n v="23.75"/>
    <n v="0"/>
    <x v="1"/>
    <x v="3"/>
    <n v="1705.6244999999999"/>
    <n v="1705.6244999999999"/>
    <x v="1"/>
    <n v="3.7999999999999999E-2"/>
    <x v="2"/>
    <s v="Standard"/>
    <s v="Tier 2"/>
    <x v="2"/>
  </r>
  <r>
    <n v="20"/>
    <x v="0"/>
    <s v="female"/>
    <n v="28.975000000000001"/>
    <n v="0"/>
    <x v="1"/>
    <x v="2"/>
    <n v="2257.47525"/>
    <n v="2257.47525"/>
    <x v="1"/>
    <n v="9.5000000000000001E-2"/>
    <x v="0"/>
    <s v="Standard"/>
    <s v="Tier 4"/>
    <x v="3"/>
  </r>
  <r>
    <n v="44"/>
    <x v="3"/>
    <s v="male"/>
    <n v="31.35"/>
    <n v="1"/>
    <x v="0"/>
    <x v="3"/>
    <n v="39556.494500000001"/>
    <n v="19778.24725"/>
    <x v="0"/>
    <n v="0.93400000000000005"/>
    <x v="1"/>
    <s v="High Risk"/>
    <s v="Tier 2"/>
    <x v="5"/>
  </r>
  <r>
    <n v="47"/>
    <x v="2"/>
    <s v="female"/>
    <n v="33.914999999999999"/>
    <n v="3"/>
    <x v="1"/>
    <x v="2"/>
    <n v="10115.00885"/>
    <n v="2528.7522125"/>
    <x v="1"/>
    <n v="0.53700000000000003"/>
    <x v="1"/>
    <s v="Standard"/>
    <s v="Tier 4"/>
    <x v="4"/>
  </r>
  <r>
    <n v="26"/>
    <x v="1"/>
    <s v="female"/>
    <n v="28.785"/>
    <n v="0"/>
    <x v="1"/>
    <x v="3"/>
    <n v="3385.3991500000002"/>
    <n v="3385.3991500000002"/>
    <x v="1"/>
    <n v="0.16500000000000001"/>
    <x v="0"/>
    <s v="Standard"/>
    <s v="Tier 2"/>
    <x v="3"/>
  </r>
  <r>
    <n v="19"/>
    <x v="0"/>
    <s v="female"/>
    <n v="28.3"/>
    <n v="0"/>
    <x v="0"/>
    <x v="0"/>
    <n v="17081.080000000002"/>
    <n v="17081.080000000002"/>
    <x v="0"/>
    <n v="0.753"/>
    <x v="0"/>
    <s v="High Risk"/>
    <s v="Tier 3"/>
    <x v="0"/>
  </r>
  <r>
    <n v="52"/>
    <x v="2"/>
    <s v="female"/>
    <n v="37.4"/>
    <n v="0"/>
    <x v="1"/>
    <x v="0"/>
    <n v="9634.5380000000005"/>
    <n v="9634.5380000000005"/>
    <x v="1"/>
    <n v="0.51400000000000001"/>
    <x v="1"/>
    <s v="Standard"/>
    <s v="Tier 3"/>
    <x v="4"/>
  </r>
  <r>
    <n v="32"/>
    <x v="1"/>
    <s v="female"/>
    <n v="17.765000000000001"/>
    <n v="2"/>
    <x v="0"/>
    <x v="2"/>
    <n v="32734.186300000001"/>
    <n v="10911.395433333333"/>
    <x v="0"/>
    <n v="0.88600000000000001"/>
    <x v="3"/>
    <s v="High Risk"/>
    <s v="Tier 4"/>
    <x v="1"/>
  </r>
  <r>
    <n v="38"/>
    <x v="3"/>
    <s v="male"/>
    <n v="34.700000000000003"/>
    <n v="2"/>
    <x v="1"/>
    <x v="0"/>
    <n v="6082.4049999999997"/>
    <n v="2027.4683333333332"/>
    <x v="1"/>
    <n v="0.32300000000000001"/>
    <x v="1"/>
    <s v="Standard"/>
    <s v="Tier 3"/>
    <x v="4"/>
  </r>
  <r>
    <n v="59"/>
    <x v="4"/>
    <s v="female"/>
    <n v="26.504999999999999"/>
    <n v="0"/>
    <x v="1"/>
    <x v="3"/>
    <n v="12815.444949999999"/>
    <n v="12815.444949999999"/>
    <x v="1"/>
    <n v="0.66600000000000004"/>
    <x v="0"/>
    <s v="Standard"/>
    <s v="Tier 2"/>
    <x v="3"/>
  </r>
  <r>
    <n v="61"/>
    <x v="4"/>
    <s v="female"/>
    <n v="22.04"/>
    <n v="0"/>
    <x v="1"/>
    <x v="3"/>
    <n v="13616.3586"/>
    <n v="13616.3586"/>
    <x v="0"/>
    <n v="0.69699999999999995"/>
    <x v="2"/>
    <s v="Standard"/>
    <s v="Tier 2"/>
    <x v="2"/>
  </r>
  <r>
    <n v="53"/>
    <x v="2"/>
    <s v="female"/>
    <n v="35.9"/>
    <n v="2"/>
    <x v="1"/>
    <x v="0"/>
    <n v="11163.567999999999"/>
    <n v="3721.1893333333333"/>
    <x v="1"/>
    <n v="0.58399999999999996"/>
    <x v="1"/>
    <s v="Standard"/>
    <s v="Tier 3"/>
    <x v="4"/>
  </r>
  <r>
    <n v="19"/>
    <x v="0"/>
    <s v="male"/>
    <n v="25.555"/>
    <n v="0"/>
    <x v="1"/>
    <x v="2"/>
    <n v="1632.5644500000001"/>
    <n v="1632.5644500000001"/>
    <x v="1"/>
    <n v="2.5999999999999999E-2"/>
    <x v="0"/>
    <s v="Standard"/>
    <s v="Tier 4"/>
    <x v="3"/>
  </r>
  <r>
    <n v="20"/>
    <x v="0"/>
    <s v="female"/>
    <n v="28.785"/>
    <n v="0"/>
    <x v="1"/>
    <x v="3"/>
    <n v="2457.2111500000001"/>
    <n v="2457.2111500000001"/>
    <x v="1"/>
    <n v="0.105"/>
    <x v="0"/>
    <s v="Standard"/>
    <s v="Tier 2"/>
    <x v="3"/>
  </r>
  <r>
    <n v="22"/>
    <x v="0"/>
    <s v="female"/>
    <n v="28.05"/>
    <n v="0"/>
    <x v="1"/>
    <x v="1"/>
    <n v="2155.6815000000001"/>
    <n v="2155.6815000000001"/>
    <x v="1"/>
    <n v="8.2000000000000003E-2"/>
    <x v="0"/>
    <s v="Standard"/>
    <s v="Tier 1"/>
    <x v="4"/>
  </r>
  <r>
    <n v="19"/>
    <x v="0"/>
    <s v="male"/>
    <n v="34.1"/>
    <n v="0"/>
    <x v="1"/>
    <x v="0"/>
    <n v="1261.442"/>
    <n v="1261.442"/>
    <x v="1"/>
    <n v="1.0999999999999999E-2"/>
    <x v="1"/>
    <s v="Standard"/>
    <s v="Tier 3"/>
    <x v="4"/>
  </r>
  <r>
    <n v="22"/>
    <x v="0"/>
    <s v="male"/>
    <n v="25.175000000000001"/>
    <n v="0"/>
    <x v="1"/>
    <x v="2"/>
    <n v="2045.68525"/>
    <n v="2045.68525"/>
    <x v="1"/>
    <n v="7.0999999999999994E-2"/>
    <x v="0"/>
    <s v="Standard"/>
    <s v="Tier 4"/>
    <x v="3"/>
  </r>
  <r>
    <n v="54"/>
    <x v="2"/>
    <s v="female"/>
    <n v="31.9"/>
    <n v="3"/>
    <x v="1"/>
    <x v="1"/>
    <n v="27322.73386"/>
    <n v="6830.6834650000001"/>
    <x v="0"/>
    <n v="0.86499999999999999"/>
    <x v="1"/>
    <s v="Standard"/>
    <s v="Tier 1"/>
    <x v="1"/>
  </r>
  <r>
    <n v="22"/>
    <x v="0"/>
    <s v="female"/>
    <n v="36"/>
    <n v="0"/>
    <x v="1"/>
    <x v="0"/>
    <n v="2166.732"/>
    <n v="2166.732"/>
    <x v="1"/>
    <n v="8.3000000000000004E-2"/>
    <x v="1"/>
    <s v="Standard"/>
    <s v="Tier 3"/>
    <x v="4"/>
  </r>
  <r>
    <n v="34"/>
    <x v="1"/>
    <s v="male"/>
    <n v="22.42"/>
    <n v="2"/>
    <x v="1"/>
    <x v="3"/>
    <n v="27375.904780000001"/>
    <n v="9125.3015933333336"/>
    <x v="0"/>
    <n v="0.86599999999999999"/>
    <x v="2"/>
    <s v="Standard"/>
    <s v="Tier 2"/>
    <x v="2"/>
  </r>
  <r>
    <n v="26"/>
    <x v="1"/>
    <s v="male"/>
    <n v="32.49"/>
    <n v="1"/>
    <x v="1"/>
    <x v="3"/>
    <n v="3490.5491000000002"/>
    <n v="1745.2745500000001"/>
    <x v="1"/>
    <n v="0.17199999999999999"/>
    <x v="1"/>
    <s v="Standard"/>
    <s v="Tier 2"/>
    <x v="4"/>
  </r>
  <r>
    <n v="34"/>
    <x v="1"/>
    <s v="male"/>
    <n v="25.3"/>
    <n v="2"/>
    <x v="0"/>
    <x v="1"/>
    <n v="18972.494999999999"/>
    <n v="6324.165"/>
    <x v="0"/>
    <n v="0.78"/>
    <x v="0"/>
    <s v="High Risk"/>
    <s v="Tier 1"/>
    <x v="5"/>
  </r>
  <r>
    <n v="29"/>
    <x v="1"/>
    <s v="male"/>
    <n v="29.734999999999999"/>
    <n v="2"/>
    <x v="1"/>
    <x v="2"/>
    <n v="18157.876"/>
    <n v="6052.6253333333334"/>
    <x v="0"/>
    <n v="0.76700000000000002"/>
    <x v="0"/>
    <s v="Standard"/>
    <s v="Tier 4"/>
    <x v="3"/>
  </r>
  <r>
    <n v="30"/>
    <x v="1"/>
    <s v="male"/>
    <n v="28.69"/>
    <n v="3"/>
    <x v="0"/>
    <x v="2"/>
    <n v="20745.989099999999"/>
    <n v="5186.4972749999997"/>
    <x v="0"/>
    <n v="0.80400000000000005"/>
    <x v="0"/>
    <s v="High Risk"/>
    <s v="Tier 4"/>
    <x v="0"/>
  </r>
  <r>
    <n v="29"/>
    <x v="1"/>
    <s v="female"/>
    <n v="38.83"/>
    <n v="3"/>
    <x v="1"/>
    <x v="1"/>
    <n v="5138.2566999999999"/>
    <n v="1284.564175"/>
    <x v="1"/>
    <n v="0.27500000000000002"/>
    <x v="1"/>
    <s v="Standard"/>
    <s v="Tier 1"/>
    <x v="1"/>
  </r>
  <r>
    <n v="46"/>
    <x v="2"/>
    <s v="male"/>
    <n v="30.495000000000001"/>
    <n v="3"/>
    <x v="0"/>
    <x v="2"/>
    <n v="40720.551050000002"/>
    <n v="10180.1377625"/>
    <x v="0"/>
    <n v="0.94499999999999995"/>
    <x v="1"/>
    <s v="High Risk"/>
    <s v="Tier 4"/>
    <x v="5"/>
  </r>
  <r>
    <n v="51"/>
    <x v="2"/>
    <s v="female"/>
    <n v="37.729999999999997"/>
    <n v="1"/>
    <x v="1"/>
    <x v="1"/>
    <n v="9877.6077000000005"/>
    <n v="4938.8038500000002"/>
    <x v="1"/>
    <n v="0.52800000000000002"/>
    <x v="1"/>
    <s v="Standard"/>
    <s v="Tier 1"/>
    <x v="1"/>
  </r>
  <r>
    <n v="53"/>
    <x v="2"/>
    <s v="female"/>
    <n v="37.43"/>
    <n v="1"/>
    <x v="1"/>
    <x v="2"/>
    <n v="10959.6947"/>
    <n v="5479.84735"/>
    <x v="1"/>
    <n v="0.57299999999999995"/>
    <x v="1"/>
    <s v="Standard"/>
    <s v="Tier 4"/>
    <x v="4"/>
  </r>
  <r>
    <n v="19"/>
    <x v="0"/>
    <s v="male"/>
    <n v="28.4"/>
    <n v="1"/>
    <x v="1"/>
    <x v="0"/>
    <n v="1842.519"/>
    <n v="921.2595"/>
    <x v="1"/>
    <n v="5.6000000000000001E-2"/>
    <x v="0"/>
    <s v="Standard"/>
    <s v="Tier 3"/>
    <x v="3"/>
  </r>
  <r>
    <n v="35"/>
    <x v="1"/>
    <s v="male"/>
    <n v="24.13"/>
    <n v="1"/>
    <x v="1"/>
    <x v="2"/>
    <n v="5125.2156999999997"/>
    <n v="2562.6078499999999"/>
    <x v="1"/>
    <n v="0.27400000000000002"/>
    <x v="2"/>
    <s v="Standard"/>
    <s v="Tier 4"/>
    <x v="2"/>
  </r>
  <r>
    <n v="48"/>
    <x v="2"/>
    <s v="male"/>
    <n v="29.7"/>
    <n v="0"/>
    <x v="1"/>
    <x v="1"/>
    <n v="7789.6350000000002"/>
    <n v="7789.6350000000002"/>
    <x v="1"/>
    <n v="0.42099999999999999"/>
    <x v="0"/>
    <s v="Standard"/>
    <s v="Tier 1"/>
    <x v="4"/>
  </r>
  <r>
    <n v="32"/>
    <x v="1"/>
    <s v="female"/>
    <n v="37.145000000000003"/>
    <n v="3"/>
    <x v="1"/>
    <x v="3"/>
    <n v="6334.3435499999996"/>
    <n v="1583.5858874999999"/>
    <x v="1"/>
    <n v="0.33700000000000002"/>
    <x v="1"/>
    <s v="Standard"/>
    <s v="Tier 2"/>
    <x v="4"/>
  </r>
  <r>
    <n v="42"/>
    <x v="3"/>
    <s v="female"/>
    <n v="23.37"/>
    <n v="0"/>
    <x v="0"/>
    <x v="3"/>
    <n v="19964.746299999999"/>
    <n v="19964.746299999999"/>
    <x v="0"/>
    <n v="0.79500000000000004"/>
    <x v="2"/>
    <s v="High Risk"/>
    <s v="Tier 2"/>
    <x v="1"/>
  </r>
  <r>
    <n v="40"/>
    <x v="3"/>
    <s v="female"/>
    <n v="25.46"/>
    <n v="1"/>
    <x v="1"/>
    <x v="3"/>
    <n v="7077.1894000000002"/>
    <n v="3538.5947000000001"/>
    <x v="1"/>
    <n v="0.378"/>
    <x v="0"/>
    <s v="Standard"/>
    <s v="Tier 2"/>
    <x v="3"/>
  </r>
  <r>
    <n v="44"/>
    <x v="3"/>
    <s v="male"/>
    <n v="39.520000000000003"/>
    <n v="0"/>
    <x v="1"/>
    <x v="2"/>
    <n v="6948.7007999999996"/>
    <n v="6948.7007999999996"/>
    <x v="1"/>
    <n v="0.373"/>
    <x v="1"/>
    <s v="Standard"/>
    <s v="Tier 4"/>
    <x v="4"/>
  </r>
  <r>
    <n v="48"/>
    <x v="2"/>
    <s v="male"/>
    <n v="24.42"/>
    <n v="0"/>
    <x v="0"/>
    <x v="1"/>
    <n v="21223.675800000001"/>
    <n v="21223.675800000001"/>
    <x v="0"/>
    <n v="0.81"/>
    <x v="2"/>
    <s v="High Risk"/>
    <s v="Tier 1"/>
    <x v="0"/>
  </r>
  <r>
    <n v="18"/>
    <x v="0"/>
    <s v="male"/>
    <n v="25.175000000000001"/>
    <n v="0"/>
    <x v="0"/>
    <x v="3"/>
    <n v="15518.180249999999"/>
    <n v="15518.180249999999"/>
    <x v="0"/>
    <n v="0.73699999999999999"/>
    <x v="0"/>
    <s v="High Risk"/>
    <s v="Tier 2"/>
    <x v="0"/>
  </r>
  <r>
    <n v="30"/>
    <x v="1"/>
    <s v="male"/>
    <n v="35.53"/>
    <n v="0"/>
    <x v="0"/>
    <x v="1"/>
    <n v="36950.256699999998"/>
    <n v="36950.256699999998"/>
    <x v="0"/>
    <n v="0.91500000000000004"/>
    <x v="1"/>
    <s v="High Risk"/>
    <s v="Tier 1"/>
    <x v="6"/>
  </r>
  <r>
    <n v="50"/>
    <x v="2"/>
    <s v="female"/>
    <n v="27.83"/>
    <n v="3"/>
    <x v="1"/>
    <x v="1"/>
    <n v="19749.383379999999"/>
    <n v="4937.3458449999998"/>
    <x v="0"/>
    <n v="0.79300000000000004"/>
    <x v="0"/>
    <s v="Standard"/>
    <s v="Tier 1"/>
    <x v="4"/>
  </r>
  <r>
    <n v="42"/>
    <x v="3"/>
    <s v="female"/>
    <n v="26.6"/>
    <n v="0"/>
    <x v="0"/>
    <x v="2"/>
    <n v="21348.705999999998"/>
    <n v="21348.705999999998"/>
    <x v="0"/>
    <n v="0.81299999999999994"/>
    <x v="0"/>
    <s v="High Risk"/>
    <s v="Tier 4"/>
    <x v="0"/>
  </r>
  <r>
    <n v="18"/>
    <x v="0"/>
    <s v="female"/>
    <n v="36.85"/>
    <n v="0"/>
    <x v="0"/>
    <x v="1"/>
    <n v="36149.483500000002"/>
    <n v="36149.483500000002"/>
    <x v="0"/>
    <n v="0.90800000000000003"/>
    <x v="1"/>
    <s v="High Risk"/>
    <s v="Tier 1"/>
    <x v="6"/>
  </r>
  <r>
    <n v="54"/>
    <x v="2"/>
    <s v="male"/>
    <n v="39.6"/>
    <n v="1"/>
    <x v="1"/>
    <x v="0"/>
    <n v="10450.552"/>
    <n v="5225.2759999999998"/>
    <x v="1"/>
    <n v="0.55100000000000005"/>
    <x v="1"/>
    <s v="Standard"/>
    <s v="Tier 3"/>
    <x v="4"/>
  </r>
  <r>
    <n v="32"/>
    <x v="1"/>
    <s v="female"/>
    <n v="29.8"/>
    <n v="2"/>
    <x v="1"/>
    <x v="0"/>
    <n v="5152.134"/>
    <n v="1717.3779999999999"/>
    <x v="1"/>
    <n v="0.27600000000000002"/>
    <x v="0"/>
    <s v="Standard"/>
    <s v="Tier 3"/>
    <x v="3"/>
  </r>
  <r>
    <n v="37"/>
    <x v="3"/>
    <s v="male"/>
    <n v="29.64"/>
    <n v="0"/>
    <x v="1"/>
    <x v="2"/>
    <n v="5028.1466"/>
    <n v="5028.1466"/>
    <x v="1"/>
    <n v="0.27"/>
    <x v="0"/>
    <s v="Standard"/>
    <s v="Tier 4"/>
    <x v="3"/>
  </r>
  <r>
    <n v="47"/>
    <x v="2"/>
    <s v="male"/>
    <n v="28.215"/>
    <n v="4"/>
    <x v="1"/>
    <x v="3"/>
    <n v="10407.085849999999"/>
    <n v="2081.4171699999997"/>
    <x v="1"/>
    <n v="0.54800000000000004"/>
    <x v="0"/>
    <s v="Standard"/>
    <s v="Tier 2"/>
    <x v="3"/>
  </r>
  <r>
    <n v="20"/>
    <x v="0"/>
    <s v="female"/>
    <n v="37"/>
    <n v="5"/>
    <x v="1"/>
    <x v="0"/>
    <n v="4830.63"/>
    <n v="805.10500000000002"/>
    <x v="1"/>
    <n v="0.25700000000000001"/>
    <x v="1"/>
    <s v="Standard"/>
    <s v="Tier 3"/>
    <x v="4"/>
  </r>
  <r>
    <n v="32"/>
    <x v="1"/>
    <s v="female"/>
    <n v="33.155000000000001"/>
    <n v="3"/>
    <x v="1"/>
    <x v="2"/>
    <n v="6128.79745"/>
    <n v="1532.1993625"/>
    <x v="1"/>
    <n v="0.32600000000000001"/>
    <x v="1"/>
    <s v="Standard"/>
    <s v="Tier 4"/>
    <x v="4"/>
  </r>
  <r>
    <n v="19"/>
    <x v="0"/>
    <s v="female"/>
    <n v="31.824999999999999"/>
    <n v="1"/>
    <x v="1"/>
    <x v="2"/>
    <n v="2719.2797500000001"/>
    <n v="1359.6398750000001"/>
    <x v="1"/>
    <n v="0.125"/>
    <x v="1"/>
    <s v="Standard"/>
    <s v="Tier 4"/>
    <x v="4"/>
  </r>
  <r>
    <n v="27"/>
    <x v="1"/>
    <s v="male"/>
    <n v="18.905000000000001"/>
    <n v="3"/>
    <x v="1"/>
    <x v="3"/>
    <n v="4827.9049500000001"/>
    <n v="1206.9762375"/>
    <x v="1"/>
    <n v="0.25600000000000001"/>
    <x v="2"/>
    <s v="Standard"/>
    <s v="Tier 2"/>
    <x v="2"/>
  </r>
  <r>
    <n v="63"/>
    <x v="4"/>
    <s v="male"/>
    <n v="41.47"/>
    <n v="0"/>
    <x v="1"/>
    <x v="1"/>
    <n v="13405.390299999999"/>
    <n v="13405.390299999999"/>
    <x v="0"/>
    <n v="0.68799999999999994"/>
    <x v="1"/>
    <s v="Standard"/>
    <s v="Tier 1"/>
    <x v="1"/>
  </r>
  <r>
    <n v="49"/>
    <x v="2"/>
    <s v="male"/>
    <n v="30.3"/>
    <n v="0"/>
    <x v="1"/>
    <x v="0"/>
    <n v="8116.68"/>
    <n v="8116.68"/>
    <x v="1"/>
    <n v="0.433"/>
    <x v="1"/>
    <s v="Standard"/>
    <s v="Tier 3"/>
    <x v="4"/>
  </r>
  <r>
    <n v="18"/>
    <x v="0"/>
    <s v="male"/>
    <n v="15.96"/>
    <n v="0"/>
    <x v="1"/>
    <x v="3"/>
    <n v="1694.7963999999999"/>
    <n v="1694.7963999999999"/>
    <x v="1"/>
    <n v="3.5000000000000003E-2"/>
    <x v="3"/>
    <s v="Standard"/>
    <s v="Tier 2"/>
    <x v="2"/>
  </r>
  <r>
    <n v="35"/>
    <x v="1"/>
    <s v="female"/>
    <n v="34.799999999999997"/>
    <n v="1"/>
    <x v="1"/>
    <x v="0"/>
    <n v="5246.0469999999996"/>
    <n v="2623.0234999999998"/>
    <x v="1"/>
    <n v="0.28000000000000003"/>
    <x v="1"/>
    <s v="Standard"/>
    <s v="Tier 3"/>
    <x v="4"/>
  </r>
  <r>
    <n v="24"/>
    <x v="0"/>
    <s v="female"/>
    <n v="33.344999999999999"/>
    <n v="0"/>
    <x v="1"/>
    <x v="2"/>
    <n v="2855.4375500000001"/>
    <n v="2855.4375500000001"/>
    <x v="1"/>
    <n v="0.13500000000000001"/>
    <x v="1"/>
    <s v="Standard"/>
    <s v="Tier 4"/>
    <x v="4"/>
  </r>
  <r>
    <n v="63"/>
    <x v="4"/>
    <s v="female"/>
    <n v="37.700000000000003"/>
    <n v="0"/>
    <x v="0"/>
    <x v="0"/>
    <n v="48824.45"/>
    <n v="48824.45"/>
    <x v="0"/>
    <n v="0.99199999999999999"/>
    <x v="1"/>
    <s v="High Risk"/>
    <s v="Tier 3"/>
    <x v="5"/>
  </r>
  <r>
    <n v="38"/>
    <x v="3"/>
    <s v="male"/>
    <n v="27.835000000000001"/>
    <n v="2"/>
    <x v="1"/>
    <x v="2"/>
    <n v="6455.86265"/>
    <n v="2151.9542166666665"/>
    <x v="1"/>
    <n v="0.34599999999999997"/>
    <x v="0"/>
    <s v="Standard"/>
    <s v="Tier 4"/>
    <x v="3"/>
  </r>
  <r>
    <n v="54"/>
    <x v="2"/>
    <s v="male"/>
    <n v="29.2"/>
    <n v="1"/>
    <x v="1"/>
    <x v="0"/>
    <n v="10436.096"/>
    <n v="5218.0479999999998"/>
    <x v="1"/>
    <n v="0.55100000000000005"/>
    <x v="0"/>
    <s v="Standard"/>
    <s v="Tier 3"/>
    <x v="3"/>
  </r>
  <r>
    <n v="46"/>
    <x v="2"/>
    <s v="female"/>
    <n v="28.9"/>
    <n v="2"/>
    <x v="1"/>
    <x v="0"/>
    <n v="8823.2790000000005"/>
    <n v="2941.0930000000003"/>
    <x v="1"/>
    <n v="0.47299999999999998"/>
    <x v="0"/>
    <s v="Standard"/>
    <s v="Tier 3"/>
    <x v="3"/>
  </r>
  <r>
    <n v="41"/>
    <x v="3"/>
    <s v="female"/>
    <n v="33.155000000000001"/>
    <n v="3"/>
    <x v="1"/>
    <x v="3"/>
    <n v="8538.28845"/>
    <n v="2134.5721125"/>
    <x v="1"/>
    <n v="0.45600000000000002"/>
    <x v="1"/>
    <s v="Standard"/>
    <s v="Tier 2"/>
    <x v="4"/>
  </r>
  <r>
    <n v="58"/>
    <x v="4"/>
    <s v="male"/>
    <n v="28.594999999999999"/>
    <n v="0"/>
    <x v="1"/>
    <x v="2"/>
    <n v="11735.87905"/>
    <n v="11735.87905"/>
    <x v="1"/>
    <n v="0.61399999999999999"/>
    <x v="0"/>
    <s v="Standard"/>
    <s v="Tier 4"/>
    <x v="3"/>
  </r>
  <r>
    <n v="18"/>
    <x v="0"/>
    <s v="female"/>
    <n v="38.28"/>
    <n v="0"/>
    <x v="1"/>
    <x v="1"/>
    <n v="1631.8212000000001"/>
    <n v="1631.8212000000001"/>
    <x v="1"/>
    <n v="2.5000000000000001E-2"/>
    <x v="1"/>
    <s v="Standard"/>
    <s v="Tier 1"/>
    <x v="1"/>
  </r>
  <r>
    <n v="22"/>
    <x v="0"/>
    <s v="male"/>
    <n v="19.95"/>
    <n v="3"/>
    <x v="1"/>
    <x v="3"/>
    <n v="4005.4225000000001"/>
    <n v="1001.355625"/>
    <x v="1"/>
    <n v="0.20100000000000001"/>
    <x v="2"/>
    <s v="Standard"/>
    <s v="Tier 2"/>
    <x v="2"/>
  </r>
  <r>
    <n v="44"/>
    <x v="3"/>
    <s v="female"/>
    <n v="26.41"/>
    <n v="0"/>
    <x v="1"/>
    <x v="2"/>
    <n v="7419.4778999999999"/>
    <n v="7419.4778999999999"/>
    <x v="1"/>
    <n v="0.40100000000000002"/>
    <x v="0"/>
    <s v="Standard"/>
    <s v="Tier 4"/>
    <x v="3"/>
  </r>
  <r>
    <n v="44"/>
    <x v="3"/>
    <s v="male"/>
    <n v="30.69"/>
    <n v="2"/>
    <x v="1"/>
    <x v="1"/>
    <n v="7731.4270999999999"/>
    <n v="2577.1423666666665"/>
    <x v="1"/>
    <n v="0.41799999999999998"/>
    <x v="1"/>
    <s v="Standard"/>
    <s v="Tier 1"/>
    <x v="1"/>
  </r>
  <r>
    <n v="36"/>
    <x v="3"/>
    <s v="male"/>
    <n v="41.895000000000003"/>
    <n v="3"/>
    <x v="0"/>
    <x v="3"/>
    <n v="43753.337050000002"/>
    <n v="10938.3342625"/>
    <x v="0"/>
    <n v="0.96299999999999997"/>
    <x v="1"/>
    <s v="High Risk"/>
    <s v="Tier 2"/>
    <x v="5"/>
  </r>
  <r>
    <n v="26"/>
    <x v="1"/>
    <s v="female"/>
    <n v="29.92"/>
    <n v="2"/>
    <x v="1"/>
    <x v="1"/>
    <n v="3981.9767999999999"/>
    <n v="1327.3255999999999"/>
    <x v="1"/>
    <n v="0.19800000000000001"/>
    <x v="0"/>
    <s v="Standard"/>
    <s v="Tier 1"/>
    <x v="4"/>
  </r>
  <r>
    <n v="30"/>
    <x v="1"/>
    <s v="female"/>
    <n v="30.9"/>
    <n v="3"/>
    <x v="1"/>
    <x v="0"/>
    <n v="5325.6509999999998"/>
    <n v="1331.41275"/>
    <x v="1"/>
    <n v="0.28599999999999998"/>
    <x v="1"/>
    <s v="Standard"/>
    <s v="Tier 3"/>
    <x v="4"/>
  </r>
  <r>
    <n v="41"/>
    <x v="3"/>
    <s v="female"/>
    <n v="32.200000000000003"/>
    <n v="1"/>
    <x v="1"/>
    <x v="0"/>
    <n v="6775.9610000000002"/>
    <n v="3387.9805000000001"/>
    <x v="1"/>
    <n v="0.36399999999999999"/>
    <x v="1"/>
    <s v="Standard"/>
    <s v="Tier 3"/>
    <x v="4"/>
  </r>
  <r>
    <n v="29"/>
    <x v="1"/>
    <s v="female"/>
    <n v="32.11"/>
    <n v="2"/>
    <x v="1"/>
    <x v="2"/>
    <n v="4922.9159"/>
    <n v="1640.9719666666667"/>
    <x v="1"/>
    <n v="0.26400000000000001"/>
    <x v="1"/>
    <s v="Standard"/>
    <s v="Tier 4"/>
    <x v="4"/>
  </r>
  <r>
    <n v="61"/>
    <x v="4"/>
    <s v="male"/>
    <n v="31.57"/>
    <n v="0"/>
    <x v="1"/>
    <x v="1"/>
    <n v="12557.605299999999"/>
    <n v="12557.605299999999"/>
    <x v="1"/>
    <n v="0.65500000000000003"/>
    <x v="1"/>
    <s v="Standard"/>
    <s v="Tier 1"/>
    <x v="1"/>
  </r>
  <r>
    <n v="36"/>
    <x v="3"/>
    <s v="female"/>
    <n v="26.2"/>
    <n v="0"/>
    <x v="1"/>
    <x v="0"/>
    <n v="4883.866"/>
    <n v="4883.866"/>
    <x v="1"/>
    <n v="0.26"/>
    <x v="0"/>
    <s v="Standard"/>
    <s v="Tier 3"/>
    <x v="3"/>
  </r>
  <r>
    <n v="25"/>
    <x v="0"/>
    <s v="male"/>
    <n v="25.74"/>
    <n v="0"/>
    <x v="1"/>
    <x v="1"/>
    <n v="2137.6536000000001"/>
    <n v="2137.6536000000001"/>
    <x v="1"/>
    <n v="7.9000000000000001E-2"/>
    <x v="0"/>
    <s v="Standard"/>
    <s v="Tier 1"/>
    <x v="4"/>
  </r>
  <r>
    <n v="56"/>
    <x v="4"/>
    <s v="female"/>
    <n v="26.6"/>
    <n v="1"/>
    <x v="1"/>
    <x v="2"/>
    <n v="12044.342000000001"/>
    <n v="6022.1710000000003"/>
    <x v="1"/>
    <n v="0.63400000000000001"/>
    <x v="0"/>
    <s v="Standard"/>
    <s v="Tier 4"/>
    <x v="3"/>
  </r>
  <r>
    <n v="18"/>
    <x v="0"/>
    <s v="male"/>
    <n v="34.43"/>
    <n v="0"/>
    <x v="1"/>
    <x v="1"/>
    <n v="1137.4697000000001"/>
    <n v="1137.4697000000001"/>
    <x v="1"/>
    <n v="3.0000000000000001E-3"/>
    <x v="1"/>
    <s v="Standard"/>
    <s v="Tier 1"/>
    <x v="1"/>
  </r>
  <r>
    <n v="19"/>
    <x v="0"/>
    <s v="male"/>
    <n v="30.59"/>
    <n v="0"/>
    <x v="1"/>
    <x v="2"/>
    <n v="1639.5631000000001"/>
    <n v="1639.5631000000001"/>
    <x v="1"/>
    <n v="0.03"/>
    <x v="1"/>
    <s v="Standard"/>
    <s v="Tier 4"/>
    <x v="4"/>
  </r>
  <r>
    <n v="39"/>
    <x v="3"/>
    <s v="female"/>
    <n v="32.799999999999997"/>
    <n v="0"/>
    <x v="1"/>
    <x v="0"/>
    <n v="5649.7150000000001"/>
    <n v="5649.7150000000001"/>
    <x v="1"/>
    <n v="0.30399999999999999"/>
    <x v="1"/>
    <s v="Standard"/>
    <s v="Tier 3"/>
    <x v="4"/>
  </r>
  <r>
    <n v="45"/>
    <x v="3"/>
    <s v="female"/>
    <n v="28.6"/>
    <n v="2"/>
    <x v="1"/>
    <x v="1"/>
    <n v="8516.8289999999997"/>
    <n v="2838.9429999999998"/>
    <x v="1"/>
    <n v="0.45300000000000001"/>
    <x v="0"/>
    <s v="Standard"/>
    <s v="Tier 1"/>
    <x v="4"/>
  </r>
  <r>
    <n v="51"/>
    <x v="2"/>
    <s v="female"/>
    <n v="18.05"/>
    <n v="0"/>
    <x v="1"/>
    <x v="2"/>
    <n v="9644.2525000000005"/>
    <n v="9644.2525000000005"/>
    <x v="1"/>
    <n v="0.51500000000000001"/>
    <x v="3"/>
    <s v="Standard"/>
    <s v="Tier 4"/>
    <x v="2"/>
  </r>
  <r>
    <n v="64"/>
    <x v="4"/>
    <s v="female"/>
    <n v="39.33"/>
    <n v="0"/>
    <x v="1"/>
    <x v="3"/>
    <n v="14901.5167"/>
    <n v="14901.5167"/>
    <x v="0"/>
    <n v="0.73099999999999998"/>
    <x v="1"/>
    <s v="Standard"/>
    <s v="Tier 2"/>
    <x v="4"/>
  </r>
  <r>
    <n v="19"/>
    <x v="0"/>
    <s v="female"/>
    <n v="32.11"/>
    <n v="0"/>
    <x v="1"/>
    <x v="2"/>
    <n v="2130.6759000000002"/>
    <n v="2130.6759000000002"/>
    <x v="1"/>
    <n v="7.6999999999999999E-2"/>
    <x v="1"/>
    <s v="Standard"/>
    <s v="Tier 4"/>
    <x v="4"/>
  </r>
  <r>
    <n v="48"/>
    <x v="2"/>
    <s v="female"/>
    <n v="32.229999999999997"/>
    <n v="1"/>
    <x v="1"/>
    <x v="1"/>
    <n v="8871.1517000000003"/>
    <n v="4435.5758500000002"/>
    <x v="1"/>
    <n v="0.47699999999999998"/>
    <x v="1"/>
    <s v="Standard"/>
    <s v="Tier 1"/>
    <x v="1"/>
  </r>
  <r>
    <n v="60"/>
    <x v="4"/>
    <s v="female"/>
    <n v="24.035"/>
    <n v="0"/>
    <x v="1"/>
    <x v="2"/>
    <n v="13012.20865"/>
    <n v="13012.20865"/>
    <x v="1"/>
    <n v="0.67500000000000004"/>
    <x v="2"/>
    <s v="Standard"/>
    <s v="Tier 4"/>
    <x v="2"/>
  </r>
  <r>
    <n v="27"/>
    <x v="1"/>
    <s v="female"/>
    <n v="36.08"/>
    <n v="0"/>
    <x v="0"/>
    <x v="1"/>
    <n v="37133.898200000003"/>
    <n v="37133.898200000003"/>
    <x v="0"/>
    <n v="0.91600000000000004"/>
    <x v="1"/>
    <s v="High Risk"/>
    <s v="Tier 1"/>
    <x v="6"/>
  </r>
  <r>
    <n v="46"/>
    <x v="2"/>
    <s v="male"/>
    <n v="22.3"/>
    <n v="0"/>
    <x v="1"/>
    <x v="0"/>
    <n v="7147.1049999999996"/>
    <n v="7147.1049999999996"/>
    <x v="1"/>
    <n v="0.38"/>
    <x v="2"/>
    <s v="Standard"/>
    <s v="Tier 3"/>
    <x v="2"/>
  </r>
  <r>
    <n v="28"/>
    <x v="1"/>
    <s v="female"/>
    <n v="28.88"/>
    <n v="1"/>
    <x v="1"/>
    <x v="3"/>
    <n v="4337.7352000000001"/>
    <n v="2168.8676"/>
    <x v="1"/>
    <n v="0.217"/>
    <x v="0"/>
    <s v="Standard"/>
    <s v="Tier 2"/>
    <x v="3"/>
  </r>
  <r>
    <n v="59"/>
    <x v="4"/>
    <s v="male"/>
    <n v="26.4"/>
    <n v="0"/>
    <x v="1"/>
    <x v="1"/>
    <n v="11743.299000000001"/>
    <n v="11743.299000000001"/>
    <x v="1"/>
    <n v="0.61699999999999999"/>
    <x v="0"/>
    <s v="Standard"/>
    <s v="Tier 1"/>
    <x v="4"/>
  </r>
  <r>
    <n v="35"/>
    <x v="1"/>
    <s v="male"/>
    <n v="27.74"/>
    <n v="2"/>
    <x v="0"/>
    <x v="3"/>
    <n v="20984.0936"/>
    <n v="6994.6978666666664"/>
    <x v="0"/>
    <n v="0.80700000000000005"/>
    <x v="0"/>
    <s v="High Risk"/>
    <s v="Tier 2"/>
    <x v="0"/>
  </r>
  <r>
    <n v="63"/>
    <x v="4"/>
    <s v="female"/>
    <n v="31.8"/>
    <n v="0"/>
    <x v="1"/>
    <x v="0"/>
    <n v="13880.949000000001"/>
    <n v="13880.949000000001"/>
    <x v="0"/>
    <n v="0.70299999999999996"/>
    <x v="1"/>
    <s v="Standard"/>
    <s v="Tier 3"/>
    <x v="4"/>
  </r>
  <r>
    <n v="40"/>
    <x v="3"/>
    <s v="male"/>
    <n v="41.23"/>
    <n v="1"/>
    <x v="1"/>
    <x v="3"/>
    <n v="6610.1097"/>
    <n v="3305.05485"/>
    <x v="1"/>
    <n v="0.35599999999999998"/>
    <x v="1"/>
    <s v="Standard"/>
    <s v="Tier 2"/>
    <x v="4"/>
  </r>
  <r>
    <n v="20"/>
    <x v="0"/>
    <s v="male"/>
    <n v="33"/>
    <n v="1"/>
    <x v="1"/>
    <x v="0"/>
    <n v="1980.07"/>
    <n v="990.03499999999997"/>
    <x v="1"/>
    <n v="6.5000000000000002E-2"/>
    <x v="1"/>
    <s v="Standard"/>
    <s v="Tier 3"/>
    <x v="4"/>
  </r>
  <r>
    <n v="40"/>
    <x v="3"/>
    <s v="male"/>
    <n v="30.875"/>
    <n v="4"/>
    <x v="1"/>
    <x v="2"/>
    <n v="8162.7162500000004"/>
    <n v="1632.5432500000002"/>
    <x v="1"/>
    <n v="0.435"/>
    <x v="1"/>
    <s v="Standard"/>
    <s v="Tier 4"/>
    <x v="4"/>
  </r>
  <r>
    <n v="24"/>
    <x v="0"/>
    <s v="male"/>
    <n v="28.5"/>
    <n v="2"/>
    <x v="1"/>
    <x v="2"/>
    <n v="3537.703"/>
    <n v="1179.2343333333333"/>
    <x v="1"/>
    <n v="0.17299999999999999"/>
    <x v="0"/>
    <s v="Standard"/>
    <s v="Tier 4"/>
    <x v="3"/>
  </r>
  <r>
    <n v="34"/>
    <x v="1"/>
    <s v="female"/>
    <n v="26.73"/>
    <n v="1"/>
    <x v="1"/>
    <x v="1"/>
    <n v="5002.7826999999997"/>
    <n v="2501.3913499999999"/>
    <x v="1"/>
    <n v="0.26800000000000002"/>
    <x v="0"/>
    <s v="Standard"/>
    <s v="Tier 1"/>
    <x v="4"/>
  </r>
  <r>
    <n v="45"/>
    <x v="3"/>
    <s v="female"/>
    <n v="30.9"/>
    <n v="2"/>
    <x v="1"/>
    <x v="0"/>
    <n v="8520.0259999999998"/>
    <n v="2840.0086666666666"/>
    <x v="1"/>
    <n v="0.45400000000000001"/>
    <x v="1"/>
    <s v="Standard"/>
    <s v="Tier 3"/>
    <x v="4"/>
  </r>
  <r>
    <n v="41"/>
    <x v="3"/>
    <s v="female"/>
    <n v="37.1"/>
    <n v="2"/>
    <x v="1"/>
    <x v="0"/>
    <n v="7371.7719999999999"/>
    <n v="2457.2573333333335"/>
    <x v="1"/>
    <n v="0.4"/>
    <x v="1"/>
    <s v="Standard"/>
    <s v="Tier 3"/>
    <x v="4"/>
  </r>
  <r>
    <n v="53"/>
    <x v="2"/>
    <s v="female"/>
    <n v="26.6"/>
    <n v="0"/>
    <x v="1"/>
    <x v="2"/>
    <n v="10355.641"/>
    <n v="10355.641"/>
    <x v="1"/>
    <n v="0.54600000000000004"/>
    <x v="0"/>
    <s v="Standard"/>
    <s v="Tier 4"/>
    <x v="3"/>
  </r>
  <r>
    <n v="27"/>
    <x v="1"/>
    <s v="male"/>
    <n v="23.1"/>
    <n v="0"/>
    <x v="1"/>
    <x v="1"/>
    <n v="2483.7359999999999"/>
    <n v="2483.7359999999999"/>
    <x v="1"/>
    <n v="0.109"/>
    <x v="2"/>
    <s v="Standard"/>
    <s v="Tier 1"/>
    <x v="3"/>
  </r>
  <r>
    <n v="26"/>
    <x v="1"/>
    <s v="female"/>
    <n v="29.92"/>
    <n v="1"/>
    <x v="1"/>
    <x v="1"/>
    <n v="3392.9767999999999"/>
    <n v="1696.4884"/>
    <x v="1"/>
    <n v="0.16600000000000001"/>
    <x v="0"/>
    <s v="Standard"/>
    <s v="Tier 1"/>
    <x v="4"/>
  </r>
  <r>
    <n v="24"/>
    <x v="0"/>
    <s v="female"/>
    <n v="23.21"/>
    <n v="0"/>
    <x v="1"/>
    <x v="1"/>
    <n v="25081.76784"/>
    <n v="25081.76784"/>
    <x v="0"/>
    <n v="0.85"/>
    <x v="2"/>
    <s v="Standard"/>
    <s v="Tier 1"/>
    <x v="3"/>
  </r>
  <r>
    <n v="34"/>
    <x v="1"/>
    <s v="female"/>
    <n v="33.700000000000003"/>
    <n v="1"/>
    <x v="1"/>
    <x v="0"/>
    <n v="5012.4709999999995"/>
    <n v="2506.2354999999998"/>
    <x v="1"/>
    <n v="0.27"/>
    <x v="1"/>
    <s v="Standard"/>
    <s v="Tier 3"/>
    <x v="4"/>
  </r>
  <r>
    <n v="53"/>
    <x v="2"/>
    <s v="female"/>
    <n v="33.25"/>
    <n v="0"/>
    <x v="1"/>
    <x v="3"/>
    <n v="10564.8845"/>
    <n v="10564.8845"/>
    <x v="1"/>
    <n v="0.55400000000000005"/>
    <x v="1"/>
    <s v="Standard"/>
    <s v="Tier 2"/>
    <x v="4"/>
  </r>
  <r>
    <n v="32"/>
    <x v="1"/>
    <s v="male"/>
    <n v="30.8"/>
    <n v="3"/>
    <x v="1"/>
    <x v="0"/>
    <n v="5253.5240000000003"/>
    <n v="1313.3810000000001"/>
    <x v="1"/>
    <n v="0.28100000000000003"/>
    <x v="1"/>
    <s v="Standard"/>
    <s v="Tier 3"/>
    <x v="4"/>
  </r>
  <r>
    <n v="19"/>
    <x v="0"/>
    <s v="male"/>
    <n v="34.799999999999997"/>
    <n v="0"/>
    <x v="0"/>
    <x v="0"/>
    <n v="34779.614999999998"/>
    <n v="34779.614999999998"/>
    <x v="0"/>
    <n v="0.89800000000000002"/>
    <x v="1"/>
    <s v="High Risk"/>
    <s v="Tier 3"/>
    <x v="5"/>
  </r>
  <r>
    <n v="42"/>
    <x v="3"/>
    <s v="male"/>
    <n v="24.64"/>
    <n v="0"/>
    <x v="0"/>
    <x v="1"/>
    <n v="19515.5416"/>
    <n v="19515.5416"/>
    <x v="0"/>
    <n v="0.78900000000000003"/>
    <x v="2"/>
    <s v="High Risk"/>
    <s v="Tier 1"/>
    <x v="0"/>
  </r>
  <r>
    <n v="55"/>
    <x v="2"/>
    <s v="male"/>
    <n v="33.880000000000003"/>
    <n v="3"/>
    <x v="1"/>
    <x v="1"/>
    <n v="11987.1682"/>
    <n v="2996.79205"/>
    <x v="1"/>
    <n v="0.63200000000000001"/>
    <x v="1"/>
    <s v="Standard"/>
    <s v="Tier 1"/>
    <x v="1"/>
  </r>
  <r>
    <n v="28"/>
    <x v="1"/>
    <s v="male"/>
    <n v="38.06"/>
    <n v="0"/>
    <x v="1"/>
    <x v="1"/>
    <n v="2689.4953999999998"/>
    <n v="2689.4953999999998"/>
    <x v="1"/>
    <n v="0.121"/>
    <x v="1"/>
    <s v="Standard"/>
    <s v="Tier 1"/>
    <x v="1"/>
  </r>
  <r>
    <n v="58"/>
    <x v="4"/>
    <s v="female"/>
    <n v="41.91"/>
    <n v="0"/>
    <x v="1"/>
    <x v="1"/>
    <n v="24227.337240000001"/>
    <n v="24227.337240000001"/>
    <x v="0"/>
    <n v="0.84"/>
    <x v="1"/>
    <s v="Standard"/>
    <s v="Tier 1"/>
    <x v="1"/>
  </r>
  <r>
    <n v="41"/>
    <x v="3"/>
    <s v="female"/>
    <n v="31.635000000000002"/>
    <n v="1"/>
    <x v="1"/>
    <x v="3"/>
    <n v="7358.1756500000001"/>
    <n v="3679.0878250000001"/>
    <x v="1"/>
    <n v="0.39900000000000002"/>
    <x v="1"/>
    <s v="Standard"/>
    <s v="Tier 2"/>
    <x v="4"/>
  </r>
  <r>
    <n v="47"/>
    <x v="2"/>
    <s v="male"/>
    <n v="25.46"/>
    <n v="2"/>
    <x v="1"/>
    <x v="3"/>
    <n v="9225.2564000000002"/>
    <n v="3075.0854666666669"/>
    <x v="1"/>
    <n v="0.49199999999999999"/>
    <x v="0"/>
    <s v="Standard"/>
    <s v="Tier 2"/>
    <x v="3"/>
  </r>
  <r>
    <n v="42"/>
    <x v="3"/>
    <s v="female"/>
    <n v="36.195"/>
    <n v="1"/>
    <x v="1"/>
    <x v="2"/>
    <n v="7443.6430499999997"/>
    <n v="3721.8215249999998"/>
    <x v="1"/>
    <n v="0.40400000000000003"/>
    <x v="1"/>
    <s v="Standard"/>
    <s v="Tier 4"/>
    <x v="4"/>
  </r>
  <r>
    <n v="59"/>
    <x v="4"/>
    <s v="female"/>
    <n v="27.83"/>
    <n v="3"/>
    <x v="1"/>
    <x v="1"/>
    <n v="14001.286700000001"/>
    <n v="3500.3216750000001"/>
    <x v="0"/>
    <n v="0.70899999999999996"/>
    <x v="0"/>
    <s v="Standard"/>
    <s v="Tier 1"/>
    <x v="4"/>
  </r>
  <r>
    <n v="19"/>
    <x v="0"/>
    <s v="female"/>
    <n v="17.8"/>
    <n v="0"/>
    <x v="1"/>
    <x v="0"/>
    <n v="1727.7850000000001"/>
    <n v="1727.7850000000001"/>
    <x v="1"/>
    <n v="4.3999999999999997E-2"/>
    <x v="3"/>
    <s v="Standard"/>
    <s v="Tier 3"/>
    <x v="2"/>
  </r>
  <r>
    <n v="59"/>
    <x v="4"/>
    <s v="male"/>
    <n v="27.5"/>
    <n v="1"/>
    <x v="1"/>
    <x v="0"/>
    <n v="12333.828"/>
    <n v="6166.9139999999998"/>
    <x v="1"/>
    <n v="0.64700000000000002"/>
    <x v="0"/>
    <s v="Standard"/>
    <s v="Tier 3"/>
    <x v="3"/>
  </r>
  <r>
    <n v="39"/>
    <x v="3"/>
    <s v="male"/>
    <n v="24.51"/>
    <n v="2"/>
    <x v="1"/>
    <x v="2"/>
    <n v="6710.1918999999998"/>
    <n v="2236.7306333333331"/>
    <x v="1"/>
    <n v="0.36099999999999999"/>
    <x v="2"/>
    <s v="Standard"/>
    <s v="Tier 4"/>
    <x v="2"/>
  </r>
  <r>
    <n v="40"/>
    <x v="3"/>
    <s v="female"/>
    <n v="22.22"/>
    <n v="2"/>
    <x v="0"/>
    <x v="1"/>
    <n v="19444.265800000001"/>
    <n v="6481.421933333334"/>
    <x v="0"/>
    <n v="0.78700000000000003"/>
    <x v="2"/>
    <s v="High Risk"/>
    <s v="Tier 1"/>
    <x v="0"/>
  </r>
  <r>
    <n v="18"/>
    <x v="0"/>
    <s v="female"/>
    <n v="26.73"/>
    <n v="0"/>
    <x v="1"/>
    <x v="1"/>
    <n v="1615.7666999999999"/>
    <n v="1615.7666999999999"/>
    <x v="1"/>
    <n v="1.7999999999999999E-2"/>
    <x v="0"/>
    <s v="Standard"/>
    <s v="Tier 1"/>
    <x v="4"/>
  </r>
  <r>
    <n v="31"/>
    <x v="1"/>
    <s v="male"/>
    <n v="38.39"/>
    <n v="2"/>
    <x v="1"/>
    <x v="1"/>
    <n v="4463.2051000000001"/>
    <n v="1487.7350333333334"/>
    <x v="1"/>
    <n v="0.23100000000000001"/>
    <x v="1"/>
    <s v="Standard"/>
    <s v="Tier 1"/>
    <x v="1"/>
  </r>
  <r>
    <n v="19"/>
    <x v="0"/>
    <s v="male"/>
    <n v="29.07"/>
    <n v="0"/>
    <x v="0"/>
    <x v="2"/>
    <n v="17352.6803"/>
    <n v="17352.6803"/>
    <x v="0"/>
    <n v="0.75700000000000001"/>
    <x v="0"/>
    <s v="High Risk"/>
    <s v="Tier 4"/>
    <x v="0"/>
  </r>
  <r>
    <n v="44"/>
    <x v="3"/>
    <s v="male"/>
    <n v="38.06"/>
    <n v="1"/>
    <x v="1"/>
    <x v="1"/>
    <n v="7152.6714000000002"/>
    <n v="3576.3357000000001"/>
    <x v="1"/>
    <n v="0.38200000000000001"/>
    <x v="1"/>
    <s v="Standard"/>
    <s v="Tier 1"/>
    <x v="1"/>
  </r>
  <r>
    <n v="23"/>
    <x v="0"/>
    <s v="female"/>
    <n v="36.67"/>
    <n v="2"/>
    <x v="0"/>
    <x v="3"/>
    <n v="38511.628299999997"/>
    <n v="12837.209433333332"/>
    <x v="0"/>
    <n v="0.92700000000000005"/>
    <x v="1"/>
    <s v="High Risk"/>
    <s v="Tier 2"/>
    <x v="5"/>
  </r>
  <r>
    <n v="33"/>
    <x v="1"/>
    <s v="female"/>
    <n v="22.135000000000002"/>
    <n v="1"/>
    <x v="1"/>
    <x v="3"/>
    <n v="5354.0746499999996"/>
    <n v="2677.0373249999998"/>
    <x v="1"/>
    <n v="0.28699999999999998"/>
    <x v="2"/>
    <s v="Standard"/>
    <s v="Tier 2"/>
    <x v="2"/>
  </r>
  <r>
    <n v="55"/>
    <x v="2"/>
    <s v="female"/>
    <n v="26.8"/>
    <n v="1"/>
    <x v="1"/>
    <x v="0"/>
    <n v="35160.134570000002"/>
    <n v="17580.067285000001"/>
    <x v="0"/>
    <n v="0.90200000000000002"/>
    <x v="0"/>
    <s v="Standard"/>
    <s v="Tier 3"/>
    <x v="3"/>
  </r>
  <r>
    <n v="40"/>
    <x v="3"/>
    <s v="male"/>
    <n v="35.299999999999997"/>
    <n v="3"/>
    <x v="1"/>
    <x v="0"/>
    <n v="7196.8670000000002"/>
    <n v="1799.21675"/>
    <x v="1"/>
    <n v="0.38700000000000001"/>
    <x v="1"/>
    <s v="Standard"/>
    <s v="Tier 3"/>
    <x v="4"/>
  </r>
  <r>
    <n v="63"/>
    <x v="4"/>
    <s v="female"/>
    <n v="27.74"/>
    <n v="0"/>
    <x v="0"/>
    <x v="3"/>
    <n v="29523.1656"/>
    <n v="29523.1656"/>
    <x v="0"/>
    <n v="0.878"/>
    <x v="0"/>
    <s v="High Risk"/>
    <s v="Tier 2"/>
    <x v="0"/>
  </r>
  <r>
    <n v="54"/>
    <x v="2"/>
    <s v="male"/>
    <n v="30.02"/>
    <n v="0"/>
    <x v="1"/>
    <x v="2"/>
    <n v="24476.478510000001"/>
    <n v="24476.478510000001"/>
    <x v="0"/>
    <n v="0.84199999999999997"/>
    <x v="1"/>
    <s v="Standard"/>
    <s v="Tier 4"/>
    <x v="4"/>
  </r>
  <r>
    <n v="60"/>
    <x v="4"/>
    <s v="female"/>
    <n v="38.06"/>
    <n v="0"/>
    <x v="1"/>
    <x v="1"/>
    <n v="12648.7034"/>
    <n v="12648.7034"/>
    <x v="1"/>
    <n v="0.66300000000000003"/>
    <x v="1"/>
    <s v="Standard"/>
    <s v="Tier 1"/>
    <x v="1"/>
  </r>
  <r>
    <n v="24"/>
    <x v="0"/>
    <s v="male"/>
    <n v="35.86"/>
    <n v="0"/>
    <x v="1"/>
    <x v="1"/>
    <n v="1986.9333999999999"/>
    <n v="1986.9333999999999"/>
    <x v="1"/>
    <n v="6.8000000000000005E-2"/>
    <x v="1"/>
    <s v="Standard"/>
    <s v="Tier 1"/>
    <x v="1"/>
  </r>
  <r>
    <n v="19"/>
    <x v="0"/>
    <s v="male"/>
    <n v="20.9"/>
    <n v="1"/>
    <x v="1"/>
    <x v="0"/>
    <n v="1832.0940000000001"/>
    <n v="916.04700000000003"/>
    <x v="1"/>
    <n v="5.2999999999999999E-2"/>
    <x v="2"/>
    <s v="Standard"/>
    <s v="Tier 3"/>
    <x v="2"/>
  </r>
  <r>
    <n v="29"/>
    <x v="1"/>
    <s v="male"/>
    <n v="28.975000000000001"/>
    <n v="1"/>
    <x v="1"/>
    <x v="3"/>
    <n v="4040.55825"/>
    <n v="2020.279125"/>
    <x v="1"/>
    <n v="0.20200000000000001"/>
    <x v="0"/>
    <s v="Standard"/>
    <s v="Tier 2"/>
    <x v="3"/>
  </r>
  <r>
    <n v="18"/>
    <x v="0"/>
    <s v="male"/>
    <n v="17.29"/>
    <n v="2"/>
    <x v="0"/>
    <x v="3"/>
    <n v="12829.455099999999"/>
    <n v="4276.4850333333334"/>
    <x v="1"/>
    <n v="0.66700000000000004"/>
    <x v="3"/>
    <s v="High Risk"/>
    <s v="Tier 2"/>
    <x v="1"/>
  </r>
  <r>
    <n v="63"/>
    <x v="4"/>
    <s v="female"/>
    <n v="32.200000000000003"/>
    <n v="2"/>
    <x v="0"/>
    <x v="0"/>
    <n v="47305.305"/>
    <n v="15768.434999999999"/>
    <x v="0"/>
    <n v="0.98399999999999999"/>
    <x v="1"/>
    <s v="High Risk"/>
    <s v="Tier 3"/>
    <x v="5"/>
  </r>
  <r>
    <n v="54"/>
    <x v="2"/>
    <s v="male"/>
    <n v="34.21"/>
    <n v="2"/>
    <x v="0"/>
    <x v="1"/>
    <n v="44260.749900000003"/>
    <n v="14753.5833"/>
    <x v="0"/>
    <n v="0.96699999999999997"/>
    <x v="1"/>
    <s v="High Risk"/>
    <s v="Tier 1"/>
    <x v="6"/>
  </r>
  <r>
    <n v="27"/>
    <x v="1"/>
    <s v="male"/>
    <n v="30.3"/>
    <n v="3"/>
    <x v="1"/>
    <x v="0"/>
    <n v="4260.7439999999997"/>
    <n v="1065.1859999999999"/>
    <x v="1"/>
    <n v="0.214"/>
    <x v="1"/>
    <s v="Standard"/>
    <s v="Tier 3"/>
    <x v="4"/>
  </r>
  <r>
    <n v="50"/>
    <x v="2"/>
    <s v="male"/>
    <n v="31.824999999999999"/>
    <n v="0"/>
    <x v="0"/>
    <x v="3"/>
    <n v="41097.161749999999"/>
    <n v="41097.161749999999"/>
    <x v="0"/>
    <n v="0.94899999999999995"/>
    <x v="1"/>
    <s v="High Risk"/>
    <s v="Tier 2"/>
    <x v="5"/>
  </r>
  <r>
    <n v="55"/>
    <x v="2"/>
    <s v="female"/>
    <n v="25.364999999999998"/>
    <n v="3"/>
    <x v="1"/>
    <x v="3"/>
    <n v="13047.332350000001"/>
    <n v="3261.8330875000001"/>
    <x v="1"/>
    <n v="0.67700000000000005"/>
    <x v="0"/>
    <s v="Standard"/>
    <s v="Tier 2"/>
    <x v="3"/>
  </r>
  <r>
    <n v="56"/>
    <x v="4"/>
    <s v="male"/>
    <n v="33.630000000000003"/>
    <n v="0"/>
    <x v="0"/>
    <x v="2"/>
    <n v="43921.183700000001"/>
    <n v="43921.183700000001"/>
    <x v="0"/>
    <n v="0.96499999999999997"/>
    <x v="1"/>
    <s v="High Risk"/>
    <s v="Tier 4"/>
    <x v="5"/>
  </r>
  <r>
    <n v="38"/>
    <x v="3"/>
    <s v="female"/>
    <n v="40.15"/>
    <n v="0"/>
    <x v="1"/>
    <x v="1"/>
    <n v="5400.9804999999997"/>
    <n v="5400.9804999999997"/>
    <x v="1"/>
    <n v="0.29299999999999998"/>
    <x v="1"/>
    <s v="Standard"/>
    <s v="Tier 1"/>
    <x v="1"/>
  </r>
  <r>
    <n v="51"/>
    <x v="2"/>
    <s v="male"/>
    <n v="24.414999999999999"/>
    <n v="4"/>
    <x v="1"/>
    <x v="2"/>
    <n v="11520.099850000001"/>
    <n v="2304.0199700000003"/>
    <x v="1"/>
    <n v="0.60499999999999998"/>
    <x v="2"/>
    <s v="Standard"/>
    <s v="Tier 4"/>
    <x v="2"/>
  </r>
  <r>
    <n v="19"/>
    <x v="0"/>
    <s v="male"/>
    <n v="31.92"/>
    <n v="0"/>
    <x v="0"/>
    <x v="2"/>
    <n v="33750.291799999999"/>
    <n v="33750.291799999999"/>
    <x v="0"/>
    <n v="0.89"/>
    <x v="1"/>
    <s v="High Risk"/>
    <s v="Tier 4"/>
    <x v="5"/>
  </r>
  <r>
    <n v="58"/>
    <x v="4"/>
    <s v="female"/>
    <n v="25.2"/>
    <n v="0"/>
    <x v="1"/>
    <x v="0"/>
    <n v="11837.16"/>
    <n v="11837.16"/>
    <x v="1"/>
    <n v="0.62"/>
    <x v="0"/>
    <s v="Standard"/>
    <s v="Tier 3"/>
    <x v="3"/>
  </r>
  <r>
    <n v="20"/>
    <x v="0"/>
    <s v="female"/>
    <n v="26.84"/>
    <n v="1"/>
    <x v="0"/>
    <x v="1"/>
    <n v="17085.267599999999"/>
    <n v="8542.6337999999996"/>
    <x v="0"/>
    <n v="0.754"/>
    <x v="0"/>
    <s v="High Risk"/>
    <s v="Tier 1"/>
    <x v="5"/>
  </r>
  <r>
    <n v="52"/>
    <x v="2"/>
    <s v="male"/>
    <n v="24.32"/>
    <n v="3"/>
    <x v="0"/>
    <x v="3"/>
    <n v="24869.836800000001"/>
    <n v="6217.4592000000002"/>
    <x v="0"/>
    <n v="0.84699999999999998"/>
    <x v="2"/>
    <s v="High Risk"/>
    <s v="Tier 2"/>
    <x v="1"/>
  </r>
  <r>
    <n v="19"/>
    <x v="0"/>
    <s v="male"/>
    <n v="36.954999999999998"/>
    <n v="0"/>
    <x v="0"/>
    <x v="2"/>
    <n v="36219.405449999998"/>
    <n v="36219.405449999998"/>
    <x v="0"/>
    <n v="0.91"/>
    <x v="1"/>
    <s v="High Risk"/>
    <s v="Tier 4"/>
    <x v="5"/>
  </r>
  <r>
    <n v="53"/>
    <x v="2"/>
    <s v="female"/>
    <n v="38.06"/>
    <n v="3"/>
    <x v="1"/>
    <x v="1"/>
    <n v="20462.997660000001"/>
    <n v="5115.7494150000002"/>
    <x v="0"/>
    <n v="0.80200000000000005"/>
    <x v="1"/>
    <s v="Standard"/>
    <s v="Tier 1"/>
    <x v="1"/>
  </r>
  <r>
    <n v="46"/>
    <x v="2"/>
    <s v="male"/>
    <n v="42.35"/>
    <n v="3"/>
    <x v="0"/>
    <x v="1"/>
    <n v="46151.124499999998"/>
    <n v="11537.781125"/>
    <x v="0"/>
    <n v="0.97599999999999998"/>
    <x v="1"/>
    <s v="High Risk"/>
    <s v="Tier 1"/>
    <x v="6"/>
  </r>
  <r>
    <n v="40"/>
    <x v="3"/>
    <s v="male"/>
    <n v="19.8"/>
    <n v="1"/>
    <x v="0"/>
    <x v="1"/>
    <n v="17179.522000000001"/>
    <n v="8589.7610000000004"/>
    <x v="0"/>
    <n v="0.75600000000000001"/>
    <x v="2"/>
    <s v="High Risk"/>
    <s v="Tier 1"/>
    <x v="0"/>
  </r>
  <r>
    <n v="59"/>
    <x v="4"/>
    <s v="female"/>
    <n v="32.395000000000003"/>
    <n v="3"/>
    <x v="1"/>
    <x v="3"/>
    <n v="14590.63205"/>
    <n v="3647.6580125"/>
    <x v="0"/>
    <n v="0.72899999999999998"/>
    <x v="1"/>
    <s v="Standard"/>
    <s v="Tier 2"/>
    <x v="4"/>
  </r>
  <r>
    <n v="45"/>
    <x v="3"/>
    <s v="male"/>
    <n v="30.2"/>
    <n v="1"/>
    <x v="1"/>
    <x v="0"/>
    <n v="7441.0529999999999"/>
    <n v="3720.5264999999999"/>
    <x v="1"/>
    <n v="0.40300000000000002"/>
    <x v="1"/>
    <s v="Standard"/>
    <s v="Tier 3"/>
    <x v="4"/>
  </r>
  <r>
    <n v="49"/>
    <x v="2"/>
    <s v="male"/>
    <n v="25.84"/>
    <n v="1"/>
    <x v="1"/>
    <x v="3"/>
    <n v="9282.4806000000008"/>
    <n v="4641.2403000000004"/>
    <x v="1"/>
    <n v="0.49399999999999999"/>
    <x v="0"/>
    <s v="Standard"/>
    <s v="Tier 2"/>
    <x v="3"/>
  </r>
  <r>
    <n v="18"/>
    <x v="0"/>
    <s v="male"/>
    <n v="29.37"/>
    <n v="1"/>
    <x v="1"/>
    <x v="1"/>
    <n v="1719.4363000000001"/>
    <n v="859.71815000000004"/>
    <x v="1"/>
    <n v="4.1000000000000002E-2"/>
    <x v="0"/>
    <s v="Standard"/>
    <s v="Tier 1"/>
    <x v="4"/>
  </r>
  <r>
    <n v="50"/>
    <x v="2"/>
    <s v="male"/>
    <n v="34.200000000000003"/>
    <n v="2"/>
    <x v="0"/>
    <x v="0"/>
    <n v="42856.838000000003"/>
    <n v="14285.612666666668"/>
    <x v="0"/>
    <n v="0.95899999999999996"/>
    <x v="1"/>
    <s v="High Risk"/>
    <s v="Tier 3"/>
    <x v="5"/>
  </r>
  <r>
    <n v="41"/>
    <x v="3"/>
    <s v="male"/>
    <n v="37.049999999999997"/>
    <n v="2"/>
    <x v="1"/>
    <x v="2"/>
    <n v="7265.7025000000003"/>
    <n v="2421.9008333333336"/>
    <x v="1"/>
    <n v="0.39300000000000002"/>
    <x v="1"/>
    <s v="Standard"/>
    <s v="Tier 4"/>
    <x v="4"/>
  </r>
  <r>
    <n v="50"/>
    <x v="2"/>
    <s v="male"/>
    <n v="27.454999999999998"/>
    <n v="1"/>
    <x v="1"/>
    <x v="3"/>
    <n v="9617.6624499999998"/>
    <n v="4808.8312249999999"/>
    <x v="1"/>
    <n v="0.51100000000000001"/>
    <x v="0"/>
    <s v="Standard"/>
    <s v="Tier 2"/>
    <x v="3"/>
  </r>
  <r>
    <n v="25"/>
    <x v="0"/>
    <s v="male"/>
    <n v="27.55"/>
    <n v="0"/>
    <x v="1"/>
    <x v="2"/>
    <n v="2523.1695"/>
    <n v="2523.1695"/>
    <x v="1"/>
    <n v="0.112"/>
    <x v="0"/>
    <s v="Standard"/>
    <s v="Tier 4"/>
    <x v="3"/>
  </r>
  <r>
    <n v="47"/>
    <x v="2"/>
    <s v="female"/>
    <n v="26.6"/>
    <n v="2"/>
    <x v="1"/>
    <x v="3"/>
    <n v="9715.8410000000003"/>
    <n v="3238.6136666666666"/>
    <x v="1"/>
    <n v="0.51600000000000001"/>
    <x v="0"/>
    <s v="Standard"/>
    <s v="Tier 2"/>
    <x v="3"/>
  </r>
  <r>
    <n v="19"/>
    <x v="0"/>
    <s v="male"/>
    <n v="20.614999999999998"/>
    <n v="2"/>
    <x v="1"/>
    <x v="2"/>
    <n v="2803.69785"/>
    <n v="934.56595000000004"/>
    <x v="1"/>
    <n v="0.13300000000000001"/>
    <x v="2"/>
    <s v="Standard"/>
    <s v="Tier 4"/>
    <x v="2"/>
  </r>
  <r>
    <n v="22"/>
    <x v="0"/>
    <s v="female"/>
    <n v="24.3"/>
    <n v="0"/>
    <x v="1"/>
    <x v="0"/>
    <n v="2150.4690000000001"/>
    <n v="2150.4690000000001"/>
    <x v="1"/>
    <n v="0.08"/>
    <x v="2"/>
    <s v="Standard"/>
    <s v="Tier 3"/>
    <x v="2"/>
  </r>
  <r>
    <n v="59"/>
    <x v="4"/>
    <s v="male"/>
    <n v="31.79"/>
    <n v="2"/>
    <x v="1"/>
    <x v="1"/>
    <n v="12928.7911"/>
    <n v="4309.5970333333335"/>
    <x v="1"/>
    <n v="0.67"/>
    <x v="1"/>
    <s v="Standard"/>
    <s v="Tier 1"/>
    <x v="1"/>
  </r>
  <r>
    <n v="51"/>
    <x v="2"/>
    <s v="female"/>
    <n v="21.56"/>
    <n v="1"/>
    <x v="1"/>
    <x v="1"/>
    <n v="9855.1314000000002"/>
    <n v="4927.5657000000001"/>
    <x v="1"/>
    <n v="0.52200000000000002"/>
    <x v="2"/>
    <s v="Standard"/>
    <s v="Tier 1"/>
    <x v="3"/>
  </r>
  <r>
    <n v="40"/>
    <x v="3"/>
    <s v="female"/>
    <n v="28.12"/>
    <n v="1"/>
    <x v="0"/>
    <x v="3"/>
    <n v="22331.566800000001"/>
    <n v="11165.7834"/>
    <x v="0"/>
    <n v="0.82399999999999995"/>
    <x v="0"/>
    <s v="High Risk"/>
    <s v="Tier 2"/>
    <x v="0"/>
  </r>
  <r>
    <n v="54"/>
    <x v="2"/>
    <s v="male"/>
    <n v="40.564999999999998"/>
    <n v="3"/>
    <x v="0"/>
    <x v="3"/>
    <n v="48549.178350000002"/>
    <n v="12137.2945875"/>
    <x v="0"/>
    <n v="0.99"/>
    <x v="1"/>
    <s v="High Risk"/>
    <s v="Tier 2"/>
    <x v="5"/>
  </r>
  <r>
    <n v="30"/>
    <x v="1"/>
    <s v="male"/>
    <n v="27.645"/>
    <n v="1"/>
    <x v="1"/>
    <x v="3"/>
    <n v="4237.12655"/>
    <n v="2118.563275"/>
    <x v="1"/>
    <n v="0.21199999999999999"/>
    <x v="0"/>
    <s v="Standard"/>
    <s v="Tier 2"/>
    <x v="3"/>
  </r>
  <r>
    <n v="55"/>
    <x v="2"/>
    <s v="female"/>
    <n v="32.395000000000003"/>
    <n v="1"/>
    <x v="1"/>
    <x v="3"/>
    <n v="11879.10405"/>
    <n v="5939.552025"/>
    <x v="1"/>
    <n v="0.625"/>
    <x v="1"/>
    <s v="Standard"/>
    <s v="Tier 2"/>
    <x v="4"/>
  </r>
  <r>
    <n v="52"/>
    <x v="2"/>
    <s v="female"/>
    <n v="31.2"/>
    <n v="0"/>
    <x v="1"/>
    <x v="0"/>
    <n v="9625.92"/>
    <n v="9625.92"/>
    <x v="1"/>
    <n v="0.51300000000000001"/>
    <x v="1"/>
    <s v="Standard"/>
    <s v="Tier 3"/>
    <x v="4"/>
  </r>
  <r>
    <n v="46"/>
    <x v="2"/>
    <s v="male"/>
    <n v="26.62"/>
    <n v="1"/>
    <x v="1"/>
    <x v="1"/>
    <n v="7742.1098000000002"/>
    <n v="3871.0549000000001"/>
    <x v="1"/>
    <n v="0.42"/>
    <x v="0"/>
    <s v="Standard"/>
    <s v="Tier 1"/>
    <x v="4"/>
  </r>
  <r>
    <n v="46"/>
    <x v="2"/>
    <s v="female"/>
    <n v="48.07"/>
    <n v="2"/>
    <x v="1"/>
    <x v="3"/>
    <n v="9432.9253000000008"/>
    <n v="3144.3084333333336"/>
    <x v="1"/>
    <n v="0.503"/>
    <x v="1"/>
    <s v="Standard"/>
    <s v="Tier 2"/>
    <x v="4"/>
  </r>
  <r>
    <n v="63"/>
    <x v="4"/>
    <s v="female"/>
    <n v="26.22"/>
    <n v="0"/>
    <x v="1"/>
    <x v="2"/>
    <n v="14256.192800000001"/>
    <n v="14256.192800000001"/>
    <x v="0"/>
    <n v="0.71499999999999997"/>
    <x v="0"/>
    <s v="Standard"/>
    <s v="Tier 4"/>
    <x v="3"/>
  </r>
  <r>
    <n v="59"/>
    <x v="4"/>
    <s v="female"/>
    <n v="36.765000000000001"/>
    <n v="1"/>
    <x v="0"/>
    <x v="3"/>
    <n v="47896.79135"/>
    <n v="23948.395675"/>
    <x v="0"/>
    <n v="0.98699999999999999"/>
    <x v="1"/>
    <s v="High Risk"/>
    <s v="Tier 2"/>
    <x v="5"/>
  </r>
  <r>
    <n v="52"/>
    <x v="2"/>
    <s v="male"/>
    <n v="26.4"/>
    <n v="3"/>
    <x v="1"/>
    <x v="1"/>
    <n v="25992.821039999999"/>
    <n v="6498.2052599999997"/>
    <x v="0"/>
    <n v="0.85499999999999998"/>
    <x v="0"/>
    <s v="Standard"/>
    <s v="Tier 1"/>
    <x v="4"/>
  </r>
  <r>
    <n v="28"/>
    <x v="1"/>
    <s v="female"/>
    <n v="33.4"/>
    <n v="0"/>
    <x v="1"/>
    <x v="0"/>
    <n v="3172.018"/>
    <n v="3172.018"/>
    <x v="1"/>
    <n v="0.15"/>
    <x v="1"/>
    <s v="Standard"/>
    <s v="Tier 3"/>
    <x v="4"/>
  </r>
  <r>
    <n v="29"/>
    <x v="1"/>
    <s v="male"/>
    <n v="29.64"/>
    <n v="1"/>
    <x v="1"/>
    <x v="3"/>
    <n v="20277.807509999999"/>
    <n v="10138.903754999999"/>
    <x v="0"/>
    <n v="0.8"/>
    <x v="0"/>
    <s v="Standard"/>
    <s v="Tier 2"/>
    <x v="3"/>
  </r>
  <r>
    <n v="25"/>
    <x v="0"/>
    <s v="male"/>
    <n v="45.54"/>
    <n v="2"/>
    <x v="0"/>
    <x v="1"/>
    <n v="42112.2356"/>
    <n v="14037.411866666667"/>
    <x v="0"/>
    <n v="0.95499999999999996"/>
    <x v="1"/>
    <s v="High Risk"/>
    <s v="Tier 1"/>
    <x v="6"/>
  </r>
  <r>
    <n v="22"/>
    <x v="0"/>
    <s v="female"/>
    <n v="28.82"/>
    <n v="0"/>
    <x v="1"/>
    <x v="1"/>
    <n v="2156.7518"/>
    <n v="2156.7518"/>
    <x v="1"/>
    <n v="8.3000000000000004E-2"/>
    <x v="0"/>
    <s v="Standard"/>
    <s v="Tier 1"/>
    <x v="4"/>
  </r>
  <r>
    <n v="25"/>
    <x v="0"/>
    <s v="male"/>
    <n v="26.8"/>
    <n v="3"/>
    <x v="1"/>
    <x v="0"/>
    <n v="3906.127"/>
    <n v="976.53174999999999"/>
    <x v="1"/>
    <n v="0.192"/>
    <x v="0"/>
    <s v="Standard"/>
    <s v="Tier 3"/>
    <x v="3"/>
  </r>
  <r>
    <n v="18"/>
    <x v="0"/>
    <s v="male"/>
    <n v="22.99"/>
    <n v="0"/>
    <x v="1"/>
    <x v="3"/>
    <n v="1704.5681"/>
    <n v="1704.5681"/>
    <x v="1"/>
    <n v="3.5999999999999997E-2"/>
    <x v="2"/>
    <s v="Standard"/>
    <s v="Tier 2"/>
    <x v="2"/>
  </r>
  <r>
    <n v="19"/>
    <x v="0"/>
    <s v="male"/>
    <n v="27.7"/>
    <n v="0"/>
    <x v="0"/>
    <x v="0"/>
    <n v="16297.846"/>
    <n v="16297.846"/>
    <x v="0"/>
    <n v="0.745"/>
    <x v="0"/>
    <s v="High Risk"/>
    <s v="Tier 3"/>
    <x v="0"/>
  </r>
  <r>
    <n v="47"/>
    <x v="2"/>
    <s v="male"/>
    <n v="25.41"/>
    <n v="1"/>
    <x v="0"/>
    <x v="1"/>
    <n v="21978.676899999999"/>
    <n v="10989.338449999999"/>
    <x v="0"/>
    <n v="0.82"/>
    <x v="0"/>
    <s v="High Risk"/>
    <s v="Tier 1"/>
    <x v="5"/>
  </r>
  <r>
    <n v="31"/>
    <x v="1"/>
    <s v="male"/>
    <n v="34.39"/>
    <n v="3"/>
    <x v="0"/>
    <x v="2"/>
    <n v="38746.355100000001"/>
    <n v="9686.5887750000002"/>
    <x v="0"/>
    <n v="0.92900000000000005"/>
    <x v="1"/>
    <s v="High Risk"/>
    <s v="Tier 4"/>
    <x v="5"/>
  </r>
  <r>
    <n v="48"/>
    <x v="2"/>
    <s v="female"/>
    <n v="28.88"/>
    <n v="1"/>
    <x v="1"/>
    <x v="2"/>
    <n v="9249.4951999999994"/>
    <n v="4624.7475999999997"/>
    <x v="1"/>
    <n v="0.49199999999999999"/>
    <x v="0"/>
    <s v="Standard"/>
    <s v="Tier 4"/>
    <x v="3"/>
  </r>
  <r>
    <n v="36"/>
    <x v="3"/>
    <s v="male"/>
    <n v="27.55"/>
    <n v="3"/>
    <x v="1"/>
    <x v="3"/>
    <n v="6746.7425000000003"/>
    <n v="1686.6856250000001"/>
    <x v="1"/>
    <n v="0.36199999999999999"/>
    <x v="0"/>
    <s v="Standard"/>
    <s v="Tier 2"/>
    <x v="3"/>
  </r>
  <r>
    <n v="53"/>
    <x v="2"/>
    <s v="female"/>
    <n v="22.61"/>
    <n v="3"/>
    <x v="0"/>
    <x v="3"/>
    <n v="24873.384900000001"/>
    <n v="6218.3462250000002"/>
    <x v="0"/>
    <n v="0.84799999999999998"/>
    <x v="2"/>
    <s v="High Risk"/>
    <s v="Tier 2"/>
    <x v="1"/>
  </r>
  <r>
    <n v="56"/>
    <x v="4"/>
    <s v="female"/>
    <n v="37.51"/>
    <n v="2"/>
    <x v="1"/>
    <x v="1"/>
    <n v="12265.5069"/>
    <n v="4088.5023000000001"/>
    <x v="1"/>
    <n v="0.64400000000000002"/>
    <x v="1"/>
    <s v="Standard"/>
    <s v="Tier 1"/>
    <x v="1"/>
  </r>
  <r>
    <n v="28"/>
    <x v="1"/>
    <s v="female"/>
    <n v="33"/>
    <n v="2"/>
    <x v="1"/>
    <x v="1"/>
    <n v="4349.4620000000004"/>
    <n v="1449.8206666666667"/>
    <x v="1"/>
    <n v="0.219"/>
    <x v="1"/>
    <s v="Standard"/>
    <s v="Tier 1"/>
    <x v="1"/>
  </r>
  <r>
    <n v="57"/>
    <x v="4"/>
    <s v="female"/>
    <n v="38"/>
    <n v="2"/>
    <x v="1"/>
    <x v="0"/>
    <n v="12646.207"/>
    <n v="4215.4023333333334"/>
    <x v="1"/>
    <n v="0.66200000000000003"/>
    <x v="1"/>
    <s v="Standard"/>
    <s v="Tier 3"/>
    <x v="4"/>
  </r>
  <r>
    <n v="29"/>
    <x v="1"/>
    <s v="male"/>
    <n v="33.344999999999999"/>
    <n v="2"/>
    <x v="1"/>
    <x v="2"/>
    <n v="19442.353500000001"/>
    <n v="6480.7845000000007"/>
    <x v="0"/>
    <n v="0.78600000000000003"/>
    <x v="1"/>
    <s v="Standard"/>
    <s v="Tier 4"/>
    <x v="4"/>
  </r>
  <r>
    <n v="28"/>
    <x v="1"/>
    <s v="female"/>
    <n v="27.5"/>
    <n v="2"/>
    <x v="1"/>
    <x v="0"/>
    <n v="20177.671129999999"/>
    <n v="6725.8903766666663"/>
    <x v="0"/>
    <n v="0.79800000000000004"/>
    <x v="0"/>
    <s v="Standard"/>
    <s v="Tier 3"/>
    <x v="3"/>
  </r>
  <r>
    <n v="30"/>
    <x v="1"/>
    <s v="female"/>
    <n v="33.33"/>
    <n v="1"/>
    <x v="1"/>
    <x v="1"/>
    <n v="4151.0286999999998"/>
    <n v="2075.5143499999999"/>
    <x v="1"/>
    <n v="0.20899999999999999"/>
    <x v="1"/>
    <s v="Standard"/>
    <s v="Tier 1"/>
    <x v="1"/>
  </r>
  <r>
    <n v="58"/>
    <x v="4"/>
    <s v="male"/>
    <n v="34.865000000000002"/>
    <n v="0"/>
    <x v="1"/>
    <x v="3"/>
    <n v="11944.594349999999"/>
    <n v="11944.594349999999"/>
    <x v="1"/>
    <n v="0.629"/>
    <x v="1"/>
    <s v="Standard"/>
    <s v="Tier 2"/>
    <x v="4"/>
  </r>
  <r>
    <n v="41"/>
    <x v="3"/>
    <s v="female"/>
    <n v="33.06"/>
    <n v="2"/>
    <x v="1"/>
    <x v="2"/>
    <n v="7749.1563999999998"/>
    <n v="2583.0521333333331"/>
    <x v="1"/>
    <n v="0.42099999999999999"/>
    <x v="1"/>
    <s v="Standard"/>
    <s v="Tier 4"/>
    <x v="4"/>
  </r>
  <r>
    <n v="50"/>
    <x v="2"/>
    <s v="male"/>
    <n v="26.6"/>
    <n v="0"/>
    <x v="1"/>
    <x v="0"/>
    <n v="8444.4740000000002"/>
    <n v="8444.4740000000002"/>
    <x v="1"/>
    <n v="0.45100000000000001"/>
    <x v="0"/>
    <s v="Standard"/>
    <s v="Tier 3"/>
    <x v="3"/>
  </r>
  <r>
    <n v="19"/>
    <x v="0"/>
    <s v="female"/>
    <n v="24.7"/>
    <n v="0"/>
    <x v="1"/>
    <x v="0"/>
    <n v="1737.376"/>
    <n v="1737.376"/>
    <x v="1"/>
    <n v="4.7E-2"/>
    <x v="2"/>
    <s v="Standard"/>
    <s v="Tier 3"/>
    <x v="2"/>
  </r>
  <r>
    <n v="43"/>
    <x v="3"/>
    <s v="male"/>
    <n v="35.97"/>
    <n v="3"/>
    <x v="0"/>
    <x v="1"/>
    <n v="42124.515299999999"/>
    <n v="10531.128825"/>
    <x v="0"/>
    <n v="0.95499999999999996"/>
    <x v="1"/>
    <s v="High Risk"/>
    <s v="Tier 1"/>
    <x v="6"/>
  </r>
  <r>
    <n v="49"/>
    <x v="2"/>
    <s v="male"/>
    <n v="35.86"/>
    <n v="0"/>
    <x v="1"/>
    <x v="1"/>
    <n v="8124.4084000000003"/>
    <n v="8124.4084000000003"/>
    <x v="1"/>
    <n v="0.433"/>
    <x v="1"/>
    <s v="Standard"/>
    <s v="Tier 1"/>
    <x v="1"/>
  </r>
  <r>
    <n v="27"/>
    <x v="1"/>
    <s v="female"/>
    <n v="31.4"/>
    <n v="0"/>
    <x v="0"/>
    <x v="0"/>
    <n v="34838.873"/>
    <n v="34838.873"/>
    <x v="0"/>
    <n v="0.9"/>
    <x v="1"/>
    <s v="High Risk"/>
    <s v="Tier 3"/>
    <x v="5"/>
  </r>
  <r>
    <n v="52"/>
    <x v="2"/>
    <s v="male"/>
    <n v="33.25"/>
    <n v="0"/>
    <x v="1"/>
    <x v="3"/>
    <n v="9722.7695000000003"/>
    <n v="9722.7695000000003"/>
    <x v="1"/>
    <n v="0.51700000000000002"/>
    <x v="1"/>
    <s v="Standard"/>
    <s v="Tier 2"/>
    <x v="4"/>
  </r>
  <r>
    <n v="50"/>
    <x v="2"/>
    <s v="male"/>
    <n v="32.204999999999998"/>
    <n v="0"/>
    <x v="1"/>
    <x v="2"/>
    <n v="8835.2649500000007"/>
    <n v="8835.2649500000007"/>
    <x v="1"/>
    <n v="0.47599999999999998"/>
    <x v="1"/>
    <s v="Standard"/>
    <s v="Tier 4"/>
    <x v="4"/>
  </r>
  <r>
    <n v="54"/>
    <x v="2"/>
    <s v="male"/>
    <n v="32.774999999999999"/>
    <n v="0"/>
    <x v="1"/>
    <x v="3"/>
    <n v="10435.06525"/>
    <n v="10435.06525"/>
    <x v="1"/>
    <n v="0.55000000000000004"/>
    <x v="1"/>
    <s v="Standard"/>
    <s v="Tier 2"/>
    <x v="4"/>
  </r>
  <r>
    <n v="44"/>
    <x v="3"/>
    <s v="female"/>
    <n v="27.645"/>
    <n v="0"/>
    <x v="1"/>
    <x v="2"/>
    <n v="7421.1945500000002"/>
    <n v="7421.1945500000002"/>
    <x v="1"/>
    <n v="0.40200000000000002"/>
    <x v="0"/>
    <s v="Standard"/>
    <s v="Tier 4"/>
    <x v="3"/>
  </r>
  <r>
    <n v="32"/>
    <x v="1"/>
    <s v="male"/>
    <n v="37.335000000000001"/>
    <n v="1"/>
    <x v="1"/>
    <x v="3"/>
    <n v="4667.6076499999999"/>
    <n v="2333.803825"/>
    <x v="1"/>
    <n v="0.24299999999999999"/>
    <x v="1"/>
    <s v="Standard"/>
    <s v="Tier 2"/>
    <x v="4"/>
  </r>
  <r>
    <n v="34"/>
    <x v="1"/>
    <s v="male"/>
    <n v="25.27"/>
    <n v="1"/>
    <x v="1"/>
    <x v="2"/>
    <n v="4894.7533000000003"/>
    <n v="2447.3766500000002"/>
    <x v="1"/>
    <n v="0.26200000000000001"/>
    <x v="0"/>
    <s v="Standard"/>
    <s v="Tier 4"/>
    <x v="3"/>
  </r>
  <r>
    <n v="26"/>
    <x v="1"/>
    <s v="female"/>
    <n v="29.64"/>
    <n v="4"/>
    <x v="1"/>
    <x v="3"/>
    <n v="24671.663339999999"/>
    <n v="4934.332668"/>
    <x v="0"/>
    <n v="0.84599999999999997"/>
    <x v="0"/>
    <s v="Standard"/>
    <s v="Tier 2"/>
    <x v="3"/>
  </r>
  <r>
    <n v="34"/>
    <x v="1"/>
    <s v="male"/>
    <n v="30.8"/>
    <n v="0"/>
    <x v="0"/>
    <x v="0"/>
    <n v="35491.64"/>
    <n v="35491.64"/>
    <x v="0"/>
    <n v="0.90300000000000002"/>
    <x v="1"/>
    <s v="High Risk"/>
    <s v="Tier 3"/>
    <x v="5"/>
  </r>
  <r>
    <n v="57"/>
    <x v="4"/>
    <s v="male"/>
    <n v="40.945"/>
    <n v="0"/>
    <x v="1"/>
    <x v="3"/>
    <n v="11566.30055"/>
    <n v="11566.30055"/>
    <x v="1"/>
    <n v="0.60899999999999999"/>
    <x v="1"/>
    <s v="Standard"/>
    <s v="Tier 2"/>
    <x v="4"/>
  </r>
  <r>
    <n v="29"/>
    <x v="1"/>
    <s v="male"/>
    <n v="27.2"/>
    <n v="0"/>
    <x v="1"/>
    <x v="0"/>
    <n v="2866.0909999999999"/>
    <n v="2866.0909999999999"/>
    <x v="1"/>
    <n v="0.13600000000000001"/>
    <x v="0"/>
    <s v="Standard"/>
    <s v="Tier 3"/>
    <x v="3"/>
  </r>
  <r>
    <n v="40"/>
    <x v="3"/>
    <s v="male"/>
    <n v="34.104999999999997"/>
    <n v="1"/>
    <x v="1"/>
    <x v="3"/>
    <n v="6600.2059499999996"/>
    <n v="3300.1029749999998"/>
    <x v="1"/>
    <n v="0.35399999999999998"/>
    <x v="1"/>
    <s v="Standard"/>
    <s v="Tier 2"/>
    <x v="4"/>
  </r>
  <r>
    <n v="27"/>
    <x v="1"/>
    <s v="female"/>
    <n v="23.21"/>
    <n v="1"/>
    <x v="1"/>
    <x v="1"/>
    <n v="3561.8888999999999"/>
    <n v="1780.94445"/>
    <x v="1"/>
    <n v="0.17599999999999999"/>
    <x v="2"/>
    <s v="Standard"/>
    <s v="Tier 1"/>
    <x v="3"/>
  </r>
  <r>
    <n v="45"/>
    <x v="3"/>
    <s v="male"/>
    <n v="36.479999999999997"/>
    <n v="2"/>
    <x v="0"/>
    <x v="2"/>
    <n v="42760.502200000003"/>
    <n v="14253.500733333334"/>
    <x v="0"/>
    <n v="0.95799999999999996"/>
    <x v="1"/>
    <s v="High Risk"/>
    <s v="Tier 4"/>
    <x v="5"/>
  </r>
  <r>
    <n v="64"/>
    <x v="4"/>
    <s v="female"/>
    <n v="33.799999999999997"/>
    <n v="1"/>
    <x v="0"/>
    <x v="0"/>
    <n v="47928.03"/>
    <n v="23964.014999999999"/>
    <x v="0"/>
    <n v="0.98799999999999999"/>
    <x v="1"/>
    <s v="High Risk"/>
    <s v="Tier 3"/>
    <x v="5"/>
  </r>
  <r>
    <n v="52"/>
    <x v="2"/>
    <s v="male"/>
    <n v="36.700000000000003"/>
    <n v="0"/>
    <x v="1"/>
    <x v="0"/>
    <n v="9144.5650000000005"/>
    <n v="9144.5650000000005"/>
    <x v="1"/>
    <n v="0.48799999999999999"/>
    <x v="1"/>
    <s v="Standard"/>
    <s v="Tier 3"/>
    <x v="4"/>
  </r>
  <r>
    <n v="61"/>
    <x v="4"/>
    <s v="female"/>
    <n v="36.384999999999998"/>
    <n v="1"/>
    <x v="0"/>
    <x v="3"/>
    <n v="48517.563150000002"/>
    <n v="24258.781575000001"/>
    <x v="0"/>
    <n v="0.98899999999999999"/>
    <x v="1"/>
    <s v="High Risk"/>
    <s v="Tier 2"/>
    <x v="5"/>
  </r>
  <r>
    <n v="52"/>
    <x v="2"/>
    <s v="male"/>
    <n v="27.36"/>
    <n v="0"/>
    <x v="0"/>
    <x v="2"/>
    <n v="24393.6224"/>
    <n v="24393.6224"/>
    <x v="0"/>
    <n v="0.84099999999999997"/>
    <x v="0"/>
    <s v="High Risk"/>
    <s v="Tier 4"/>
    <x v="0"/>
  </r>
  <r>
    <n v="61"/>
    <x v="4"/>
    <s v="female"/>
    <n v="31.16"/>
    <n v="0"/>
    <x v="1"/>
    <x v="2"/>
    <n v="13429.035400000001"/>
    <n v="13429.035400000001"/>
    <x v="0"/>
    <n v="0.69"/>
    <x v="1"/>
    <s v="Standard"/>
    <s v="Tier 4"/>
    <x v="4"/>
  </r>
  <r>
    <n v="56"/>
    <x v="4"/>
    <s v="female"/>
    <n v="28.785"/>
    <n v="0"/>
    <x v="1"/>
    <x v="3"/>
    <n v="11658.379150000001"/>
    <n v="11658.379150000001"/>
    <x v="1"/>
    <n v="0.61199999999999999"/>
    <x v="0"/>
    <s v="Standard"/>
    <s v="Tier 2"/>
    <x v="3"/>
  </r>
  <r>
    <n v="43"/>
    <x v="3"/>
    <s v="female"/>
    <n v="35.72"/>
    <n v="2"/>
    <x v="1"/>
    <x v="3"/>
    <n v="19144.576519999999"/>
    <n v="6381.5255066666659"/>
    <x v="0"/>
    <n v="0.78300000000000003"/>
    <x v="1"/>
    <s v="Standard"/>
    <s v="Tier 2"/>
    <x v="4"/>
  </r>
  <r>
    <n v="64"/>
    <x v="4"/>
    <s v="male"/>
    <n v="34.5"/>
    <n v="0"/>
    <x v="1"/>
    <x v="0"/>
    <n v="13822.803"/>
    <n v="13822.803"/>
    <x v="0"/>
    <n v="0.7"/>
    <x v="1"/>
    <s v="Standard"/>
    <s v="Tier 3"/>
    <x v="4"/>
  </r>
  <r>
    <n v="60"/>
    <x v="4"/>
    <s v="male"/>
    <n v="25.74"/>
    <n v="0"/>
    <x v="1"/>
    <x v="1"/>
    <n v="12142.578600000001"/>
    <n v="12142.578600000001"/>
    <x v="1"/>
    <n v="0.63800000000000001"/>
    <x v="0"/>
    <s v="Standard"/>
    <s v="Tier 1"/>
    <x v="4"/>
  </r>
  <r>
    <n v="62"/>
    <x v="4"/>
    <s v="male"/>
    <n v="27.55"/>
    <n v="1"/>
    <x v="1"/>
    <x v="2"/>
    <n v="13937.666499999999"/>
    <n v="6968.8332499999997"/>
    <x v="0"/>
    <n v="0.70599999999999996"/>
    <x v="0"/>
    <s v="Standard"/>
    <s v="Tier 4"/>
    <x v="3"/>
  </r>
  <r>
    <n v="50"/>
    <x v="2"/>
    <s v="male"/>
    <n v="32.299999999999997"/>
    <n v="1"/>
    <x v="0"/>
    <x v="3"/>
    <n v="41919.097000000002"/>
    <n v="20959.548500000001"/>
    <x v="0"/>
    <n v="0.95199999999999996"/>
    <x v="1"/>
    <s v="High Risk"/>
    <s v="Tier 2"/>
    <x v="5"/>
  </r>
  <r>
    <n v="46"/>
    <x v="2"/>
    <s v="female"/>
    <n v="27.72"/>
    <n v="1"/>
    <x v="1"/>
    <x v="1"/>
    <n v="8232.6388000000006"/>
    <n v="4116.3194000000003"/>
    <x v="1"/>
    <n v="0.437"/>
    <x v="0"/>
    <s v="Standard"/>
    <s v="Tier 1"/>
    <x v="4"/>
  </r>
  <r>
    <n v="24"/>
    <x v="0"/>
    <s v="female"/>
    <n v="27.6"/>
    <n v="0"/>
    <x v="1"/>
    <x v="0"/>
    <n v="18955.220170000001"/>
    <n v="18955.220170000001"/>
    <x v="0"/>
    <n v="0.77800000000000002"/>
    <x v="0"/>
    <s v="Standard"/>
    <s v="Tier 3"/>
    <x v="3"/>
  </r>
  <r>
    <n v="62"/>
    <x v="4"/>
    <s v="male"/>
    <n v="30.02"/>
    <n v="0"/>
    <x v="1"/>
    <x v="2"/>
    <n v="13352.0998"/>
    <n v="13352.0998"/>
    <x v="0"/>
    <n v="0.68600000000000005"/>
    <x v="1"/>
    <s v="Standard"/>
    <s v="Tier 4"/>
    <x v="4"/>
  </r>
  <r>
    <n v="60"/>
    <x v="4"/>
    <s v="female"/>
    <n v="27.55"/>
    <n v="0"/>
    <x v="1"/>
    <x v="3"/>
    <n v="13217.094499999999"/>
    <n v="13217.094499999999"/>
    <x v="1"/>
    <n v="0.68300000000000005"/>
    <x v="0"/>
    <s v="Standard"/>
    <s v="Tier 2"/>
    <x v="3"/>
  </r>
  <r>
    <n v="63"/>
    <x v="4"/>
    <s v="male"/>
    <n v="36.765000000000001"/>
    <n v="0"/>
    <x v="1"/>
    <x v="3"/>
    <n v="13981.850350000001"/>
    <n v="13981.850350000001"/>
    <x v="0"/>
    <n v="0.70799999999999996"/>
    <x v="1"/>
    <s v="Standard"/>
    <s v="Tier 2"/>
    <x v="4"/>
  </r>
  <r>
    <n v="49"/>
    <x v="2"/>
    <s v="female"/>
    <n v="41.47"/>
    <n v="4"/>
    <x v="1"/>
    <x v="1"/>
    <n v="10977.2063"/>
    <n v="2195.4412600000001"/>
    <x v="1"/>
    <n v="0.57499999999999996"/>
    <x v="1"/>
    <s v="Standard"/>
    <s v="Tier 1"/>
    <x v="1"/>
  </r>
  <r>
    <n v="34"/>
    <x v="1"/>
    <s v="female"/>
    <n v="29.26"/>
    <n v="3"/>
    <x v="1"/>
    <x v="1"/>
    <n v="6184.2993999999999"/>
    <n v="1546.07485"/>
    <x v="1"/>
    <n v="0.32700000000000001"/>
    <x v="0"/>
    <s v="Standard"/>
    <s v="Tier 1"/>
    <x v="4"/>
  </r>
  <r>
    <n v="33"/>
    <x v="1"/>
    <s v="male"/>
    <n v="35.75"/>
    <n v="2"/>
    <x v="1"/>
    <x v="1"/>
    <n v="4889.9994999999999"/>
    <n v="1629.9998333333333"/>
    <x v="1"/>
    <n v="0.26100000000000001"/>
    <x v="1"/>
    <s v="Standard"/>
    <s v="Tier 1"/>
    <x v="1"/>
  </r>
  <r>
    <n v="46"/>
    <x v="2"/>
    <s v="male"/>
    <n v="33.344999999999999"/>
    <n v="1"/>
    <x v="1"/>
    <x v="3"/>
    <n v="8334.4575499999992"/>
    <n v="4167.2287749999996"/>
    <x v="1"/>
    <n v="0.44500000000000001"/>
    <x v="1"/>
    <s v="Standard"/>
    <s v="Tier 2"/>
    <x v="4"/>
  </r>
  <r>
    <n v="36"/>
    <x v="3"/>
    <s v="female"/>
    <n v="29.92"/>
    <n v="1"/>
    <x v="1"/>
    <x v="1"/>
    <n v="5478.0367999999999"/>
    <n v="2739.0183999999999"/>
    <x v="1"/>
    <n v="0.29899999999999999"/>
    <x v="0"/>
    <s v="Standard"/>
    <s v="Tier 1"/>
    <x v="4"/>
  </r>
  <r>
    <n v="19"/>
    <x v="0"/>
    <s v="male"/>
    <n v="27.835000000000001"/>
    <n v="0"/>
    <x v="1"/>
    <x v="2"/>
    <n v="1635.7336499999999"/>
    <n v="1635.7336499999999"/>
    <x v="1"/>
    <n v="2.9000000000000001E-2"/>
    <x v="0"/>
    <s v="Standard"/>
    <s v="Tier 4"/>
    <x v="3"/>
  </r>
  <r>
    <n v="57"/>
    <x v="4"/>
    <s v="female"/>
    <n v="23.18"/>
    <n v="0"/>
    <x v="1"/>
    <x v="2"/>
    <n v="11830.6072"/>
    <n v="11830.6072"/>
    <x v="1"/>
    <n v="0.61899999999999999"/>
    <x v="2"/>
    <s v="Standard"/>
    <s v="Tier 4"/>
    <x v="2"/>
  </r>
  <r>
    <n v="50"/>
    <x v="2"/>
    <s v="female"/>
    <n v="25.6"/>
    <n v="0"/>
    <x v="1"/>
    <x v="0"/>
    <n v="8932.0840000000007"/>
    <n v="8932.0840000000007"/>
    <x v="1"/>
    <n v="0.47899999999999998"/>
    <x v="0"/>
    <s v="Standard"/>
    <s v="Tier 3"/>
    <x v="3"/>
  </r>
  <r>
    <n v="30"/>
    <x v="1"/>
    <s v="female"/>
    <n v="27.7"/>
    <n v="0"/>
    <x v="1"/>
    <x v="0"/>
    <n v="3554.203"/>
    <n v="3554.203"/>
    <x v="1"/>
    <n v="0.17399999999999999"/>
    <x v="0"/>
    <s v="Standard"/>
    <s v="Tier 3"/>
    <x v="3"/>
  </r>
  <r>
    <n v="33"/>
    <x v="1"/>
    <s v="male"/>
    <n v="35.244999999999997"/>
    <n v="0"/>
    <x v="1"/>
    <x v="3"/>
    <n v="12404.8791"/>
    <n v="12404.8791"/>
    <x v="1"/>
    <n v="0.64900000000000002"/>
    <x v="1"/>
    <s v="Standard"/>
    <s v="Tier 2"/>
    <x v="4"/>
  </r>
  <r>
    <n v="18"/>
    <x v="0"/>
    <s v="female"/>
    <n v="38.28"/>
    <n v="0"/>
    <x v="1"/>
    <x v="1"/>
    <n v="14133.03775"/>
    <n v="14133.03775"/>
    <x v="0"/>
    <n v="0.71199999999999997"/>
    <x v="1"/>
    <s v="Standard"/>
    <s v="Tier 1"/>
    <x v="1"/>
  </r>
  <r>
    <n v="46"/>
    <x v="2"/>
    <s v="male"/>
    <n v="27.6"/>
    <n v="0"/>
    <x v="1"/>
    <x v="0"/>
    <n v="24603.04837"/>
    <n v="24603.04837"/>
    <x v="0"/>
    <n v="0.84499999999999997"/>
    <x v="0"/>
    <s v="Standard"/>
    <s v="Tier 3"/>
    <x v="3"/>
  </r>
  <r>
    <n v="46"/>
    <x v="2"/>
    <s v="male"/>
    <n v="43.89"/>
    <n v="3"/>
    <x v="1"/>
    <x v="1"/>
    <n v="8944.1151000000009"/>
    <n v="2236.0287750000002"/>
    <x v="1"/>
    <n v="0.48"/>
    <x v="1"/>
    <s v="Standard"/>
    <s v="Tier 1"/>
    <x v="1"/>
  </r>
  <r>
    <n v="47"/>
    <x v="2"/>
    <s v="male"/>
    <n v="29.83"/>
    <n v="3"/>
    <x v="1"/>
    <x v="2"/>
    <n v="9620.3307000000004"/>
    <n v="2405.0826750000001"/>
    <x v="1"/>
    <n v="0.51200000000000001"/>
    <x v="0"/>
    <s v="Standard"/>
    <s v="Tier 4"/>
    <x v="3"/>
  </r>
  <r>
    <n v="23"/>
    <x v="0"/>
    <s v="male"/>
    <n v="41.91"/>
    <n v="0"/>
    <x v="1"/>
    <x v="1"/>
    <n v="1837.2819"/>
    <n v="1837.2819"/>
    <x v="1"/>
    <n v="5.5E-2"/>
    <x v="1"/>
    <s v="Standard"/>
    <s v="Tier 1"/>
    <x v="1"/>
  </r>
  <r>
    <n v="18"/>
    <x v="0"/>
    <s v="female"/>
    <n v="20.79"/>
    <n v="0"/>
    <x v="1"/>
    <x v="1"/>
    <n v="1607.5101"/>
    <n v="1607.5101"/>
    <x v="1"/>
    <n v="1.7000000000000001E-2"/>
    <x v="2"/>
    <s v="Standard"/>
    <s v="Tier 1"/>
    <x v="3"/>
  </r>
  <r>
    <n v="48"/>
    <x v="2"/>
    <s v="female"/>
    <n v="32.299999999999997"/>
    <n v="2"/>
    <x v="1"/>
    <x v="3"/>
    <n v="10043.249"/>
    <n v="3347.7496666666666"/>
    <x v="1"/>
    <n v="0.53200000000000003"/>
    <x v="1"/>
    <s v="Standard"/>
    <s v="Tier 2"/>
    <x v="4"/>
  </r>
  <r>
    <n v="35"/>
    <x v="1"/>
    <s v="male"/>
    <n v="30.5"/>
    <n v="1"/>
    <x v="1"/>
    <x v="0"/>
    <n v="4751.07"/>
    <n v="2375.5349999999999"/>
    <x v="1"/>
    <n v="0.252"/>
    <x v="1"/>
    <s v="Standard"/>
    <s v="Tier 3"/>
    <x v="4"/>
  </r>
  <r>
    <n v="19"/>
    <x v="0"/>
    <s v="female"/>
    <n v="21.7"/>
    <n v="0"/>
    <x v="0"/>
    <x v="0"/>
    <n v="13844.505999999999"/>
    <n v="13844.505999999999"/>
    <x v="0"/>
    <n v="0.70199999999999996"/>
    <x v="2"/>
    <s v="High Risk"/>
    <s v="Tier 3"/>
    <x v="1"/>
  </r>
  <r>
    <n v="21"/>
    <x v="0"/>
    <s v="female"/>
    <n v="26.4"/>
    <n v="1"/>
    <x v="1"/>
    <x v="0"/>
    <n v="2597.779"/>
    <n v="1298.8895"/>
    <x v="1"/>
    <n v="0.11700000000000001"/>
    <x v="0"/>
    <s v="Standard"/>
    <s v="Tier 3"/>
    <x v="3"/>
  </r>
  <r>
    <n v="21"/>
    <x v="0"/>
    <s v="female"/>
    <n v="21.89"/>
    <n v="2"/>
    <x v="1"/>
    <x v="1"/>
    <n v="3180.5101"/>
    <n v="1060.1700333333333"/>
    <x v="1"/>
    <n v="0.152"/>
    <x v="2"/>
    <s v="Standard"/>
    <s v="Tier 1"/>
    <x v="3"/>
  </r>
  <r>
    <n v="49"/>
    <x v="2"/>
    <s v="female"/>
    <n v="30.78"/>
    <n v="1"/>
    <x v="1"/>
    <x v="3"/>
    <n v="9778.3472000000002"/>
    <n v="4889.1736000000001"/>
    <x v="1"/>
    <n v="0.51900000000000002"/>
    <x v="1"/>
    <s v="Standard"/>
    <s v="Tier 2"/>
    <x v="4"/>
  </r>
  <r>
    <n v="56"/>
    <x v="4"/>
    <s v="female"/>
    <n v="32.299999999999997"/>
    <n v="3"/>
    <x v="1"/>
    <x v="3"/>
    <n v="13430.264999999999"/>
    <n v="3357.5662499999999"/>
    <x v="0"/>
    <n v="0.69099999999999995"/>
    <x v="1"/>
    <s v="Standard"/>
    <s v="Tier 2"/>
    <x v="4"/>
  </r>
  <r>
    <n v="42"/>
    <x v="3"/>
    <s v="female"/>
    <n v="24.984999999999999"/>
    <n v="2"/>
    <x v="1"/>
    <x v="2"/>
    <n v="8017.0611500000005"/>
    <n v="2672.353716666667"/>
    <x v="1"/>
    <n v="0.42599999999999999"/>
    <x v="2"/>
    <s v="Standard"/>
    <s v="Tier 4"/>
    <x v="2"/>
  </r>
  <r>
    <n v="44"/>
    <x v="3"/>
    <s v="male"/>
    <n v="32.015000000000001"/>
    <n v="2"/>
    <x v="1"/>
    <x v="2"/>
    <n v="8116.2688500000004"/>
    <n v="2705.4229500000001"/>
    <x v="1"/>
    <n v="0.432"/>
    <x v="1"/>
    <s v="Standard"/>
    <s v="Tier 4"/>
    <x v="4"/>
  </r>
  <r>
    <n v="18"/>
    <x v="0"/>
    <s v="male"/>
    <n v="30.4"/>
    <n v="3"/>
    <x v="1"/>
    <x v="3"/>
    <n v="3481.8679999999999"/>
    <n v="870.46699999999998"/>
    <x v="1"/>
    <n v="0.17"/>
    <x v="1"/>
    <s v="Standard"/>
    <s v="Tier 2"/>
    <x v="4"/>
  </r>
  <r>
    <n v="61"/>
    <x v="4"/>
    <s v="female"/>
    <n v="21.09"/>
    <n v="0"/>
    <x v="1"/>
    <x v="2"/>
    <n v="13415.0381"/>
    <n v="13415.0381"/>
    <x v="0"/>
    <n v="0.68899999999999995"/>
    <x v="2"/>
    <s v="Standard"/>
    <s v="Tier 4"/>
    <x v="2"/>
  </r>
  <r>
    <n v="57"/>
    <x v="4"/>
    <s v="female"/>
    <n v="22.23"/>
    <n v="0"/>
    <x v="1"/>
    <x v="3"/>
    <n v="12029.286700000001"/>
    <n v="12029.286700000001"/>
    <x v="1"/>
    <n v="0.63200000000000001"/>
    <x v="2"/>
    <s v="Standard"/>
    <s v="Tier 2"/>
    <x v="2"/>
  </r>
  <r>
    <n v="42"/>
    <x v="3"/>
    <s v="female"/>
    <n v="33.155000000000001"/>
    <n v="1"/>
    <x v="1"/>
    <x v="3"/>
    <n v="7639.4174499999999"/>
    <n v="3819.708725"/>
    <x v="1"/>
    <n v="0.41199999999999998"/>
    <x v="1"/>
    <s v="Standard"/>
    <s v="Tier 2"/>
    <x v="4"/>
  </r>
  <r>
    <n v="26"/>
    <x v="1"/>
    <s v="male"/>
    <n v="32.9"/>
    <n v="2"/>
    <x v="0"/>
    <x v="0"/>
    <n v="36085.218999999997"/>
    <n v="12028.406333333332"/>
    <x v="0"/>
    <n v="0.90600000000000003"/>
    <x v="1"/>
    <s v="High Risk"/>
    <s v="Tier 3"/>
    <x v="5"/>
  </r>
  <r>
    <n v="20"/>
    <x v="0"/>
    <s v="male"/>
    <n v="33.33"/>
    <n v="0"/>
    <x v="1"/>
    <x v="1"/>
    <n v="1391.5287000000001"/>
    <n v="1391.5287000000001"/>
    <x v="1"/>
    <n v="1.4E-2"/>
    <x v="1"/>
    <s v="Standard"/>
    <s v="Tier 1"/>
    <x v="1"/>
  </r>
  <r>
    <n v="23"/>
    <x v="0"/>
    <s v="female"/>
    <n v="28.31"/>
    <n v="0"/>
    <x v="0"/>
    <x v="2"/>
    <n v="18033.9679"/>
    <n v="18033.9679"/>
    <x v="0"/>
    <n v="0.76600000000000001"/>
    <x v="0"/>
    <s v="High Risk"/>
    <s v="Tier 4"/>
    <x v="0"/>
  </r>
  <r>
    <n v="39"/>
    <x v="3"/>
    <s v="female"/>
    <n v="24.89"/>
    <n v="3"/>
    <x v="0"/>
    <x v="3"/>
    <n v="21659.930100000001"/>
    <n v="5414.9825250000004"/>
    <x v="0"/>
    <n v="0.81599999999999995"/>
    <x v="2"/>
    <s v="High Risk"/>
    <s v="Tier 2"/>
    <x v="1"/>
  </r>
  <r>
    <n v="24"/>
    <x v="0"/>
    <s v="male"/>
    <n v="40.15"/>
    <n v="0"/>
    <x v="0"/>
    <x v="1"/>
    <n v="38126.246500000001"/>
    <n v="38126.246500000001"/>
    <x v="0"/>
    <n v="0.92300000000000004"/>
    <x v="1"/>
    <s v="High Risk"/>
    <s v="Tier 1"/>
    <x v="6"/>
  </r>
  <r>
    <n v="64"/>
    <x v="4"/>
    <s v="female"/>
    <n v="30.114999999999998"/>
    <n v="3"/>
    <x v="1"/>
    <x v="2"/>
    <n v="16455.707849999999"/>
    <n v="4113.9269624999997"/>
    <x v="0"/>
    <n v="0.747"/>
    <x v="1"/>
    <s v="Standard"/>
    <s v="Tier 4"/>
    <x v="4"/>
  </r>
  <r>
    <n v="62"/>
    <x v="4"/>
    <s v="male"/>
    <n v="31.46"/>
    <n v="1"/>
    <x v="1"/>
    <x v="1"/>
    <n v="27000.98473"/>
    <n v="13500.492365"/>
    <x v="0"/>
    <n v="0.86199999999999999"/>
    <x v="1"/>
    <s v="Standard"/>
    <s v="Tier 1"/>
    <x v="1"/>
  </r>
  <r>
    <n v="27"/>
    <x v="1"/>
    <s v="female"/>
    <n v="17.954999999999998"/>
    <n v="2"/>
    <x v="0"/>
    <x v="3"/>
    <n v="15006.579449999999"/>
    <n v="5002.1931500000001"/>
    <x v="0"/>
    <n v="0.73199999999999998"/>
    <x v="3"/>
    <s v="High Risk"/>
    <s v="Tier 2"/>
    <x v="1"/>
  </r>
  <r>
    <n v="55"/>
    <x v="2"/>
    <s v="male"/>
    <n v="30.684999999999999"/>
    <n v="0"/>
    <x v="0"/>
    <x v="3"/>
    <n v="42303.692150000003"/>
    <n v="42303.692150000003"/>
    <x v="0"/>
    <n v="0.95699999999999996"/>
    <x v="1"/>
    <s v="High Risk"/>
    <s v="Tier 2"/>
    <x v="5"/>
  </r>
  <r>
    <n v="55"/>
    <x v="2"/>
    <s v="male"/>
    <n v="33"/>
    <n v="0"/>
    <x v="1"/>
    <x v="1"/>
    <n v="20781.48892"/>
    <n v="20781.48892"/>
    <x v="0"/>
    <n v="0.80600000000000005"/>
    <x v="1"/>
    <s v="Standard"/>
    <s v="Tier 1"/>
    <x v="1"/>
  </r>
  <r>
    <n v="35"/>
    <x v="1"/>
    <s v="female"/>
    <n v="43.34"/>
    <n v="2"/>
    <x v="1"/>
    <x v="1"/>
    <n v="5846.9175999999998"/>
    <n v="1948.9725333333333"/>
    <x v="1"/>
    <n v="0.311"/>
    <x v="1"/>
    <s v="Standard"/>
    <s v="Tier 1"/>
    <x v="1"/>
  </r>
  <r>
    <n v="44"/>
    <x v="3"/>
    <s v="male"/>
    <n v="22.135000000000002"/>
    <n v="2"/>
    <x v="1"/>
    <x v="3"/>
    <n v="8302.5356499999998"/>
    <n v="2767.5118833333331"/>
    <x v="1"/>
    <n v="0.443"/>
    <x v="2"/>
    <s v="Standard"/>
    <s v="Tier 2"/>
    <x v="2"/>
  </r>
  <r>
    <n v="19"/>
    <x v="0"/>
    <s v="male"/>
    <n v="34.4"/>
    <n v="0"/>
    <x v="1"/>
    <x v="0"/>
    <n v="1261.8589999999999"/>
    <n v="1261.8589999999999"/>
    <x v="1"/>
    <n v="1.2E-2"/>
    <x v="1"/>
    <s v="Standard"/>
    <s v="Tier 3"/>
    <x v="4"/>
  </r>
  <r>
    <n v="58"/>
    <x v="4"/>
    <s v="female"/>
    <n v="39.049999999999997"/>
    <n v="0"/>
    <x v="1"/>
    <x v="1"/>
    <n v="11856.4115"/>
    <n v="11856.4115"/>
    <x v="1"/>
    <n v="0.624"/>
    <x v="1"/>
    <s v="Standard"/>
    <s v="Tier 1"/>
    <x v="1"/>
  </r>
  <r>
    <n v="50"/>
    <x v="2"/>
    <s v="male"/>
    <n v="25.364999999999998"/>
    <n v="2"/>
    <x v="1"/>
    <x v="2"/>
    <n v="30284.642940000002"/>
    <n v="10094.88098"/>
    <x v="0"/>
    <n v="0.88200000000000001"/>
    <x v="0"/>
    <s v="Standard"/>
    <s v="Tier 4"/>
    <x v="3"/>
  </r>
  <r>
    <n v="26"/>
    <x v="1"/>
    <s v="female"/>
    <n v="22.61"/>
    <n v="0"/>
    <x v="1"/>
    <x v="2"/>
    <n v="3176.8159000000001"/>
    <n v="3176.8159000000001"/>
    <x v="1"/>
    <n v="0.151"/>
    <x v="2"/>
    <s v="Standard"/>
    <s v="Tier 4"/>
    <x v="2"/>
  </r>
  <r>
    <n v="24"/>
    <x v="0"/>
    <s v="female"/>
    <n v="30.21"/>
    <n v="3"/>
    <x v="1"/>
    <x v="2"/>
    <n v="4618.0798999999997"/>
    <n v="1154.5199749999999"/>
    <x v="1"/>
    <n v="0.24099999999999999"/>
    <x v="1"/>
    <s v="Standard"/>
    <s v="Tier 4"/>
    <x v="4"/>
  </r>
  <r>
    <n v="48"/>
    <x v="2"/>
    <s v="male"/>
    <n v="35.625"/>
    <n v="4"/>
    <x v="1"/>
    <x v="3"/>
    <n v="10736.87075"/>
    <n v="2147.3741500000001"/>
    <x v="1"/>
    <n v="0.56299999999999994"/>
    <x v="1"/>
    <s v="Standard"/>
    <s v="Tier 2"/>
    <x v="4"/>
  </r>
  <r>
    <n v="19"/>
    <x v="0"/>
    <s v="female"/>
    <n v="37.43"/>
    <n v="0"/>
    <x v="1"/>
    <x v="2"/>
    <n v="2138.0707000000002"/>
    <n v="2138.0707000000002"/>
    <x v="1"/>
    <n v="0.08"/>
    <x v="1"/>
    <s v="Standard"/>
    <s v="Tier 4"/>
    <x v="4"/>
  </r>
  <r>
    <n v="48"/>
    <x v="2"/>
    <s v="male"/>
    <n v="31.445"/>
    <n v="1"/>
    <x v="1"/>
    <x v="3"/>
    <n v="8964.0605500000001"/>
    <n v="4482.0302750000001"/>
    <x v="1"/>
    <n v="0.48"/>
    <x v="1"/>
    <s v="Standard"/>
    <s v="Tier 2"/>
    <x v="4"/>
  </r>
  <r>
    <n v="49"/>
    <x v="2"/>
    <s v="male"/>
    <n v="31.35"/>
    <n v="1"/>
    <x v="1"/>
    <x v="3"/>
    <n v="9290.1394999999993"/>
    <n v="4645.0697499999997"/>
    <x v="1"/>
    <n v="0.496"/>
    <x v="1"/>
    <s v="Standard"/>
    <s v="Tier 2"/>
    <x v="4"/>
  </r>
  <r>
    <n v="46"/>
    <x v="2"/>
    <s v="female"/>
    <n v="32.299999999999997"/>
    <n v="2"/>
    <x v="1"/>
    <x v="3"/>
    <n v="9411.0049999999992"/>
    <n v="3137.0016666666666"/>
    <x v="1"/>
    <n v="0.501"/>
    <x v="1"/>
    <s v="Standard"/>
    <s v="Tier 2"/>
    <x v="4"/>
  </r>
  <r>
    <n v="46"/>
    <x v="2"/>
    <s v="male"/>
    <n v="19.855"/>
    <n v="0"/>
    <x v="1"/>
    <x v="2"/>
    <n v="7526.7064499999997"/>
    <n v="7526.7064499999997"/>
    <x v="1"/>
    <n v="0.40799999999999997"/>
    <x v="2"/>
    <s v="Standard"/>
    <s v="Tier 4"/>
    <x v="2"/>
  </r>
  <r>
    <n v="43"/>
    <x v="3"/>
    <s v="female"/>
    <n v="34.4"/>
    <n v="3"/>
    <x v="1"/>
    <x v="0"/>
    <n v="8522.0030000000006"/>
    <n v="2130.5007500000002"/>
    <x v="1"/>
    <n v="0.45400000000000001"/>
    <x v="1"/>
    <s v="Standard"/>
    <s v="Tier 3"/>
    <x v="4"/>
  </r>
  <r>
    <n v="21"/>
    <x v="0"/>
    <s v="male"/>
    <n v="31.02"/>
    <n v="0"/>
    <x v="1"/>
    <x v="1"/>
    <n v="16586.49771"/>
    <n v="16586.49771"/>
    <x v="0"/>
    <n v="0.749"/>
    <x v="1"/>
    <s v="Standard"/>
    <s v="Tier 1"/>
    <x v="1"/>
  </r>
  <r>
    <n v="64"/>
    <x v="4"/>
    <s v="male"/>
    <n v="25.6"/>
    <n v="2"/>
    <x v="1"/>
    <x v="0"/>
    <n v="14988.432000000001"/>
    <n v="4996.1440000000002"/>
    <x v="0"/>
    <n v="0.73199999999999998"/>
    <x v="0"/>
    <s v="Standard"/>
    <s v="Tier 3"/>
    <x v="3"/>
  </r>
  <r>
    <n v="18"/>
    <x v="0"/>
    <s v="female"/>
    <n v="38.17"/>
    <n v="0"/>
    <x v="1"/>
    <x v="1"/>
    <n v="1631.6683"/>
    <n v="1631.6683"/>
    <x v="1"/>
    <n v="2.4E-2"/>
    <x v="1"/>
    <s v="Standard"/>
    <s v="Tier 1"/>
    <x v="1"/>
  </r>
  <r>
    <n v="51"/>
    <x v="2"/>
    <s v="female"/>
    <n v="20.6"/>
    <n v="0"/>
    <x v="1"/>
    <x v="0"/>
    <n v="9264.7970000000005"/>
    <n v="9264.7970000000005"/>
    <x v="1"/>
    <n v="0.49299999999999999"/>
    <x v="2"/>
    <s v="Standard"/>
    <s v="Tier 3"/>
    <x v="2"/>
  </r>
  <r>
    <n v="47"/>
    <x v="2"/>
    <s v="male"/>
    <n v="47.52"/>
    <n v="1"/>
    <x v="1"/>
    <x v="1"/>
    <n v="8083.9197999999997"/>
    <n v="4041.9598999999998"/>
    <x v="1"/>
    <n v="0.43099999999999999"/>
    <x v="1"/>
    <s v="Standard"/>
    <s v="Tier 1"/>
    <x v="1"/>
  </r>
  <r>
    <n v="64"/>
    <x v="4"/>
    <s v="female"/>
    <n v="32.965000000000003"/>
    <n v="0"/>
    <x v="1"/>
    <x v="2"/>
    <n v="14692.66935"/>
    <n v="14692.66935"/>
    <x v="0"/>
    <n v="0.72899999999999998"/>
    <x v="1"/>
    <s v="Standard"/>
    <s v="Tier 4"/>
    <x v="4"/>
  </r>
  <r>
    <n v="49"/>
    <x v="2"/>
    <s v="male"/>
    <n v="32.299999999999997"/>
    <n v="3"/>
    <x v="1"/>
    <x v="2"/>
    <n v="10269.459999999999"/>
    <n v="2567.3649999999998"/>
    <x v="1"/>
    <n v="0.54400000000000004"/>
    <x v="1"/>
    <s v="Standard"/>
    <s v="Tier 4"/>
    <x v="4"/>
  </r>
  <r>
    <n v="31"/>
    <x v="1"/>
    <s v="male"/>
    <n v="20.399999999999999"/>
    <n v="0"/>
    <x v="1"/>
    <x v="0"/>
    <n v="3260.1990000000001"/>
    <n v="3260.1990000000001"/>
    <x v="1"/>
    <n v="0.157"/>
    <x v="2"/>
    <s v="Standard"/>
    <s v="Tier 3"/>
    <x v="2"/>
  </r>
  <r>
    <n v="52"/>
    <x v="2"/>
    <s v="female"/>
    <n v="38.380000000000003"/>
    <n v="2"/>
    <x v="1"/>
    <x v="3"/>
    <n v="11396.9002"/>
    <n v="3798.9667333333332"/>
    <x v="1"/>
    <n v="0.59899999999999998"/>
    <x v="1"/>
    <s v="Standard"/>
    <s v="Tier 2"/>
    <x v="4"/>
  </r>
  <r>
    <n v="33"/>
    <x v="1"/>
    <s v="female"/>
    <n v="24.31"/>
    <n v="0"/>
    <x v="1"/>
    <x v="1"/>
    <n v="4185.0978999999998"/>
    <n v="4185.0978999999998"/>
    <x v="1"/>
    <n v="0.21"/>
    <x v="2"/>
    <s v="Standard"/>
    <s v="Tier 1"/>
    <x v="3"/>
  </r>
  <r>
    <n v="47"/>
    <x v="2"/>
    <s v="female"/>
    <n v="23.6"/>
    <n v="1"/>
    <x v="1"/>
    <x v="0"/>
    <n v="8539.6710000000003"/>
    <n v="4269.8355000000001"/>
    <x v="1"/>
    <n v="0.45700000000000002"/>
    <x v="2"/>
    <s v="Standard"/>
    <s v="Tier 3"/>
    <x v="2"/>
  </r>
  <r>
    <n v="38"/>
    <x v="3"/>
    <s v="male"/>
    <n v="21.12"/>
    <n v="3"/>
    <x v="1"/>
    <x v="1"/>
    <n v="6652.5288"/>
    <n v="1663.1322"/>
    <x v="1"/>
    <n v="0.35699999999999998"/>
    <x v="2"/>
    <s v="Standard"/>
    <s v="Tier 1"/>
    <x v="3"/>
  </r>
  <r>
    <n v="32"/>
    <x v="1"/>
    <s v="male"/>
    <n v="30.03"/>
    <n v="1"/>
    <x v="1"/>
    <x v="1"/>
    <n v="4074.4537"/>
    <n v="2037.22685"/>
    <x v="1"/>
    <n v="0.20399999999999999"/>
    <x v="1"/>
    <s v="Standard"/>
    <s v="Tier 1"/>
    <x v="1"/>
  </r>
  <r>
    <n v="19"/>
    <x v="0"/>
    <s v="male"/>
    <n v="17.48"/>
    <n v="0"/>
    <x v="1"/>
    <x v="2"/>
    <n v="1621.3402000000001"/>
    <n v="1621.3402000000001"/>
    <x v="1"/>
    <n v="1.9E-2"/>
    <x v="3"/>
    <s v="Standard"/>
    <s v="Tier 4"/>
    <x v="2"/>
  </r>
  <r>
    <n v="44"/>
    <x v="3"/>
    <s v="female"/>
    <n v="20.234999999999999"/>
    <n v="1"/>
    <x v="0"/>
    <x v="3"/>
    <n v="19594.809649999999"/>
    <n v="9797.4048249999996"/>
    <x v="0"/>
    <n v="0.79100000000000004"/>
    <x v="2"/>
    <s v="High Risk"/>
    <s v="Tier 2"/>
    <x v="1"/>
  </r>
  <r>
    <n v="26"/>
    <x v="1"/>
    <s v="female"/>
    <n v="17.195"/>
    <n v="2"/>
    <x v="0"/>
    <x v="3"/>
    <n v="14455.644050000001"/>
    <n v="4818.5480166666666"/>
    <x v="0"/>
    <n v="0.72599999999999998"/>
    <x v="3"/>
    <s v="High Risk"/>
    <s v="Tier 2"/>
    <x v="1"/>
  </r>
  <r>
    <n v="25"/>
    <x v="0"/>
    <s v="male"/>
    <n v="23.9"/>
    <n v="5"/>
    <x v="1"/>
    <x v="0"/>
    <n v="5080.0959999999995"/>
    <n v="846.68266666666659"/>
    <x v="1"/>
    <n v="0.27200000000000002"/>
    <x v="2"/>
    <s v="Standard"/>
    <s v="Tier 3"/>
    <x v="2"/>
  </r>
  <r>
    <n v="19"/>
    <x v="0"/>
    <s v="female"/>
    <n v="35.15"/>
    <n v="0"/>
    <x v="1"/>
    <x v="2"/>
    <n v="2134.9014999999999"/>
    <n v="2134.9014999999999"/>
    <x v="1"/>
    <n v="7.6999999999999999E-2"/>
    <x v="1"/>
    <s v="Standard"/>
    <s v="Tier 4"/>
    <x v="4"/>
  </r>
  <r>
    <n v="43"/>
    <x v="3"/>
    <s v="female"/>
    <n v="35.64"/>
    <n v="1"/>
    <x v="1"/>
    <x v="1"/>
    <n v="7345.7266"/>
    <n v="3672.8633"/>
    <x v="1"/>
    <n v="0.39700000000000002"/>
    <x v="1"/>
    <s v="Standard"/>
    <s v="Tier 1"/>
    <x v="1"/>
  </r>
  <r>
    <n v="52"/>
    <x v="2"/>
    <s v="male"/>
    <n v="34.1"/>
    <n v="0"/>
    <x v="1"/>
    <x v="1"/>
    <n v="9140.9509999999991"/>
    <n v="9140.9509999999991"/>
    <x v="1"/>
    <n v="0.48699999999999999"/>
    <x v="1"/>
    <s v="Standard"/>
    <s v="Tier 1"/>
    <x v="1"/>
  </r>
  <r>
    <n v="36"/>
    <x v="3"/>
    <s v="female"/>
    <n v="22.6"/>
    <n v="2"/>
    <x v="0"/>
    <x v="0"/>
    <n v="18608.261999999999"/>
    <n v="6202.7539999999999"/>
    <x v="0"/>
    <n v="0.77200000000000002"/>
    <x v="2"/>
    <s v="High Risk"/>
    <s v="Tier 3"/>
    <x v="1"/>
  </r>
  <r>
    <n v="64"/>
    <x v="4"/>
    <s v="male"/>
    <n v="39.159999999999997"/>
    <n v="1"/>
    <x v="1"/>
    <x v="1"/>
    <n v="14418.2804"/>
    <n v="7209.1401999999998"/>
    <x v="0"/>
    <n v="0.72299999999999998"/>
    <x v="1"/>
    <s v="Standard"/>
    <s v="Tier 1"/>
    <x v="1"/>
  </r>
  <r>
    <n v="63"/>
    <x v="4"/>
    <s v="female"/>
    <n v="26.98"/>
    <n v="0"/>
    <x v="0"/>
    <x v="2"/>
    <n v="28950.4692"/>
    <n v="28950.4692"/>
    <x v="0"/>
    <n v="0.875"/>
    <x v="0"/>
    <s v="High Risk"/>
    <s v="Tier 4"/>
    <x v="0"/>
  </r>
  <r>
    <n v="64"/>
    <x v="4"/>
    <s v="male"/>
    <n v="33.880000000000003"/>
    <n v="0"/>
    <x v="0"/>
    <x v="1"/>
    <n v="46889.261200000001"/>
    <n v="46889.261200000001"/>
    <x v="0"/>
    <n v="0.98099999999999998"/>
    <x v="1"/>
    <s v="High Risk"/>
    <s v="Tier 1"/>
    <x v="6"/>
  </r>
  <r>
    <n v="61"/>
    <x v="4"/>
    <s v="male"/>
    <n v="35.86"/>
    <n v="0"/>
    <x v="0"/>
    <x v="1"/>
    <n v="46599.108399999997"/>
    <n v="46599.108399999997"/>
    <x v="0"/>
    <n v="0.97899999999999998"/>
    <x v="1"/>
    <s v="High Risk"/>
    <s v="Tier 1"/>
    <x v="6"/>
  </r>
  <r>
    <n v="40"/>
    <x v="3"/>
    <s v="male"/>
    <n v="32.774999999999999"/>
    <n v="1"/>
    <x v="0"/>
    <x v="3"/>
    <n v="39125.332249999999"/>
    <n v="19562.666125"/>
    <x v="0"/>
    <n v="0.93200000000000005"/>
    <x v="1"/>
    <s v="High Risk"/>
    <s v="Tier 2"/>
    <x v="5"/>
  </r>
  <r>
    <n v="25"/>
    <x v="0"/>
    <s v="male"/>
    <n v="30.59"/>
    <n v="0"/>
    <x v="1"/>
    <x v="3"/>
    <n v="2727.3951000000002"/>
    <n v="2727.3951000000002"/>
    <x v="1"/>
    <n v="0.127"/>
    <x v="1"/>
    <s v="Standard"/>
    <s v="Tier 2"/>
    <x v="4"/>
  </r>
  <r>
    <n v="48"/>
    <x v="2"/>
    <s v="male"/>
    <n v="30.2"/>
    <n v="2"/>
    <x v="1"/>
    <x v="0"/>
    <n v="8968.33"/>
    <n v="2989.4433333333332"/>
    <x v="1"/>
    <n v="0.48199999999999998"/>
    <x v="1"/>
    <s v="Standard"/>
    <s v="Tier 3"/>
    <x v="4"/>
  </r>
  <r>
    <n v="45"/>
    <x v="3"/>
    <s v="male"/>
    <n v="24.31"/>
    <n v="5"/>
    <x v="1"/>
    <x v="1"/>
    <n v="9788.8659000000007"/>
    <n v="1631.47765"/>
    <x v="1"/>
    <n v="0.52"/>
    <x v="2"/>
    <s v="Standard"/>
    <s v="Tier 1"/>
    <x v="3"/>
  </r>
  <r>
    <n v="38"/>
    <x v="3"/>
    <s v="female"/>
    <n v="27.265000000000001"/>
    <n v="1"/>
    <x v="1"/>
    <x v="3"/>
    <n v="6555.07035"/>
    <n v="3277.535175"/>
    <x v="1"/>
    <n v="0.35099999999999998"/>
    <x v="0"/>
    <s v="Standard"/>
    <s v="Tier 2"/>
    <x v="3"/>
  </r>
  <r>
    <n v="18"/>
    <x v="0"/>
    <s v="female"/>
    <n v="29.164999999999999"/>
    <n v="0"/>
    <x v="1"/>
    <x v="3"/>
    <n v="7323.7348190000002"/>
    <n v="7323.7348190000002"/>
    <x v="1"/>
    <n v="0.39400000000000002"/>
    <x v="0"/>
    <s v="Standard"/>
    <s v="Tier 2"/>
    <x v="3"/>
  </r>
  <r>
    <n v="21"/>
    <x v="0"/>
    <s v="female"/>
    <n v="16.815000000000001"/>
    <n v="1"/>
    <x v="1"/>
    <x v="3"/>
    <n v="3167.4558499999998"/>
    <n v="1583.7279249999999"/>
    <x v="1"/>
    <n v="0.14799999999999999"/>
    <x v="3"/>
    <s v="Standard"/>
    <s v="Tier 2"/>
    <x v="2"/>
  </r>
  <r>
    <n v="27"/>
    <x v="1"/>
    <s v="female"/>
    <n v="30.4"/>
    <n v="3"/>
    <x v="1"/>
    <x v="2"/>
    <n v="18804.752400000001"/>
    <n v="4701.1881000000003"/>
    <x v="0"/>
    <n v="0.77500000000000002"/>
    <x v="1"/>
    <s v="Standard"/>
    <s v="Tier 4"/>
    <x v="4"/>
  </r>
  <r>
    <n v="19"/>
    <x v="0"/>
    <s v="male"/>
    <n v="33.1"/>
    <n v="0"/>
    <x v="1"/>
    <x v="0"/>
    <n v="23082.955330000001"/>
    <n v="23082.955330000001"/>
    <x v="0"/>
    <n v="0.83"/>
    <x v="1"/>
    <s v="Standard"/>
    <s v="Tier 3"/>
    <x v="4"/>
  </r>
  <r>
    <n v="29"/>
    <x v="1"/>
    <s v="female"/>
    <n v="20.234999999999999"/>
    <n v="2"/>
    <x v="1"/>
    <x v="2"/>
    <n v="4906.4096499999996"/>
    <n v="1635.4698833333332"/>
    <x v="1"/>
    <n v="0.26300000000000001"/>
    <x v="2"/>
    <s v="Standard"/>
    <s v="Tier 4"/>
    <x v="2"/>
  </r>
  <r>
    <n v="42"/>
    <x v="3"/>
    <s v="male"/>
    <n v="26.9"/>
    <n v="0"/>
    <x v="1"/>
    <x v="0"/>
    <n v="5969.723"/>
    <n v="5969.723"/>
    <x v="1"/>
    <n v="0.316"/>
    <x v="0"/>
    <s v="Standard"/>
    <s v="Tier 3"/>
    <x v="3"/>
  </r>
  <r>
    <n v="60"/>
    <x v="4"/>
    <s v="female"/>
    <n v="30.5"/>
    <n v="0"/>
    <x v="1"/>
    <x v="0"/>
    <n v="12638.195"/>
    <n v="12638.195"/>
    <x v="1"/>
    <n v="0.66"/>
    <x v="1"/>
    <s v="Standard"/>
    <s v="Tier 3"/>
    <x v="4"/>
  </r>
  <r>
    <n v="31"/>
    <x v="1"/>
    <s v="male"/>
    <n v="28.594999999999999"/>
    <n v="1"/>
    <x v="1"/>
    <x v="2"/>
    <n v="4243.5900499999998"/>
    <n v="2121.7950249999999"/>
    <x v="1"/>
    <n v="0.21299999999999999"/>
    <x v="0"/>
    <s v="Standard"/>
    <s v="Tier 4"/>
    <x v="3"/>
  </r>
  <r>
    <n v="60"/>
    <x v="4"/>
    <s v="male"/>
    <n v="33.11"/>
    <n v="3"/>
    <x v="1"/>
    <x v="1"/>
    <n v="13919.822899999999"/>
    <n v="3479.9557249999998"/>
    <x v="0"/>
    <n v="0.70599999999999996"/>
    <x v="1"/>
    <s v="Standard"/>
    <s v="Tier 1"/>
    <x v="1"/>
  </r>
  <r>
    <n v="22"/>
    <x v="0"/>
    <s v="male"/>
    <n v="31.73"/>
    <n v="0"/>
    <x v="1"/>
    <x v="3"/>
    <n v="2254.7966999999999"/>
    <n v="2254.7966999999999"/>
    <x v="1"/>
    <n v="9.4E-2"/>
    <x v="1"/>
    <s v="Standard"/>
    <s v="Tier 2"/>
    <x v="4"/>
  </r>
  <r>
    <n v="35"/>
    <x v="1"/>
    <s v="male"/>
    <n v="28.9"/>
    <n v="3"/>
    <x v="1"/>
    <x v="0"/>
    <n v="5926.8459999999995"/>
    <n v="1481.7114999999999"/>
    <x v="1"/>
    <n v="0.314"/>
    <x v="0"/>
    <s v="Standard"/>
    <s v="Tier 3"/>
    <x v="3"/>
  </r>
  <r>
    <n v="52"/>
    <x v="2"/>
    <s v="female"/>
    <n v="46.75"/>
    <n v="5"/>
    <x v="1"/>
    <x v="1"/>
    <n v="12592.5345"/>
    <n v="2098.7557499999998"/>
    <x v="1"/>
    <n v="0.65600000000000003"/>
    <x v="1"/>
    <s v="Standard"/>
    <s v="Tier 1"/>
    <x v="1"/>
  </r>
  <r>
    <n v="26"/>
    <x v="1"/>
    <s v="male"/>
    <n v="29.45"/>
    <n v="0"/>
    <x v="1"/>
    <x v="3"/>
    <n v="2897.3235"/>
    <n v="2897.3235"/>
    <x v="1"/>
    <n v="0.13700000000000001"/>
    <x v="0"/>
    <s v="Standard"/>
    <s v="Tier 2"/>
    <x v="3"/>
  </r>
  <r>
    <n v="31"/>
    <x v="1"/>
    <s v="female"/>
    <n v="32.68"/>
    <n v="1"/>
    <x v="1"/>
    <x v="2"/>
    <n v="4738.2682000000004"/>
    <n v="2369.1341000000002"/>
    <x v="1"/>
    <n v="0.249"/>
    <x v="1"/>
    <s v="Standard"/>
    <s v="Tier 4"/>
    <x v="4"/>
  </r>
  <r>
    <n v="33"/>
    <x v="1"/>
    <s v="female"/>
    <n v="33.5"/>
    <n v="0"/>
    <x v="0"/>
    <x v="0"/>
    <n v="37079.372000000003"/>
    <n v="37079.372000000003"/>
    <x v="0"/>
    <n v="0.91600000000000004"/>
    <x v="1"/>
    <s v="High Risk"/>
    <s v="Tier 3"/>
    <x v="5"/>
  </r>
  <r>
    <n v="18"/>
    <x v="0"/>
    <s v="male"/>
    <n v="43.01"/>
    <n v="0"/>
    <x v="1"/>
    <x v="1"/>
    <n v="1149.3959"/>
    <n v="1149.3959"/>
    <x v="1"/>
    <n v="5.0000000000000001E-3"/>
    <x v="1"/>
    <s v="Standard"/>
    <s v="Tier 1"/>
    <x v="1"/>
  </r>
  <r>
    <n v="59"/>
    <x v="4"/>
    <s v="female"/>
    <n v="36.520000000000003"/>
    <n v="1"/>
    <x v="1"/>
    <x v="1"/>
    <n v="28287.897659999999"/>
    <n v="14143.948829999999"/>
    <x v="0"/>
    <n v="0.871"/>
    <x v="1"/>
    <s v="Standard"/>
    <s v="Tier 1"/>
    <x v="1"/>
  </r>
  <r>
    <n v="56"/>
    <x v="4"/>
    <s v="male"/>
    <n v="26.695"/>
    <n v="1"/>
    <x v="0"/>
    <x v="2"/>
    <n v="26109.32905"/>
    <n v="13054.664525"/>
    <x v="0"/>
    <n v="0.85699999999999998"/>
    <x v="0"/>
    <s v="High Risk"/>
    <s v="Tier 4"/>
    <x v="0"/>
  </r>
  <r>
    <n v="45"/>
    <x v="3"/>
    <s v="female"/>
    <n v="33.1"/>
    <n v="0"/>
    <x v="1"/>
    <x v="0"/>
    <n v="7345.0839999999998"/>
    <n v="7345.0839999999998"/>
    <x v="1"/>
    <n v="0.39700000000000002"/>
    <x v="1"/>
    <s v="Standard"/>
    <s v="Tier 3"/>
    <x v="4"/>
  </r>
  <r>
    <n v="60"/>
    <x v="4"/>
    <s v="male"/>
    <n v="29.64"/>
    <n v="0"/>
    <x v="1"/>
    <x v="3"/>
    <n v="12730.999599999999"/>
    <n v="12730.999599999999"/>
    <x v="1"/>
    <n v="0.66400000000000003"/>
    <x v="0"/>
    <s v="Standard"/>
    <s v="Tier 2"/>
    <x v="3"/>
  </r>
  <r>
    <n v="56"/>
    <x v="4"/>
    <s v="female"/>
    <n v="25.65"/>
    <n v="0"/>
    <x v="1"/>
    <x v="2"/>
    <n v="11454.021500000001"/>
    <n v="11454.021500000001"/>
    <x v="1"/>
    <n v="0.60199999999999998"/>
    <x v="0"/>
    <s v="Standard"/>
    <s v="Tier 4"/>
    <x v="3"/>
  </r>
  <r>
    <n v="40"/>
    <x v="3"/>
    <s v="female"/>
    <n v="29.6"/>
    <n v="0"/>
    <x v="1"/>
    <x v="0"/>
    <n v="5910.9440000000004"/>
    <n v="5910.9440000000004"/>
    <x v="1"/>
    <n v="0.312"/>
    <x v="0"/>
    <s v="Standard"/>
    <s v="Tier 3"/>
    <x v="3"/>
  </r>
  <r>
    <n v="35"/>
    <x v="1"/>
    <s v="male"/>
    <n v="38.6"/>
    <n v="1"/>
    <x v="1"/>
    <x v="0"/>
    <n v="4762.3289999999997"/>
    <n v="2381.1644999999999"/>
    <x v="1"/>
    <n v="0.253"/>
    <x v="1"/>
    <s v="Standard"/>
    <s v="Tier 3"/>
    <x v="4"/>
  </r>
  <r>
    <n v="39"/>
    <x v="3"/>
    <s v="male"/>
    <n v="29.6"/>
    <n v="4"/>
    <x v="1"/>
    <x v="0"/>
    <n v="7512.2669999999998"/>
    <n v="1502.4533999999999"/>
    <x v="1"/>
    <n v="0.40600000000000003"/>
    <x v="0"/>
    <s v="Standard"/>
    <s v="Tier 3"/>
    <x v="3"/>
  </r>
  <r>
    <n v="30"/>
    <x v="1"/>
    <s v="male"/>
    <n v="24.13"/>
    <n v="1"/>
    <x v="1"/>
    <x v="2"/>
    <n v="4032.2406999999998"/>
    <n v="2016.1203499999999"/>
    <x v="1"/>
    <n v="0.20100000000000001"/>
    <x v="2"/>
    <s v="Standard"/>
    <s v="Tier 4"/>
    <x v="2"/>
  </r>
  <r>
    <n v="24"/>
    <x v="0"/>
    <s v="male"/>
    <n v="23.4"/>
    <n v="0"/>
    <x v="1"/>
    <x v="0"/>
    <n v="1969.614"/>
    <n v="1969.614"/>
    <x v="1"/>
    <n v="6.3E-2"/>
    <x v="2"/>
    <s v="Standard"/>
    <s v="Tier 3"/>
    <x v="2"/>
  </r>
  <r>
    <n v="20"/>
    <x v="0"/>
    <s v="male"/>
    <n v="29.734999999999999"/>
    <n v="0"/>
    <x v="1"/>
    <x v="2"/>
    <n v="1769.5316499999999"/>
    <n v="1769.5316499999999"/>
    <x v="1"/>
    <n v="0.05"/>
    <x v="0"/>
    <s v="Standard"/>
    <s v="Tier 4"/>
    <x v="3"/>
  </r>
  <r>
    <n v="32"/>
    <x v="1"/>
    <s v="male"/>
    <n v="46.53"/>
    <n v="2"/>
    <x v="1"/>
    <x v="1"/>
    <n v="4686.3887000000004"/>
    <n v="1562.1295666666667"/>
    <x v="1"/>
    <n v="0.246"/>
    <x v="1"/>
    <s v="Standard"/>
    <s v="Tier 1"/>
    <x v="1"/>
  </r>
  <r>
    <n v="59"/>
    <x v="4"/>
    <s v="male"/>
    <n v="37.4"/>
    <n v="0"/>
    <x v="1"/>
    <x v="0"/>
    <n v="21797.000400000001"/>
    <n v="21797.000400000001"/>
    <x v="0"/>
    <n v="0.81799999999999995"/>
    <x v="1"/>
    <s v="Standard"/>
    <s v="Tier 3"/>
    <x v="4"/>
  </r>
  <r>
    <n v="55"/>
    <x v="2"/>
    <s v="female"/>
    <n v="30.14"/>
    <n v="2"/>
    <x v="1"/>
    <x v="1"/>
    <n v="11881.9696"/>
    <n v="3960.6565333333333"/>
    <x v="1"/>
    <n v="0.626"/>
    <x v="1"/>
    <s v="Standard"/>
    <s v="Tier 1"/>
    <x v="1"/>
  </r>
  <r>
    <n v="57"/>
    <x v="4"/>
    <s v="female"/>
    <n v="30.495000000000001"/>
    <n v="0"/>
    <x v="1"/>
    <x v="2"/>
    <n v="11840.77505"/>
    <n v="11840.77505"/>
    <x v="1"/>
    <n v="0.621"/>
    <x v="1"/>
    <s v="Standard"/>
    <s v="Tier 4"/>
    <x v="4"/>
  </r>
  <r>
    <n v="56"/>
    <x v="4"/>
    <s v="male"/>
    <n v="39.6"/>
    <n v="0"/>
    <x v="1"/>
    <x v="0"/>
    <n v="10601.412"/>
    <n v="10601.412"/>
    <x v="1"/>
    <n v="0.55900000000000005"/>
    <x v="1"/>
    <s v="Standard"/>
    <s v="Tier 3"/>
    <x v="4"/>
  </r>
  <r>
    <n v="40"/>
    <x v="3"/>
    <s v="female"/>
    <n v="33"/>
    <n v="3"/>
    <x v="1"/>
    <x v="1"/>
    <n v="7682.67"/>
    <n v="1920.6675"/>
    <x v="1"/>
    <n v="0.41499999999999998"/>
    <x v="1"/>
    <s v="Standard"/>
    <s v="Tier 1"/>
    <x v="1"/>
  </r>
  <r>
    <n v="49"/>
    <x v="2"/>
    <s v="female"/>
    <n v="36.630000000000003"/>
    <n v="3"/>
    <x v="1"/>
    <x v="1"/>
    <n v="10381.4787"/>
    <n v="2595.3696749999999"/>
    <x v="1"/>
    <n v="0.54800000000000004"/>
    <x v="1"/>
    <s v="Standard"/>
    <s v="Tier 1"/>
    <x v="1"/>
  </r>
  <r>
    <n v="42"/>
    <x v="3"/>
    <s v="male"/>
    <n v="30"/>
    <n v="0"/>
    <x v="0"/>
    <x v="0"/>
    <n v="22144.031999999999"/>
    <n v="22144.031999999999"/>
    <x v="0"/>
    <n v="0.82099999999999995"/>
    <x v="1"/>
    <s v="High Risk"/>
    <s v="Tier 3"/>
    <x v="5"/>
  </r>
  <r>
    <n v="62"/>
    <x v="4"/>
    <s v="female"/>
    <n v="38.094999999999999"/>
    <n v="2"/>
    <x v="1"/>
    <x v="3"/>
    <n v="15230.324049999999"/>
    <n v="5076.7746833333331"/>
    <x v="0"/>
    <n v="0.73499999999999999"/>
    <x v="1"/>
    <s v="Standard"/>
    <s v="Tier 2"/>
    <x v="4"/>
  </r>
  <r>
    <n v="56"/>
    <x v="4"/>
    <s v="male"/>
    <n v="25.934999999999999"/>
    <n v="0"/>
    <x v="1"/>
    <x v="3"/>
    <n v="11165.417649999999"/>
    <n v="11165.417649999999"/>
    <x v="1"/>
    <n v="0.58499999999999996"/>
    <x v="0"/>
    <s v="Standard"/>
    <s v="Tier 2"/>
    <x v="3"/>
  </r>
  <r>
    <n v="19"/>
    <x v="0"/>
    <s v="male"/>
    <n v="25.175000000000001"/>
    <n v="0"/>
    <x v="1"/>
    <x v="2"/>
    <n v="1632.0362500000001"/>
    <n v="1632.0362500000001"/>
    <x v="1"/>
    <n v="2.5999999999999999E-2"/>
    <x v="0"/>
    <s v="Standard"/>
    <s v="Tier 4"/>
    <x v="3"/>
  </r>
  <r>
    <n v="30"/>
    <x v="1"/>
    <s v="female"/>
    <n v="28.38"/>
    <n v="1"/>
    <x v="0"/>
    <x v="1"/>
    <n v="19521.968199999999"/>
    <n v="9760.9840999999997"/>
    <x v="0"/>
    <n v="0.78900000000000003"/>
    <x v="0"/>
    <s v="High Risk"/>
    <s v="Tier 1"/>
    <x v="5"/>
  </r>
  <r>
    <n v="60"/>
    <x v="4"/>
    <s v="female"/>
    <n v="28.7"/>
    <n v="1"/>
    <x v="1"/>
    <x v="0"/>
    <n v="13224.692999999999"/>
    <n v="6612.3464999999997"/>
    <x v="1"/>
    <n v="0.68500000000000005"/>
    <x v="0"/>
    <s v="Standard"/>
    <s v="Tier 3"/>
    <x v="3"/>
  </r>
  <r>
    <n v="56"/>
    <x v="4"/>
    <s v="female"/>
    <n v="33.82"/>
    <n v="2"/>
    <x v="1"/>
    <x v="2"/>
    <n v="12643.3778"/>
    <n v="4214.4592666666667"/>
    <x v="1"/>
    <n v="0.66100000000000003"/>
    <x v="1"/>
    <s v="Standard"/>
    <s v="Tier 4"/>
    <x v="4"/>
  </r>
  <r>
    <n v="28"/>
    <x v="1"/>
    <s v="female"/>
    <n v="24.32"/>
    <n v="1"/>
    <x v="1"/>
    <x v="3"/>
    <n v="23288.928400000001"/>
    <n v="11644.4642"/>
    <x v="0"/>
    <n v="0.83199999999999996"/>
    <x v="2"/>
    <s v="Standard"/>
    <s v="Tier 2"/>
    <x v="2"/>
  </r>
  <r>
    <n v="18"/>
    <x v="0"/>
    <s v="female"/>
    <n v="24.09"/>
    <n v="1"/>
    <x v="1"/>
    <x v="1"/>
    <n v="2201.0971"/>
    <n v="1100.54855"/>
    <x v="1"/>
    <n v="8.5999999999999993E-2"/>
    <x v="2"/>
    <s v="Standard"/>
    <s v="Tier 1"/>
    <x v="3"/>
  </r>
  <r>
    <n v="27"/>
    <x v="1"/>
    <s v="male"/>
    <n v="32.67"/>
    <n v="0"/>
    <x v="1"/>
    <x v="1"/>
    <n v="2497.0383000000002"/>
    <n v="2497.0383000000002"/>
    <x v="1"/>
    <n v="0.111"/>
    <x v="1"/>
    <s v="Standard"/>
    <s v="Tier 1"/>
    <x v="1"/>
  </r>
  <r>
    <n v="18"/>
    <x v="0"/>
    <s v="female"/>
    <n v="30.114999999999998"/>
    <n v="0"/>
    <x v="1"/>
    <x v="3"/>
    <n v="2203.4718499999999"/>
    <n v="2203.4718499999999"/>
    <x v="1"/>
    <n v="8.6999999999999994E-2"/>
    <x v="1"/>
    <s v="Standard"/>
    <s v="Tier 2"/>
    <x v="4"/>
  </r>
  <r>
    <n v="19"/>
    <x v="0"/>
    <s v="female"/>
    <n v="29.8"/>
    <n v="0"/>
    <x v="1"/>
    <x v="0"/>
    <n v="1744.4649999999999"/>
    <n v="1744.4649999999999"/>
    <x v="1"/>
    <n v="4.8000000000000001E-2"/>
    <x v="0"/>
    <s v="Standard"/>
    <s v="Tier 3"/>
    <x v="3"/>
  </r>
  <r>
    <n v="47"/>
    <x v="2"/>
    <s v="female"/>
    <n v="33.344999999999999"/>
    <n v="0"/>
    <x v="1"/>
    <x v="3"/>
    <n v="20878.78443"/>
    <n v="20878.78443"/>
    <x v="0"/>
    <n v="0.80700000000000005"/>
    <x v="1"/>
    <s v="Standard"/>
    <s v="Tier 2"/>
    <x v="4"/>
  </r>
  <r>
    <n v="54"/>
    <x v="2"/>
    <s v="male"/>
    <n v="25.1"/>
    <n v="3"/>
    <x v="0"/>
    <x v="0"/>
    <n v="25382.296999999999"/>
    <n v="6345.5742499999997"/>
    <x v="0"/>
    <n v="0.85199999999999998"/>
    <x v="0"/>
    <s v="High Risk"/>
    <s v="Tier 3"/>
    <x v="0"/>
  </r>
  <r>
    <n v="61"/>
    <x v="4"/>
    <s v="male"/>
    <n v="28.31"/>
    <n v="1"/>
    <x v="0"/>
    <x v="2"/>
    <n v="28868.6639"/>
    <n v="14434.33195"/>
    <x v="0"/>
    <n v="0.874"/>
    <x v="0"/>
    <s v="High Risk"/>
    <s v="Tier 4"/>
    <x v="0"/>
  </r>
  <r>
    <n v="24"/>
    <x v="0"/>
    <s v="male"/>
    <n v="28.5"/>
    <n v="0"/>
    <x v="0"/>
    <x v="3"/>
    <n v="35147.528480000001"/>
    <n v="35147.528480000001"/>
    <x v="0"/>
    <n v="0.90200000000000002"/>
    <x v="0"/>
    <s v="High Risk"/>
    <s v="Tier 2"/>
    <x v="0"/>
  </r>
  <r>
    <n v="25"/>
    <x v="0"/>
    <s v="male"/>
    <n v="35.625"/>
    <n v="0"/>
    <x v="1"/>
    <x v="2"/>
    <n v="2534.3937500000002"/>
    <n v="2534.3937500000002"/>
    <x v="1"/>
    <n v="0.114"/>
    <x v="1"/>
    <s v="Standard"/>
    <s v="Tier 4"/>
    <x v="4"/>
  </r>
  <r>
    <n v="21"/>
    <x v="0"/>
    <s v="male"/>
    <n v="36.85"/>
    <n v="0"/>
    <x v="1"/>
    <x v="1"/>
    <n v="1534.3045"/>
    <n v="1534.3045"/>
    <x v="1"/>
    <n v="1.7000000000000001E-2"/>
    <x v="1"/>
    <s v="Standard"/>
    <s v="Tier 1"/>
    <x v="1"/>
  </r>
  <r>
    <n v="23"/>
    <x v="0"/>
    <s v="male"/>
    <n v="32.56"/>
    <n v="0"/>
    <x v="1"/>
    <x v="1"/>
    <n v="1824.2854"/>
    <n v="1824.2854"/>
    <x v="1"/>
    <n v="5.1999999999999998E-2"/>
    <x v="1"/>
    <s v="Standard"/>
    <s v="Tier 1"/>
    <x v="1"/>
  </r>
  <r>
    <n v="63"/>
    <x v="4"/>
    <s v="male"/>
    <n v="41.325000000000003"/>
    <n v="3"/>
    <x v="1"/>
    <x v="2"/>
    <n v="15555.188749999999"/>
    <n v="3888.7971874999998"/>
    <x v="0"/>
    <n v="0.73799999999999999"/>
    <x v="1"/>
    <s v="Standard"/>
    <s v="Tier 4"/>
    <x v="4"/>
  </r>
  <r>
    <n v="49"/>
    <x v="2"/>
    <s v="male"/>
    <n v="37.51"/>
    <n v="2"/>
    <x v="1"/>
    <x v="1"/>
    <n v="9304.7019"/>
    <n v="3101.5673000000002"/>
    <x v="1"/>
    <n v="0.498"/>
    <x v="1"/>
    <s v="Standard"/>
    <s v="Tier 1"/>
    <x v="1"/>
  </r>
  <r>
    <n v="18"/>
    <x v="0"/>
    <s v="female"/>
    <n v="31.35"/>
    <n v="0"/>
    <x v="1"/>
    <x v="1"/>
    <n v="1622.1885"/>
    <n v="1622.1885"/>
    <x v="1"/>
    <n v="0.02"/>
    <x v="1"/>
    <s v="Standard"/>
    <s v="Tier 1"/>
    <x v="1"/>
  </r>
  <r>
    <n v="51"/>
    <x v="2"/>
    <s v="female"/>
    <n v="39.5"/>
    <n v="1"/>
    <x v="1"/>
    <x v="0"/>
    <n v="9880.0679999999993"/>
    <n v="4940.0339999999997"/>
    <x v="1"/>
    <n v="0.52800000000000002"/>
    <x v="1"/>
    <s v="Standard"/>
    <s v="Tier 3"/>
    <x v="4"/>
  </r>
  <r>
    <n v="48"/>
    <x v="2"/>
    <s v="male"/>
    <n v="34.299999999999997"/>
    <n v="3"/>
    <x v="1"/>
    <x v="0"/>
    <n v="9563.0290000000005"/>
    <n v="2390.7572500000001"/>
    <x v="1"/>
    <n v="0.50900000000000001"/>
    <x v="1"/>
    <s v="Standard"/>
    <s v="Tier 3"/>
    <x v="4"/>
  </r>
  <r>
    <n v="31"/>
    <x v="1"/>
    <s v="female"/>
    <n v="31.065000000000001"/>
    <n v="0"/>
    <x v="1"/>
    <x v="3"/>
    <n v="4347.0233500000004"/>
    <n v="4347.0233500000004"/>
    <x v="1"/>
    <n v="0.219"/>
    <x v="1"/>
    <s v="Standard"/>
    <s v="Tier 2"/>
    <x v="4"/>
  </r>
  <r>
    <n v="54"/>
    <x v="2"/>
    <s v="female"/>
    <n v="21.47"/>
    <n v="3"/>
    <x v="1"/>
    <x v="2"/>
    <n v="12475.3513"/>
    <n v="3118.8378250000001"/>
    <x v="1"/>
    <n v="0.65100000000000002"/>
    <x v="2"/>
    <s v="Standard"/>
    <s v="Tier 4"/>
    <x v="2"/>
  </r>
  <r>
    <n v="19"/>
    <x v="0"/>
    <s v="male"/>
    <n v="28.7"/>
    <n v="0"/>
    <x v="1"/>
    <x v="0"/>
    <n v="1253.9359999999999"/>
    <n v="1253.9359999999999"/>
    <x v="1"/>
    <n v="0.01"/>
    <x v="0"/>
    <s v="Standard"/>
    <s v="Tier 3"/>
    <x v="3"/>
  </r>
  <r>
    <n v="44"/>
    <x v="3"/>
    <s v="female"/>
    <n v="38.06"/>
    <n v="0"/>
    <x v="0"/>
    <x v="1"/>
    <n v="48885.135609999998"/>
    <n v="48885.135609999998"/>
    <x v="0"/>
    <n v="0.99299999999999999"/>
    <x v="1"/>
    <s v="High Risk"/>
    <s v="Tier 1"/>
    <x v="6"/>
  </r>
  <r>
    <n v="53"/>
    <x v="2"/>
    <s v="male"/>
    <n v="31.16"/>
    <n v="1"/>
    <x v="1"/>
    <x v="2"/>
    <n v="10461.9794"/>
    <n v="5230.9897000000001"/>
    <x v="1"/>
    <n v="0.55200000000000005"/>
    <x v="1"/>
    <s v="Standard"/>
    <s v="Tier 4"/>
    <x v="4"/>
  </r>
  <r>
    <n v="19"/>
    <x v="0"/>
    <s v="female"/>
    <n v="32.9"/>
    <n v="0"/>
    <x v="1"/>
    <x v="0"/>
    <n v="1748.7739999999999"/>
    <n v="1748.7739999999999"/>
    <x v="1"/>
    <n v="4.9000000000000002E-2"/>
    <x v="1"/>
    <s v="Standard"/>
    <s v="Tier 3"/>
    <x v="4"/>
  </r>
  <r>
    <n v="61"/>
    <x v="4"/>
    <s v="female"/>
    <n v="25.08"/>
    <n v="0"/>
    <x v="1"/>
    <x v="1"/>
    <n v="24513.091260000001"/>
    <n v="24513.091260000001"/>
    <x v="0"/>
    <n v="0.84199999999999997"/>
    <x v="0"/>
    <s v="Standard"/>
    <s v="Tier 1"/>
    <x v="4"/>
  </r>
  <r>
    <n v="18"/>
    <x v="0"/>
    <s v="female"/>
    <n v="25.08"/>
    <n v="0"/>
    <x v="1"/>
    <x v="3"/>
    <n v="2196.4731999999999"/>
    <n v="2196.4731999999999"/>
    <x v="1"/>
    <n v="8.4000000000000005E-2"/>
    <x v="0"/>
    <s v="Standard"/>
    <s v="Tier 2"/>
    <x v="3"/>
  </r>
  <r>
    <n v="61"/>
    <x v="4"/>
    <s v="male"/>
    <n v="43.4"/>
    <n v="0"/>
    <x v="1"/>
    <x v="0"/>
    <n v="12574.049000000001"/>
    <n v="12574.049000000001"/>
    <x v="1"/>
    <n v="0.65500000000000003"/>
    <x v="1"/>
    <s v="Standard"/>
    <s v="Tier 3"/>
    <x v="4"/>
  </r>
  <r>
    <n v="21"/>
    <x v="0"/>
    <s v="male"/>
    <n v="25.7"/>
    <n v="4"/>
    <x v="0"/>
    <x v="0"/>
    <n v="17942.106"/>
    <n v="3588.4211999999998"/>
    <x v="0"/>
    <n v="0.76500000000000001"/>
    <x v="0"/>
    <s v="High Risk"/>
    <s v="Tier 3"/>
    <x v="0"/>
  </r>
  <r>
    <n v="20"/>
    <x v="0"/>
    <s v="male"/>
    <n v="27.93"/>
    <n v="0"/>
    <x v="1"/>
    <x v="3"/>
    <n v="1967.0227"/>
    <n v="1967.0227"/>
    <x v="1"/>
    <n v="6.2E-2"/>
    <x v="0"/>
    <s v="Standard"/>
    <s v="Tier 2"/>
    <x v="3"/>
  </r>
  <r>
    <n v="31"/>
    <x v="1"/>
    <s v="female"/>
    <n v="23.6"/>
    <n v="2"/>
    <x v="1"/>
    <x v="0"/>
    <n v="4931.6469999999999"/>
    <n v="1643.8823333333332"/>
    <x v="1"/>
    <n v="0.26500000000000001"/>
    <x v="2"/>
    <s v="Standard"/>
    <s v="Tier 3"/>
    <x v="2"/>
  </r>
  <r>
    <n v="45"/>
    <x v="3"/>
    <s v="male"/>
    <n v="28.7"/>
    <n v="2"/>
    <x v="1"/>
    <x v="0"/>
    <n v="8027.9679999999998"/>
    <n v="2675.9893333333334"/>
    <x v="1"/>
    <n v="0.42799999999999999"/>
    <x v="0"/>
    <s v="Standard"/>
    <s v="Tier 3"/>
    <x v="3"/>
  </r>
  <r>
    <n v="44"/>
    <x v="3"/>
    <s v="female"/>
    <n v="23.98"/>
    <n v="2"/>
    <x v="1"/>
    <x v="1"/>
    <n v="8211.1002000000008"/>
    <n v="2737.0334000000003"/>
    <x v="1"/>
    <n v="0.436"/>
    <x v="2"/>
    <s v="Standard"/>
    <s v="Tier 1"/>
    <x v="3"/>
  </r>
  <r>
    <n v="62"/>
    <x v="4"/>
    <s v="female"/>
    <n v="39.200000000000003"/>
    <n v="0"/>
    <x v="1"/>
    <x v="0"/>
    <n v="13470.86"/>
    <n v="13470.86"/>
    <x v="0"/>
    <n v="0.69399999999999995"/>
    <x v="1"/>
    <s v="Standard"/>
    <s v="Tier 3"/>
    <x v="4"/>
  </r>
  <r>
    <n v="29"/>
    <x v="1"/>
    <s v="male"/>
    <n v="34.4"/>
    <n v="0"/>
    <x v="0"/>
    <x v="0"/>
    <n v="36197.699000000001"/>
    <n v="36197.699000000001"/>
    <x v="0"/>
    <n v="0.90900000000000003"/>
    <x v="1"/>
    <s v="High Risk"/>
    <s v="Tier 3"/>
    <x v="5"/>
  </r>
  <r>
    <n v="43"/>
    <x v="3"/>
    <s v="male"/>
    <n v="26.03"/>
    <n v="0"/>
    <x v="1"/>
    <x v="3"/>
    <n v="6837.3687"/>
    <n v="6837.3687"/>
    <x v="1"/>
    <n v="0.36699999999999999"/>
    <x v="0"/>
    <s v="Standard"/>
    <s v="Tier 2"/>
    <x v="3"/>
  </r>
  <r>
    <n v="51"/>
    <x v="2"/>
    <s v="male"/>
    <n v="23.21"/>
    <n v="1"/>
    <x v="0"/>
    <x v="1"/>
    <n v="22218.1149"/>
    <n v="11109.05745"/>
    <x v="0"/>
    <n v="0.82299999999999995"/>
    <x v="2"/>
    <s v="High Risk"/>
    <s v="Tier 1"/>
    <x v="0"/>
  </r>
  <r>
    <n v="19"/>
    <x v="0"/>
    <s v="male"/>
    <n v="30.25"/>
    <n v="0"/>
    <x v="0"/>
    <x v="1"/>
    <n v="32548.340499999998"/>
    <n v="32548.340499999998"/>
    <x v="0"/>
    <n v="0.88500000000000001"/>
    <x v="1"/>
    <s v="High Risk"/>
    <s v="Tier 1"/>
    <x v="6"/>
  </r>
  <r>
    <n v="38"/>
    <x v="3"/>
    <s v="female"/>
    <n v="28.93"/>
    <n v="1"/>
    <x v="1"/>
    <x v="1"/>
    <n v="5974.3846999999996"/>
    <n v="2987.1923499999998"/>
    <x v="1"/>
    <n v="0.317"/>
    <x v="0"/>
    <s v="Standard"/>
    <s v="Tier 1"/>
    <x v="4"/>
  </r>
  <r>
    <n v="37"/>
    <x v="3"/>
    <s v="male"/>
    <n v="30.875"/>
    <n v="3"/>
    <x v="1"/>
    <x v="2"/>
    <n v="6796.8632500000003"/>
    <n v="1699.2158125000001"/>
    <x v="1"/>
    <n v="0.36599999999999999"/>
    <x v="1"/>
    <s v="Standard"/>
    <s v="Tier 4"/>
    <x v="4"/>
  </r>
  <r>
    <n v="22"/>
    <x v="0"/>
    <s v="male"/>
    <n v="31.35"/>
    <n v="1"/>
    <x v="1"/>
    <x v="2"/>
    <n v="2643.2685000000001"/>
    <n v="1321.6342500000001"/>
    <x v="1"/>
    <n v="0.11899999999999999"/>
    <x v="1"/>
    <s v="Standard"/>
    <s v="Tier 4"/>
    <x v="4"/>
  </r>
  <r>
    <n v="21"/>
    <x v="0"/>
    <s v="male"/>
    <n v="23.75"/>
    <n v="2"/>
    <x v="1"/>
    <x v="2"/>
    <n v="3077.0954999999999"/>
    <n v="1025.6985"/>
    <x v="1"/>
    <n v="0.14699999999999999"/>
    <x v="2"/>
    <s v="Standard"/>
    <s v="Tier 4"/>
    <x v="2"/>
  </r>
  <r>
    <n v="24"/>
    <x v="0"/>
    <s v="female"/>
    <n v="25.27"/>
    <n v="0"/>
    <x v="1"/>
    <x v="3"/>
    <n v="3044.2132999999999"/>
    <n v="3044.2132999999999"/>
    <x v="1"/>
    <n v="0.14299999999999999"/>
    <x v="0"/>
    <s v="Standard"/>
    <s v="Tier 2"/>
    <x v="3"/>
  </r>
  <r>
    <n v="57"/>
    <x v="4"/>
    <s v="female"/>
    <n v="28.7"/>
    <n v="0"/>
    <x v="1"/>
    <x v="0"/>
    <n v="11455.28"/>
    <n v="11455.28"/>
    <x v="1"/>
    <n v="0.60199999999999998"/>
    <x v="0"/>
    <s v="Standard"/>
    <s v="Tier 3"/>
    <x v="3"/>
  </r>
  <r>
    <n v="56"/>
    <x v="4"/>
    <s v="male"/>
    <n v="32.11"/>
    <n v="1"/>
    <x v="1"/>
    <x v="3"/>
    <n v="11763.000899999999"/>
    <n v="5881.5004499999995"/>
    <x v="1"/>
    <n v="0.61799999999999999"/>
    <x v="1"/>
    <s v="Standard"/>
    <s v="Tier 2"/>
    <x v="4"/>
  </r>
  <r>
    <n v="27"/>
    <x v="1"/>
    <s v="male"/>
    <n v="33.659999999999997"/>
    <n v="0"/>
    <x v="1"/>
    <x v="1"/>
    <n v="2498.4144000000001"/>
    <n v="2498.4144000000001"/>
    <x v="1"/>
    <n v="0.112"/>
    <x v="1"/>
    <s v="Standard"/>
    <s v="Tier 1"/>
    <x v="1"/>
  </r>
  <r>
    <n v="51"/>
    <x v="2"/>
    <s v="male"/>
    <n v="22.42"/>
    <n v="0"/>
    <x v="1"/>
    <x v="3"/>
    <n v="9361.3268000000007"/>
    <n v="9361.3268000000007"/>
    <x v="1"/>
    <n v="0.498"/>
    <x v="2"/>
    <s v="Standard"/>
    <s v="Tier 2"/>
    <x v="2"/>
  </r>
  <r>
    <n v="19"/>
    <x v="0"/>
    <s v="male"/>
    <n v="30.4"/>
    <n v="0"/>
    <x v="1"/>
    <x v="0"/>
    <n v="1256.299"/>
    <n v="1256.299"/>
    <x v="1"/>
    <n v="1.0999999999999999E-2"/>
    <x v="1"/>
    <s v="Standard"/>
    <s v="Tier 3"/>
    <x v="4"/>
  </r>
  <r>
    <n v="39"/>
    <x v="3"/>
    <s v="male"/>
    <n v="28.3"/>
    <n v="1"/>
    <x v="0"/>
    <x v="0"/>
    <n v="21082.16"/>
    <n v="10541.08"/>
    <x v="0"/>
    <n v="0.80800000000000005"/>
    <x v="0"/>
    <s v="High Risk"/>
    <s v="Tier 3"/>
    <x v="0"/>
  </r>
  <r>
    <n v="58"/>
    <x v="4"/>
    <s v="male"/>
    <n v="35.700000000000003"/>
    <n v="0"/>
    <x v="1"/>
    <x v="0"/>
    <n v="11362.754999999999"/>
    <n v="11362.754999999999"/>
    <x v="1"/>
    <n v="0.59599999999999997"/>
    <x v="1"/>
    <s v="Standard"/>
    <s v="Tier 3"/>
    <x v="4"/>
  </r>
  <r>
    <n v="20"/>
    <x v="0"/>
    <s v="male"/>
    <n v="35.31"/>
    <n v="1"/>
    <x v="1"/>
    <x v="1"/>
    <n v="27724.28875"/>
    <n v="13862.144375"/>
    <x v="0"/>
    <n v="0.86799999999999999"/>
    <x v="1"/>
    <s v="Standard"/>
    <s v="Tier 1"/>
    <x v="1"/>
  </r>
  <r>
    <n v="45"/>
    <x v="3"/>
    <s v="male"/>
    <n v="30.495000000000001"/>
    <n v="2"/>
    <x v="1"/>
    <x v="2"/>
    <n v="8413.4630500000003"/>
    <n v="2804.4876833333333"/>
    <x v="1"/>
    <n v="0.44800000000000001"/>
    <x v="1"/>
    <s v="Standard"/>
    <s v="Tier 4"/>
    <x v="4"/>
  </r>
  <r>
    <n v="35"/>
    <x v="1"/>
    <s v="female"/>
    <n v="31"/>
    <n v="1"/>
    <x v="1"/>
    <x v="0"/>
    <n v="5240.7650000000003"/>
    <n v="2620.3825000000002"/>
    <x v="1"/>
    <n v="0.27800000000000002"/>
    <x v="1"/>
    <s v="Standard"/>
    <s v="Tier 3"/>
    <x v="4"/>
  </r>
  <r>
    <n v="31"/>
    <x v="1"/>
    <s v="male"/>
    <n v="30.875"/>
    <n v="0"/>
    <x v="1"/>
    <x v="3"/>
    <n v="3857.7592500000001"/>
    <n v="3857.7592500000001"/>
    <x v="1"/>
    <n v="0.189"/>
    <x v="1"/>
    <s v="Standard"/>
    <s v="Tier 2"/>
    <x v="4"/>
  </r>
  <r>
    <n v="50"/>
    <x v="2"/>
    <s v="female"/>
    <n v="27.36"/>
    <n v="0"/>
    <x v="1"/>
    <x v="3"/>
    <n v="25656.575260000001"/>
    <n v="25656.575260000001"/>
    <x v="0"/>
    <n v="0.85399999999999998"/>
    <x v="0"/>
    <s v="Standard"/>
    <s v="Tier 2"/>
    <x v="3"/>
  </r>
  <r>
    <n v="32"/>
    <x v="1"/>
    <s v="female"/>
    <n v="44.22"/>
    <n v="0"/>
    <x v="1"/>
    <x v="1"/>
    <n v="3994.1777999999999"/>
    <n v="3994.1777999999999"/>
    <x v="1"/>
    <n v="0.2"/>
    <x v="1"/>
    <s v="Standard"/>
    <s v="Tier 1"/>
    <x v="1"/>
  </r>
  <r>
    <n v="51"/>
    <x v="2"/>
    <s v="female"/>
    <n v="33.914999999999999"/>
    <n v="0"/>
    <x v="1"/>
    <x v="3"/>
    <n v="9866.3048500000004"/>
    <n v="9866.3048500000004"/>
    <x v="1"/>
    <n v="0.52500000000000002"/>
    <x v="1"/>
    <s v="Standard"/>
    <s v="Tier 2"/>
    <x v="4"/>
  </r>
  <r>
    <n v="38"/>
    <x v="3"/>
    <s v="female"/>
    <n v="37.729999999999997"/>
    <n v="0"/>
    <x v="1"/>
    <x v="1"/>
    <n v="5397.6166999999996"/>
    <n v="5397.6166999999996"/>
    <x v="1"/>
    <n v="0.29199999999999998"/>
    <x v="1"/>
    <s v="Standard"/>
    <s v="Tier 1"/>
    <x v="1"/>
  </r>
  <r>
    <n v="42"/>
    <x v="3"/>
    <s v="male"/>
    <n v="26.07"/>
    <n v="1"/>
    <x v="0"/>
    <x v="1"/>
    <n v="38245.593269999998"/>
    <n v="19122.796634999999"/>
    <x v="0"/>
    <n v="0.92400000000000004"/>
    <x v="0"/>
    <s v="High Risk"/>
    <s v="Tier 1"/>
    <x v="5"/>
  </r>
  <r>
    <n v="18"/>
    <x v="0"/>
    <s v="female"/>
    <n v="33.880000000000003"/>
    <n v="0"/>
    <x v="1"/>
    <x v="1"/>
    <n v="11482.63485"/>
    <n v="11482.63485"/>
    <x v="1"/>
    <n v="0.60299999999999998"/>
    <x v="1"/>
    <s v="Standard"/>
    <s v="Tier 1"/>
    <x v="1"/>
  </r>
  <r>
    <n v="19"/>
    <x v="0"/>
    <s v="female"/>
    <n v="30.59"/>
    <n v="2"/>
    <x v="1"/>
    <x v="2"/>
    <n v="24059.680189999999"/>
    <n v="8019.8933966666664"/>
    <x v="0"/>
    <n v="0.83799999999999997"/>
    <x v="1"/>
    <s v="Standard"/>
    <s v="Tier 4"/>
    <x v="4"/>
  </r>
  <r>
    <n v="51"/>
    <x v="2"/>
    <s v="female"/>
    <n v="25.8"/>
    <n v="1"/>
    <x v="1"/>
    <x v="0"/>
    <n v="9861.0249999999996"/>
    <n v="4930.5124999999998"/>
    <x v="1"/>
    <n v="0.52300000000000002"/>
    <x v="0"/>
    <s v="Standard"/>
    <s v="Tier 3"/>
    <x v="3"/>
  </r>
  <r>
    <n v="46"/>
    <x v="2"/>
    <s v="male"/>
    <n v="39.424999999999997"/>
    <n v="1"/>
    <x v="1"/>
    <x v="3"/>
    <n v="8342.9087500000005"/>
    <n v="4171.4543750000003"/>
    <x v="1"/>
    <n v="0.44600000000000001"/>
    <x v="1"/>
    <s v="Standard"/>
    <s v="Tier 2"/>
    <x v="4"/>
  </r>
  <r>
    <n v="18"/>
    <x v="0"/>
    <s v="male"/>
    <n v="25.46"/>
    <n v="0"/>
    <x v="1"/>
    <x v="3"/>
    <n v="1708.0014000000001"/>
    <n v="1708.0014000000001"/>
    <x v="1"/>
    <n v="3.7999999999999999E-2"/>
    <x v="0"/>
    <s v="Standard"/>
    <s v="Tier 2"/>
    <x v="3"/>
  </r>
  <r>
    <n v="57"/>
    <x v="4"/>
    <s v="male"/>
    <n v="42.13"/>
    <n v="1"/>
    <x v="0"/>
    <x v="1"/>
    <n v="48675.517699999997"/>
    <n v="24337.758849999998"/>
    <x v="0"/>
    <n v="0.99099999999999999"/>
    <x v="1"/>
    <s v="High Risk"/>
    <s v="Tier 1"/>
    <x v="6"/>
  </r>
  <r>
    <n v="62"/>
    <x v="4"/>
    <s v="female"/>
    <n v="31.73"/>
    <n v="0"/>
    <x v="1"/>
    <x v="3"/>
    <n v="14043.476699999999"/>
    <n v="14043.476699999999"/>
    <x v="0"/>
    <n v="0.71099999999999997"/>
    <x v="1"/>
    <s v="Standard"/>
    <s v="Tier 2"/>
    <x v="4"/>
  </r>
  <r>
    <n v="59"/>
    <x v="4"/>
    <s v="male"/>
    <n v="29.7"/>
    <n v="2"/>
    <x v="1"/>
    <x v="1"/>
    <n v="12925.886"/>
    <n v="4308.6286666666665"/>
    <x v="1"/>
    <n v="0.66900000000000004"/>
    <x v="0"/>
    <s v="Standard"/>
    <s v="Tier 1"/>
    <x v="4"/>
  </r>
  <r>
    <n v="37"/>
    <x v="3"/>
    <s v="male"/>
    <n v="36.19"/>
    <n v="0"/>
    <x v="1"/>
    <x v="1"/>
    <n v="19214.705529999999"/>
    <n v="19214.705529999999"/>
    <x v="0"/>
    <n v="0.78400000000000003"/>
    <x v="1"/>
    <s v="Standard"/>
    <s v="Tier 1"/>
    <x v="1"/>
  </r>
  <r>
    <n v="64"/>
    <x v="4"/>
    <s v="male"/>
    <n v="40.479999999999997"/>
    <n v="0"/>
    <x v="1"/>
    <x v="1"/>
    <n v="13831.1152"/>
    <n v="13831.1152"/>
    <x v="0"/>
    <n v="0.70099999999999996"/>
    <x v="1"/>
    <s v="Standard"/>
    <s v="Tier 1"/>
    <x v="1"/>
  </r>
  <r>
    <n v="38"/>
    <x v="3"/>
    <s v="male"/>
    <n v="28.024999999999999"/>
    <n v="1"/>
    <x v="1"/>
    <x v="3"/>
    <n v="6067.1267500000004"/>
    <n v="3033.5633750000002"/>
    <x v="1"/>
    <n v="0.32100000000000001"/>
    <x v="0"/>
    <s v="Standard"/>
    <s v="Tier 2"/>
    <x v="3"/>
  </r>
  <r>
    <n v="33"/>
    <x v="1"/>
    <s v="female"/>
    <n v="38.9"/>
    <n v="3"/>
    <x v="1"/>
    <x v="0"/>
    <n v="5972.3779999999997"/>
    <n v="1493.0944999999999"/>
    <x v="1"/>
    <n v="0.317"/>
    <x v="1"/>
    <s v="Standard"/>
    <s v="Tier 3"/>
    <x v="4"/>
  </r>
  <r>
    <n v="46"/>
    <x v="2"/>
    <s v="female"/>
    <n v="30.2"/>
    <n v="2"/>
    <x v="1"/>
    <x v="0"/>
    <n v="8825.0859999999993"/>
    <n v="2941.6953333333331"/>
    <x v="1"/>
    <n v="0.47399999999999998"/>
    <x v="1"/>
    <s v="Standard"/>
    <s v="Tier 3"/>
    <x v="4"/>
  </r>
  <r>
    <n v="46"/>
    <x v="2"/>
    <s v="female"/>
    <n v="28.05"/>
    <n v="1"/>
    <x v="1"/>
    <x v="1"/>
    <n v="8233.0974999999999"/>
    <n v="4116.5487499999999"/>
    <x v="1"/>
    <n v="0.438"/>
    <x v="0"/>
    <s v="Standard"/>
    <s v="Tier 1"/>
    <x v="4"/>
  </r>
  <r>
    <n v="53"/>
    <x v="2"/>
    <s v="male"/>
    <n v="31.35"/>
    <n v="0"/>
    <x v="1"/>
    <x v="1"/>
    <n v="27346.04207"/>
    <n v="27346.04207"/>
    <x v="0"/>
    <n v="0.86599999999999999"/>
    <x v="1"/>
    <s v="Standard"/>
    <s v="Tier 1"/>
    <x v="1"/>
  </r>
  <r>
    <n v="34"/>
    <x v="1"/>
    <s v="female"/>
    <n v="38"/>
    <n v="3"/>
    <x v="1"/>
    <x v="0"/>
    <n v="6196.4480000000003"/>
    <n v="1549.1120000000001"/>
    <x v="1"/>
    <n v="0.32900000000000001"/>
    <x v="1"/>
    <s v="Standard"/>
    <s v="Tier 3"/>
    <x v="4"/>
  </r>
  <r>
    <n v="20"/>
    <x v="0"/>
    <s v="female"/>
    <n v="31.79"/>
    <n v="2"/>
    <x v="1"/>
    <x v="1"/>
    <n v="3056.3881000000001"/>
    <n v="1018.7960333333334"/>
    <x v="1"/>
    <n v="0.14499999999999999"/>
    <x v="1"/>
    <s v="Standard"/>
    <s v="Tier 1"/>
    <x v="1"/>
  </r>
  <r>
    <n v="63"/>
    <x v="4"/>
    <s v="female"/>
    <n v="36.299999999999997"/>
    <n v="0"/>
    <x v="1"/>
    <x v="1"/>
    <n v="13887.204"/>
    <n v="13887.204"/>
    <x v="0"/>
    <n v="0.70399999999999996"/>
    <x v="1"/>
    <s v="Standard"/>
    <s v="Tier 1"/>
    <x v="1"/>
  </r>
  <r>
    <n v="54"/>
    <x v="2"/>
    <s v="female"/>
    <n v="47.41"/>
    <n v="0"/>
    <x v="0"/>
    <x v="1"/>
    <n v="63770.428010000003"/>
    <n v="63770.428010000003"/>
    <x v="0"/>
    <n v="1"/>
    <x v="1"/>
    <s v="High Risk"/>
    <s v="Tier 1"/>
    <x v="6"/>
  </r>
  <r>
    <n v="54"/>
    <x v="2"/>
    <s v="male"/>
    <n v="30.21"/>
    <n v="0"/>
    <x v="1"/>
    <x v="2"/>
    <n v="10231.499900000001"/>
    <n v="10231.499900000001"/>
    <x v="1"/>
    <n v="0.54300000000000004"/>
    <x v="1"/>
    <s v="Standard"/>
    <s v="Tier 4"/>
    <x v="4"/>
  </r>
  <r>
    <n v="49"/>
    <x v="2"/>
    <s v="male"/>
    <n v="25.84"/>
    <n v="2"/>
    <x v="0"/>
    <x v="2"/>
    <n v="23807.240600000001"/>
    <n v="7935.7468666666673"/>
    <x v="0"/>
    <n v="0.83599999999999997"/>
    <x v="0"/>
    <s v="High Risk"/>
    <s v="Tier 4"/>
    <x v="0"/>
  </r>
  <r>
    <n v="28"/>
    <x v="1"/>
    <s v="male"/>
    <n v="35.435000000000002"/>
    <n v="0"/>
    <x v="1"/>
    <x v="3"/>
    <n v="3268.84665"/>
    <n v="3268.84665"/>
    <x v="1"/>
    <n v="0.158"/>
    <x v="1"/>
    <s v="Standard"/>
    <s v="Tier 2"/>
    <x v="4"/>
  </r>
  <r>
    <n v="54"/>
    <x v="2"/>
    <s v="female"/>
    <n v="46.7"/>
    <n v="2"/>
    <x v="1"/>
    <x v="0"/>
    <n v="11538.421"/>
    <n v="3846.1403333333333"/>
    <x v="1"/>
    <n v="0.60699999999999998"/>
    <x v="1"/>
    <s v="Standard"/>
    <s v="Tier 3"/>
    <x v="4"/>
  </r>
  <r>
    <n v="25"/>
    <x v="0"/>
    <s v="female"/>
    <n v="28.594999999999999"/>
    <n v="0"/>
    <x v="1"/>
    <x v="3"/>
    <n v="3213.6220499999999"/>
    <n v="3213.6220499999999"/>
    <x v="1"/>
    <n v="0.155"/>
    <x v="0"/>
    <s v="Standard"/>
    <s v="Tier 2"/>
    <x v="3"/>
  </r>
  <r>
    <n v="43"/>
    <x v="3"/>
    <s v="female"/>
    <n v="46.2"/>
    <n v="0"/>
    <x v="0"/>
    <x v="1"/>
    <n v="45863.205000000002"/>
    <n v="45863.205000000002"/>
    <x v="0"/>
    <n v="0.97399999999999998"/>
    <x v="1"/>
    <s v="High Risk"/>
    <s v="Tier 1"/>
    <x v="6"/>
  </r>
  <r>
    <n v="63"/>
    <x v="4"/>
    <s v="male"/>
    <n v="30.8"/>
    <n v="0"/>
    <x v="1"/>
    <x v="0"/>
    <n v="13390.558999999999"/>
    <n v="13390.558999999999"/>
    <x v="0"/>
    <n v="0.68700000000000006"/>
    <x v="1"/>
    <s v="Standard"/>
    <s v="Tier 3"/>
    <x v="4"/>
  </r>
  <r>
    <n v="32"/>
    <x v="1"/>
    <s v="female"/>
    <n v="28.93"/>
    <n v="0"/>
    <x v="1"/>
    <x v="1"/>
    <n v="3972.9247"/>
    <n v="3972.9247"/>
    <x v="1"/>
    <n v="0.19700000000000001"/>
    <x v="0"/>
    <s v="Standard"/>
    <s v="Tier 1"/>
    <x v="4"/>
  </r>
  <r>
    <n v="62"/>
    <x v="4"/>
    <s v="male"/>
    <n v="21.4"/>
    <n v="0"/>
    <x v="1"/>
    <x v="0"/>
    <n v="12957.118"/>
    <n v="12957.118"/>
    <x v="1"/>
    <n v="0.67200000000000004"/>
    <x v="2"/>
    <s v="Standard"/>
    <s v="Tier 3"/>
    <x v="2"/>
  </r>
  <r>
    <n v="52"/>
    <x v="2"/>
    <s v="female"/>
    <n v="31.73"/>
    <n v="2"/>
    <x v="1"/>
    <x v="2"/>
    <n v="11187.6567"/>
    <n v="3729.2188999999998"/>
    <x v="1"/>
    <n v="0.58599999999999997"/>
    <x v="1"/>
    <s v="Standard"/>
    <s v="Tier 4"/>
    <x v="4"/>
  </r>
  <r>
    <n v="25"/>
    <x v="0"/>
    <s v="female"/>
    <n v="41.325000000000003"/>
    <n v="0"/>
    <x v="1"/>
    <x v="3"/>
    <n v="17878.900679999999"/>
    <n v="17878.900679999999"/>
    <x v="0"/>
    <n v="0.76300000000000001"/>
    <x v="1"/>
    <s v="Standard"/>
    <s v="Tier 2"/>
    <x v="4"/>
  </r>
  <r>
    <n v="28"/>
    <x v="1"/>
    <s v="male"/>
    <n v="23.8"/>
    <n v="2"/>
    <x v="1"/>
    <x v="0"/>
    <n v="3847.674"/>
    <n v="1282.558"/>
    <x v="1"/>
    <n v="0.188"/>
    <x v="2"/>
    <s v="Standard"/>
    <s v="Tier 3"/>
    <x v="2"/>
  </r>
  <r>
    <n v="46"/>
    <x v="2"/>
    <s v="male"/>
    <n v="33.44"/>
    <n v="1"/>
    <x v="1"/>
    <x v="3"/>
    <n v="8334.5895999999993"/>
    <n v="4167.2947999999997"/>
    <x v="1"/>
    <n v="0.44500000000000001"/>
    <x v="1"/>
    <s v="Standard"/>
    <s v="Tier 2"/>
    <x v="4"/>
  </r>
  <r>
    <n v="34"/>
    <x v="1"/>
    <s v="male"/>
    <n v="34.21"/>
    <n v="0"/>
    <x v="1"/>
    <x v="1"/>
    <n v="3935.1799000000001"/>
    <n v="3935.1799000000001"/>
    <x v="1"/>
    <n v="0.19400000000000001"/>
    <x v="1"/>
    <s v="Standard"/>
    <s v="Tier 1"/>
    <x v="1"/>
  </r>
  <r>
    <n v="35"/>
    <x v="1"/>
    <s v="female"/>
    <n v="34.104999999999997"/>
    <n v="3"/>
    <x v="0"/>
    <x v="2"/>
    <n v="39983.425949999997"/>
    <n v="9995.8564874999993"/>
    <x v="0"/>
    <n v="0.94"/>
    <x v="1"/>
    <s v="High Risk"/>
    <s v="Tier 4"/>
    <x v="5"/>
  </r>
  <r>
    <n v="19"/>
    <x v="0"/>
    <s v="male"/>
    <n v="35.53"/>
    <n v="0"/>
    <x v="1"/>
    <x v="2"/>
    <n v="1646.4296999999999"/>
    <n v="1646.4296999999999"/>
    <x v="1"/>
    <n v="3.2000000000000001E-2"/>
    <x v="1"/>
    <s v="Standard"/>
    <s v="Tier 4"/>
    <x v="4"/>
  </r>
  <r>
    <n v="46"/>
    <x v="2"/>
    <s v="female"/>
    <n v="19.95"/>
    <n v="2"/>
    <x v="1"/>
    <x v="2"/>
    <n v="9193.8384999999998"/>
    <n v="3064.6128333333331"/>
    <x v="1"/>
    <n v="0.49"/>
    <x v="2"/>
    <s v="Standard"/>
    <s v="Tier 4"/>
    <x v="2"/>
  </r>
  <r>
    <n v="54"/>
    <x v="2"/>
    <s v="female"/>
    <n v="32.68"/>
    <n v="0"/>
    <x v="1"/>
    <x v="3"/>
    <n v="10923.933199999999"/>
    <n v="10923.933199999999"/>
    <x v="1"/>
    <n v="0.56999999999999995"/>
    <x v="1"/>
    <s v="Standard"/>
    <s v="Tier 2"/>
    <x v="4"/>
  </r>
  <r>
    <n v="27"/>
    <x v="1"/>
    <s v="male"/>
    <n v="30.5"/>
    <n v="0"/>
    <x v="1"/>
    <x v="0"/>
    <n v="2494.0219999999999"/>
    <n v="2494.0219999999999"/>
    <x v="1"/>
    <n v="0.11"/>
    <x v="1"/>
    <s v="Standard"/>
    <s v="Tier 3"/>
    <x v="4"/>
  </r>
  <r>
    <n v="50"/>
    <x v="2"/>
    <s v="male"/>
    <n v="44.77"/>
    <n v="1"/>
    <x v="1"/>
    <x v="1"/>
    <n v="9058.7302999999993"/>
    <n v="4529.3651499999996"/>
    <x v="1"/>
    <n v="0.48499999999999999"/>
    <x v="1"/>
    <s v="Standard"/>
    <s v="Tier 1"/>
    <x v="1"/>
  </r>
  <r>
    <n v="18"/>
    <x v="0"/>
    <s v="female"/>
    <n v="32.119999999999997"/>
    <n v="2"/>
    <x v="1"/>
    <x v="1"/>
    <n v="2801.2588000000001"/>
    <n v="933.75293333333332"/>
    <x v="1"/>
    <n v="0.13200000000000001"/>
    <x v="1"/>
    <s v="Standard"/>
    <s v="Tier 1"/>
    <x v="1"/>
  </r>
  <r>
    <n v="19"/>
    <x v="0"/>
    <s v="female"/>
    <n v="30.495000000000001"/>
    <n v="0"/>
    <x v="1"/>
    <x v="2"/>
    <n v="2128.4310500000001"/>
    <n v="2128.4310500000001"/>
    <x v="1"/>
    <n v="7.5999999999999998E-2"/>
    <x v="1"/>
    <s v="Standard"/>
    <s v="Tier 4"/>
    <x v="4"/>
  </r>
  <r>
    <n v="38"/>
    <x v="3"/>
    <s v="female"/>
    <n v="40.564999999999998"/>
    <n v="1"/>
    <x v="1"/>
    <x v="2"/>
    <n v="6373.55735"/>
    <n v="3186.778675"/>
    <x v="1"/>
    <n v="0.34100000000000003"/>
    <x v="1"/>
    <s v="Standard"/>
    <s v="Tier 4"/>
    <x v="4"/>
  </r>
  <r>
    <n v="41"/>
    <x v="3"/>
    <s v="male"/>
    <n v="30.59"/>
    <n v="2"/>
    <x v="1"/>
    <x v="2"/>
    <n v="7256.7231000000002"/>
    <n v="2418.9077000000002"/>
    <x v="1"/>
    <n v="0.39100000000000001"/>
    <x v="1"/>
    <s v="Standard"/>
    <s v="Tier 4"/>
    <x v="4"/>
  </r>
  <r>
    <n v="49"/>
    <x v="2"/>
    <s v="female"/>
    <n v="31.9"/>
    <n v="5"/>
    <x v="1"/>
    <x v="0"/>
    <n v="11552.904"/>
    <n v="1925.4840000000002"/>
    <x v="1"/>
    <n v="0.60799999999999998"/>
    <x v="1"/>
    <s v="Standard"/>
    <s v="Tier 3"/>
    <x v="4"/>
  </r>
  <r>
    <n v="48"/>
    <x v="2"/>
    <s v="male"/>
    <n v="40.564999999999998"/>
    <n v="2"/>
    <x v="0"/>
    <x v="2"/>
    <n v="45702.022349999999"/>
    <n v="15234.007449999999"/>
    <x v="0"/>
    <n v="0.97299999999999998"/>
    <x v="1"/>
    <s v="High Risk"/>
    <s v="Tier 4"/>
    <x v="5"/>
  </r>
  <r>
    <n v="31"/>
    <x v="1"/>
    <s v="female"/>
    <n v="29.1"/>
    <n v="0"/>
    <x v="1"/>
    <x v="0"/>
    <n v="3761.2919999999999"/>
    <n v="3761.2919999999999"/>
    <x v="1"/>
    <n v="0.186"/>
    <x v="0"/>
    <s v="Standard"/>
    <s v="Tier 3"/>
    <x v="3"/>
  </r>
  <r>
    <n v="18"/>
    <x v="0"/>
    <s v="female"/>
    <n v="37.29"/>
    <n v="1"/>
    <x v="1"/>
    <x v="1"/>
    <n v="2219.4450999999999"/>
    <n v="1109.72255"/>
    <x v="1"/>
    <n v="9.1999999999999998E-2"/>
    <x v="1"/>
    <s v="Standard"/>
    <s v="Tier 1"/>
    <x v="1"/>
  </r>
  <r>
    <n v="30"/>
    <x v="1"/>
    <s v="female"/>
    <n v="43.12"/>
    <n v="2"/>
    <x v="1"/>
    <x v="1"/>
    <n v="4753.6368000000002"/>
    <n v="1584.5456000000001"/>
    <x v="1"/>
    <n v="0.252"/>
    <x v="1"/>
    <s v="Standard"/>
    <s v="Tier 1"/>
    <x v="1"/>
  </r>
  <r>
    <n v="62"/>
    <x v="4"/>
    <s v="female"/>
    <n v="36.86"/>
    <n v="1"/>
    <x v="1"/>
    <x v="3"/>
    <n v="31620.001059999999"/>
    <n v="15810.000529999999"/>
    <x v="0"/>
    <n v="0.88400000000000001"/>
    <x v="1"/>
    <s v="Standard"/>
    <s v="Tier 2"/>
    <x v="4"/>
  </r>
  <r>
    <n v="57"/>
    <x v="4"/>
    <s v="female"/>
    <n v="34.295000000000002"/>
    <n v="2"/>
    <x v="1"/>
    <x v="3"/>
    <n v="13224.057049999999"/>
    <n v="4408.0190166666662"/>
    <x v="1"/>
    <n v="0.68400000000000005"/>
    <x v="1"/>
    <s v="Standard"/>
    <s v="Tier 2"/>
    <x v="4"/>
  </r>
  <r>
    <n v="58"/>
    <x v="4"/>
    <s v="female"/>
    <n v="27.17"/>
    <n v="0"/>
    <x v="1"/>
    <x v="2"/>
    <n v="12222.898300000001"/>
    <n v="12222.898300000001"/>
    <x v="1"/>
    <n v="0.64"/>
    <x v="0"/>
    <s v="Standard"/>
    <s v="Tier 4"/>
    <x v="3"/>
  </r>
  <r>
    <n v="22"/>
    <x v="0"/>
    <s v="male"/>
    <n v="26.84"/>
    <n v="0"/>
    <x v="1"/>
    <x v="1"/>
    <n v="1664.9996000000001"/>
    <n v="1664.9996000000001"/>
    <x v="1"/>
    <n v="3.2000000000000001E-2"/>
    <x v="0"/>
    <s v="Standard"/>
    <s v="Tier 1"/>
    <x v="4"/>
  </r>
  <r>
    <n v="31"/>
    <x v="1"/>
    <s v="female"/>
    <n v="38.094999999999999"/>
    <n v="1"/>
    <x v="0"/>
    <x v="3"/>
    <n v="58571.074480000003"/>
    <n v="29285.537240000001"/>
    <x v="0"/>
    <n v="0.997"/>
    <x v="1"/>
    <s v="High Risk"/>
    <s v="Tier 2"/>
    <x v="5"/>
  </r>
  <r>
    <n v="52"/>
    <x v="2"/>
    <s v="male"/>
    <n v="30.2"/>
    <n v="1"/>
    <x v="1"/>
    <x v="0"/>
    <n v="9724.5300000000007"/>
    <n v="4862.2650000000003"/>
    <x v="1"/>
    <n v="0.51800000000000002"/>
    <x v="1"/>
    <s v="Standard"/>
    <s v="Tier 3"/>
    <x v="4"/>
  </r>
  <r>
    <n v="25"/>
    <x v="0"/>
    <s v="female"/>
    <n v="23.465"/>
    <n v="0"/>
    <x v="1"/>
    <x v="3"/>
    <n v="3206.4913499999998"/>
    <n v="3206.4913499999998"/>
    <x v="1"/>
    <n v="0.154"/>
    <x v="2"/>
    <s v="Standard"/>
    <s v="Tier 2"/>
    <x v="2"/>
  </r>
  <r>
    <n v="59"/>
    <x v="4"/>
    <s v="male"/>
    <n v="25.46"/>
    <n v="1"/>
    <x v="1"/>
    <x v="3"/>
    <n v="12913.992399999999"/>
    <n v="6456.9961999999996"/>
    <x v="1"/>
    <n v="0.66800000000000004"/>
    <x v="0"/>
    <s v="Standard"/>
    <s v="Tier 2"/>
    <x v="3"/>
  </r>
  <r>
    <n v="19"/>
    <x v="0"/>
    <s v="male"/>
    <n v="30.59"/>
    <n v="0"/>
    <x v="1"/>
    <x v="2"/>
    <n v="1639.5631000000001"/>
    <n v="1639.5631000000001"/>
    <x v="1"/>
    <n v="0.03"/>
    <x v="1"/>
    <s v="Standard"/>
    <s v="Tier 4"/>
    <x v="4"/>
  </r>
  <r>
    <n v="39"/>
    <x v="3"/>
    <s v="male"/>
    <n v="45.43"/>
    <n v="2"/>
    <x v="1"/>
    <x v="1"/>
    <n v="6356.2707"/>
    <n v="2118.7568999999999"/>
    <x v="1"/>
    <n v="0.33800000000000002"/>
    <x v="1"/>
    <s v="Standard"/>
    <s v="Tier 1"/>
    <x v="1"/>
  </r>
  <r>
    <n v="32"/>
    <x v="1"/>
    <s v="female"/>
    <n v="23.65"/>
    <n v="1"/>
    <x v="1"/>
    <x v="1"/>
    <n v="17626.239509999999"/>
    <n v="8813.1197549999997"/>
    <x v="0"/>
    <n v="0.76100000000000001"/>
    <x v="2"/>
    <s v="Standard"/>
    <s v="Tier 1"/>
    <x v="3"/>
  </r>
  <r>
    <n v="19"/>
    <x v="0"/>
    <s v="male"/>
    <n v="20.7"/>
    <n v="0"/>
    <x v="1"/>
    <x v="0"/>
    <n v="1242.816"/>
    <n v="1242.816"/>
    <x v="1"/>
    <n v="8.0000000000000002E-3"/>
    <x v="2"/>
    <s v="Standard"/>
    <s v="Tier 3"/>
    <x v="2"/>
  </r>
  <r>
    <n v="33"/>
    <x v="1"/>
    <s v="female"/>
    <n v="28.27"/>
    <n v="1"/>
    <x v="1"/>
    <x v="1"/>
    <n v="4779.6022999999996"/>
    <n v="2389.8011499999998"/>
    <x v="1"/>
    <n v="0.255"/>
    <x v="0"/>
    <s v="Standard"/>
    <s v="Tier 1"/>
    <x v="4"/>
  </r>
  <r>
    <n v="21"/>
    <x v="0"/>
    <s v="male"/>
    <n v="20.234999999999999"/>
    <n v="3"/>
    <x v="1"/>
    <x v="3"/>
    <n v="3861.2096499999998"/>
    <n v="965.30241249999995"/>
    <x v="1"/>
    <n v="0.189"/>
    <x v="2"/>
    <s v="Standard"/>
    <s v="Tier 2"/>
    <x v="2"/>
  </r>
  <r>
    <n v="34"/>
    <x v="1"/>
    <s v="female"/>
    <n v="30.21"/>
    <n v="1"/>
    <x v="0"/>
    <x v="2"/>
    <n v="43943.876100000001"/>
    <n v="21971.938050000001"/>
    <x v="0"/>
    <n v="0.96599999999999997"/>
    <x v="1"/>
    <s v="High Risk"/>
    <s v="Tier 4"/>
    <x v="5"/>
  </r>
  <r>
    <n v="61"/>
    <x v="4"/>
    <s v="female"/>
    <n v="35.909999999999997"/>
    <n v="0"/>
    <x v="1"/>
    <x v="3"/>
    <n v="13635.6379"/>
    <n v="13635.6379"/>
    <x v="0"/>
    <n v="0.69699999999999995"/>
    <x v="1"/>
    <s v="Standard"/>
    <s v="Tier 2"/>
    <x v="4"/>
  </r>
  <r>
    <n v="38"/>
    <x v="3"/>
    <s v="female"/>
    <n v="30.69"/>
    <n v="1"/>
    <x v="1"/>
    <x v="1"/>
    <n v="5976.8311000000003"/>
    <n v="2988.4155500000002"/>
    <x v="1"/>
    <n v="0.318"/>
    <x v="1"/>
    <s v="Standard"/>
    <s v="Tier 1"/>
    <x v="1"/>
  </r>
  <r>
    <n v="58"/>
    <x v="4"/>
    <s v="female"/>
    <n v="29"/>
    <n v="0"/>
    <x v="1"/>
    <x v="0"/>
    <n v="11842.441999999999"/>
    <n v="11842.441999999999"/>
    <x v="1"/>
    <n v="0.622"/>
    <x v="0"/>
    <s v="Standard"/>
    <s v="Tier 3"/>
    <x v="3"/>
  </r>
  <r>
    <n v="47"/>
    <x v="2"/>
    <s v="male"/>
    <n v="19.57"/>
    <n v="1"/>
    <x v="1"/>
    <x v="2"/>
    <n v="8428.0692999999992"/>
    <n v="4214.0346499999996"/>
    <x v="1"/>
    <n v="0.44900000000000001"/>
    <x v="2"/>
    <s v="Standard"/>
    <s v="Tier 4"/>
    <x v="2"/>
  </r>
  <r>
    <n v="20"/>
    <x v="0"/>
    <s v="male"/>
    <n v="31.13"/>
    <n v="2"/>
    <x v="1"/>
    <x v="1"/>
    <n v="2566.4706999999999"/>
    <n v="855.49023333333332"/>
    <x v="1"/>
    <n v="0.115"/>
    <x v="1"/>
    <s v="Standard"/>
    <s v="Tier 1"/>
    <x v="1"/>
  </r>
  <r>
    <n v="21"/>
    <x v="0"/>
    <s v="female"/>
    <n v="21.85"/>
    <n v="1"/>
    <x v="0"/>
    <x v="3"/>
    <n v="15359.104499999999"/>
    <n v="7679.5522499999997"/>
    <x v="0"/>
    <n v="0.73599999999999999"/>
    <x v="2"/>
    <s v="High Risk"/>
    <s v="Tier 2"/>
    <x v="1"/>
  </r>
  <r>
    <n v="41"/>
    <x v="3"/>
    <s v="male"/>
    <n v="40.26"/>
    <n v="0"/>
    <x v="1"/>
    <x v="1"/>
    <n v="5709.1643999999997"/>
    <n v="5709.1643999999997"/>
    <x v="1"/>
    <n v="0.308"/>
    <x v="1"/>
    <s v="Standard"/>
    <s v="Tier 1"/>
    <x v="1"/>
  </r>
  <r>
    <n v="46"/>
    <x v="2"/>
    <s v="female"/>
    <n v="33.725000000000001"/>
    <n v="1"/>
    <x v="1"/>
    <x v="3"/>
    <n v="8823.9857499999998"/>
    <n v="4411.9928749999999"/>
    <x v="1"/>
    <n v="0.47399999999999998"/>
    <x v="1"/>
    <s v="Standard"/>
    <s v="Tier 2"/>
    <x v="4"/>
  </r>
  <r>
    <n v="42"/>
    <x v="3"/>
    <s v="female"/>
    <n v="29.48"/>
    <n v="2"/>
    <x v="1"/>
    <x v="1"/>
    <n v="7640.3091999999997"/>
    <n v="2546.7697333333331"/>
    <x v="1"/>
    <n v="0.41299999999999998"/>
    <x v="0"/>
    <s v="Standard"/>
    <s v="Tier 1"/>
    <x v="4"/>
  </r>
  <r>
    <n v="34"/>
    <x v="1"/>
    <s v="female"/>
    <n v="33.25"/>
    <n v="1"/>
    <x v="1"/>
    <x v="3"/>
    <n v="5594.8455000000004"/>
    <n v="2797.4227500000002"/>
    <x v="1"/>
    <n v="0.30199999999999999"/>
    <x v="1"/>
    <s v="Standard"/>
    <s v="Tier 2"/>
    <x v="4"/>
  </r>
  <r>
    <n v="43"/>
    <x v="3"/>
    <s v="male"/>
    <n v="32.6"/>
    <n v="2"/>
    <x v="1"/>
    <x v="0"/>
    <n v="7441.5010000000002"/>
    <n v="2480.5003333333334"/>
    <x v="1"/>
    <n v="0.40300000000000002"/>
    <x v="1"/>
    <s v="Standard"/>
    <s v="Tier 3"/>
    <x v="4"/>
  </r>
  <r>
    <n v="52"/>
    <x v="2"/>
    <s v="female"/>
    <n v="37.524999999999999"/>
    <n v="2"/>
    <x v="1"/>
    <x v="2"/>
    <n v="33471.971890000001"/>
    <n v="11157.323963333334"/>
    <x v="0"/>
    <n v="0.88800000000000001"/>
    <x v="1"/>
    <s v="Standard"/>
    <s v="Tier 4"/>
    <x v="4"/>
  </r>
  <r>
    <n v="18"/>
    <x v="0"/>
    <s v="female"/>
    <n v="39.159999999999997"/>
    <n v="0"/>
    <x v="1"/>
    <x v="1"/>
    <n v="1633.0444"/>
    <n v="1633.0444"/>
    <x v="1"/>
    <n v="2.7E-2"/>
    <x v="1"/>
    <s v="Standard"/>
    <s v="Tier 1"/>
    <x v="1"/>
  </r>
  <r>
    <n v="51"/>
    <x v="2"/>
    <s v="male"/>
    <n v="31.635000000000002"/>
    <n v="0"/>
    <x v="1"/>
    <x v="2"/>
    <n v="9174.1356500000002"/>
    <n v="9174.1356500000002"/>
    <x v="1"/>
    <n v="0.48899999999999999"/>
    <x v="1"/>
    <s v="Standard"/>
    <s v="Tier 4"/>
    <x v="4"/>
  </r>
  <r>
    <n v="56"/>
    <x v="4"/>
    <s v="female"/>
    <n v="25.3"/>
    <n v="0"/>
    <x v="1"/>
    <x v="0"/>
    <n v="11070.535"/>
    <n v="11070.535"/>
    <x v="1"/>
    <n v="0.57899999999999996"/>
    <x v="0"/>
    <s v="Standard"/>
    <s v="Tier 3"/>
    <x v="3"/>
  </r>
  <r>
    <n v="64"/>
    <x v="4"/>
    <s v="female"/>
    <n v="39.049999999999997"/>
    <n v="3"/>
    <x v="1"/>
    <x v="1"/>
    <n v="16085.127500000001"/>
    <n v="4021.2818750000001"/>
    <x v="0"/>
    <n v="0.74199999999999999"/>
    <x v="1"/>
    <s v="Standard"/>
    <s v="Tier 1"/>
    <x v="1"/>
  </r>
  <r>
    <n v="19"/>
    <x v="0"/>
    <s v="female"/>
    <n v="28.31"/>
    <n v="0"/>
    <x v="0"/>
    <x v="2"/>
    <n v="17468.983899999999"/>
    <n v="17468.983899999999"/>
    <x v="0"/>
    <n v="0.75900000000000001"/>
    <x v="0"/>
    <s v="High Risk"/>
    <s v="Tier 4"/>
    <x v="0"/>
  </r>
  <r>
    <n v="51"/>
    <x v="2"/>
    <s v="female"/>
    <n v="34.1"/>
    <n v="0"/>
    <x v="1"/>
    <x v="1"/>
    <n v="9283.5619999999999"/>
    <n v="9283.5619999999999"/>
    <x v="1"/>
    <n v="0.495"/>
    <x v="1"/>
    <s v="Standard"/>
    <s v="Tier 1"/>
    <x v="1"/>
  </r>
  <r>
    <n v="27"/>
    <x v="1"/>
    <s v="female"/>
    <n v="25.175000000000001"/>
    <n v="0"/>
    <x v="1"/>
    <x v="3"/>
    <n v="3558.6202499999999"/>
    <n v="3558.6202499999999"/>
    <x v="1"/>
    <n v="0.17499999999999999"/>
    <x v="0"/>
    <s v="Standard"/>
    <s v="Tier 2"/>
    <x v="3"/>
  </r>
  <r>
    <n v="59"/>
    <x v="4"/>
    <s v="female"/>
    <n v="23.655000000000001"/>
    <n v="0"/>
    <x v="0"/>
    <x v="2"/>
    <n v="25678.778450000002"/>
    <n v="25678.778450000002"/>
    <x v="0"/>
    <n v="0.85399999999999998"/>
    <x v="2"/>
    <s v="High Risk"/>
    <s v="Tier 4"/>
    <x v="1"/>
  </r>
  <r>
    <n v="28"/>
    <x v="1"/>
    <s v="male"/>
    <n v="26.98"/>
    <n v="2"/>
    <x v="1"/>
    <x v="3"/>
    <n v="4435.0941999999995"/>
    <n v="1478.3647333333331"/>
    <x v="1"/>
    <n v="0.22700000000000001"/>
    <x v="0"/>
    <s v="Standard"/>
    <s v="Tier 2"/>
    <x v="3"/>
  </r>
  <r>
    <n v="30"/>
    <x v="1"/>
    <s v="male"/>
    <n v="37.799999999999997"/>
    <n v="2"/>
    <x v="0"/>
    <x v="0"/>
    <n v="39241.442000000003"/>
    <n v="13080.480666666668"/>
    <x v="0"/>
    <n v="0.93300000000000005"/>
    <x v="1"/>
    <s v="High Risk"/>
    <s v="Tier 3"/>
    <x v="5"/>
  </r>
  <r>
    <n v="47"/>
    <x v="2"/>
    <s v="female"/>
    <n v="29.37"/>
    <n v="1"/>
    <x v="1"/>
    <x v="1"/>
    <n v="8547.6913000000004"/>
    <n v="4273.8456500000002"/>
    <x v="1"/>
    <n v="0.45800000000000002"/>
    <x v="0"/>
    <s v="Standard"/>
    <s v="Tier 1"/>
    <x v="4"/>
  </r>
  <r>
    <n v="38"/>
    <x v="3"/>
    <s v="female"/>
    <n v="34.799999999999997"/>
    <n v="2"/>
    <x v="1"/>
    <x v="0"/>
    <n v="6571.5439999999999"/>
    <n v="2190.5146666666665"/>
    <x v="1"/>
    <n v="0.35299999999999998"/>
    <x v="1"/>
    <s v="Standard"/>
    <s v="Tier 3"/>
    <x v="4"/>
  </r>
  <r>
    <n v="18"/>
    <x v="0"/>
    <s v="female"/>
    <n v="33.155000000000001"/>
    <n v="0"/>
    <x v="1"/>
    <x v="3"/>
    <n v="2207.6974500000001"/>
    <n v="2207.6974500000001"/>
    <x v="1"/>
    <n v="8.8999999999999996E-2"/>
    <x v="1"/>
    <s v="Standard"/>
    <s v="Tier 2"/>
    <x v="4"/>
  </r>
  <r>
    <n v="34"/>
    <x v="1"/>
    <s v="female"/>
    <n v="19"/>
    <n v="3"/>
    <x v="1"/>
    <x v="3"/>
    <n v="6753.0379999999996"/>
    <n v="1688.2594999999999"/>
    <x v="1"/>
    <n v="0.36299999999999999"/>
    <x v="2"/>
    <s v="Standard"/>
    <s v="Tier 2"/>
    <x v="2"/>
  </r>
  <r>
    <n v="20"/>
    <x v="0"/>
    <s v="female"/>
    <n v="33"/>
    <n v="0"/>
    <x v="1"/>
    <x v="1"/>
    <n v="1880.07"/>
    <n v="1880.07"/>
    <x v="1"/>
    <n v="5.8000000000000003E-2"/>
    <x v="1"/>
    <s v="Standard"/>
    <s v="Tier 1"/>
    <x v="1"/>
  </r>
  <r>
    <n v="47"/>
    <x v="2"/>
    <s v="female"/>
    <n v="36.630000000000003"/>
    <n v="1"/>
    <x v="0"/>
    <x v="1"/>
    <n v="42969.852700000003"/>
    <n v="21484.926350000002"/>
    <x v="0"/>
    <n v="0.96"/>
    <x v="1"/>
    <s v="High Risk"/>
    <s v="Tier 1"/>
    <x v="6"/>
  </r>
  <r>
    <n v="56"/>
    <x v="4"/>
    <s v="female"/>
    <n v="28.594999999999999"/>
    <n v="0"/>
    <x v="1"/>
    <x v="3"/>
    <n v="11658.11505"/>
    <n v="11658.11505"/>
    <x v="1"/>
    <n v="0.61099999999999999"/>
    <x v="0"/>
    <s v="Standard"/>
    <s v="Tier 2"/>
    <x v="3"/>
  </r>
  <r>
    <n v="49"/>
    <x v="2"/>
    <s v="male"/>
    <n v="25.6"/>
    <n v="2"/>
    <x v="0"/>
    <x v="0"/>
    <n v="23306.546999999999"/>
    <n v="7768.8489999999993"/>
    <x v="0"/>
    <n v="0.83299999999999996"/>
    <x v="0"/>
    <s v="High Risk"/>
    <s v="Tier 3"/>
    <x v="0"/>
  </r>
  <r>
    <n v="19"/>
    <x v="0"/>
    <s v="female"/>
    <n v="33.11"/>
    <n v="0"/>
    <x v="0"/>
    <x v="1"/>
    <n v="34439.855900000002"/>
    <n v="34439.855900000002"/>
    <x v="0"/>
    <n v="0.89500000000000002"/>
    <x v="1"/>
    <s v="High Risk"/>
    <s v="Tier 1"/>
    <x v="6"/>
  </r>
  <r>
    <n v="55"/>
    <x v="2"/>
    <s v="female"/>
    <n v="37.1"/>
    <n v="0"/>
    <x v="1"/>
    <x v="0"/>
    <n v="10713.644"/>
    <n v="10713.644"/>
    <x v="1"/>
    <n v="0.56299999999999994"/>
    <x v="1"/>
    <s v="Standard"/>
    <s v="Tier 3"/>
    <x v="4"/>
  </r>
  <r>
    <n v="30"/>
    <x v="1"/>
    <s v="male"/>
    <n v="31.4"/>
    <n v="1"/>
    <x v="1"/>
    <x v="0"/>
    <n v="3659.346"/>
    <n v="1829.673"/>
    <x v="1"/>
    <n v="0.18099999999999999"/>
    <x v="1"/>
    <s v="Standard"/>
    <s v="Tier 3"/>
    <x v="4"/>
  </r>
  <r>
    <n v="37"/>
    <x v="3"/>
    <s v="male"/>
    <n v="34.1"/>
    <n v="4"/>
    <x v="0"/>
    <x v="0"/>
    <n v="40182.245999999999"/>
    <n v="8036.4492"/>
    <x v="0"/>
    <n v="0.94299999999999995"/>
    <x v="1"/>
    <s v="High Risk"/>
    <s v="Tier 3"/>
    <x v="5"/>
  </r>
  <r>
    <n v="49"/>
    <x v="2"/>
    <s v="female"/>
    <n v="21.3"/>
    <n v="1"/>
    <x v="1"/>
    <x v="0"/>
    <n v="9182.17"/>
    <n v="4591.085"/>
    <x v="1"/>
    <n v="0.48899999999999999"/>
    <x v="2"/>
    <s v="Standard"/>
    <s v="Tier 3"/>
    <x v="2"/>
  </r>
  <r>
    <n v="18"/>
    <x v="0"/>
    <s v="male"/>
    <n v="33.534999999999997"/>
    <n v="0"/>
    <x v="0"/>
    <x v="3"/>
    <n v="34617.840649999998"/>
    <n v="34617.840649999998"/>
    <x v="0"/>
    <n v="0.89600000000000002"/>
    <x v="1"/>
    <s v="High Risk"/>
    <s v="Tier 2"/>
    <x v="5"/>
  </r>
  <r>
    <n v="59"/>
    <x v="4"/>
    <s v="male"/>
    <n v="28.785"/>
    <n v="0"/>
    <x v="1"/>
    <x v="2"/>
    <n v="12129.614149999999"/>
    <n v="12129.614149999999"/>
    <x v="1"/>
    <n v="0.63700000000000001"/>
    <x v="0"/>
    <s v="Standard"/>
    <s v="Tier 4"/>
    <x v="3"/>
  </r>
  <r>
    <n v="29"/>
    <x v="1"/>
    <s v="female"/>
    <n v="26.03"/>
    <n v="0"/>
    <x v="1"/>
    <x v="2"/>
    <n v="3736.4647"/>
    <n v="3736.4647"/>
    <x v="1"/>
    <n v="0.184"/>
    <x v="0"/>
    <s v="Standard"/>
    <s v="Tier 4"/>
    <x v="3"/>
  </r>
  <r>
    <n v="36"/>
    <x v="3"/>
    <s v="male"/>
    <n v="28.88"/>
    <n v="3"/>
    <x v="1"/>
    <x v="3"/>
    <n v="6748.5911999999998"/>
    <n v="1687.1478"/>
    <x v="1"/>
    <n v="0.36199999999999999"/>
    <x v="0"/>
    <s v="Standard"/>
    <s v="Tier 2"/>
    <x v="3"/>
  </r>
  <r>
    <n v="33"/>
    <x v="1"/>
    <s v="male"/>
    <n v="42.46"/>
    <n v="1"/>
    <x v="1"/>
    <x v="1"/>
    <n v="11326.71487"/>
    <n v="5663.3574349999999"/>
    <x v="1"/>
    <n v="0.59299999999999997"/>
    <x v="1"/>
    <s v="Standard"/>
    <s v="Tier 1"/>
    <x v="1"/>
  </r>
  <r>
    <n v="58"/>
    <x v="4"/>
    <s v="male"/>
    <n v="38"/>
    <n v="0"/>
    <x v="1"/>
    <x v="0"/>
    <n v="11365.951999999999"/>
    <n v="11365.951999999999"/>
    <x v="1"/>
    <n v="0.59699999999999998"/>
    <x v="1"/>
    <s v="Standard"/>
    <s v="Tier 3"/>
    <x v="4"/>
  </r>
  <r>
    <n v="44"/>
    <x v="3"/>
    <s v="female"/>
    <n v="38.950000000000003"/>
    <n v="0"/>
    <x v="0"/>
    <x v="2"/>
    <n v="42983.458500000001"/>
    <n v="42983.458500000001"/>
    <x v="0"/>
    <n v="0.96099999999999997"/>
    <x v="1"/>
    <s v="High Risk"/>
    <s v="Tier 4"/>
    <x v="5"/>
  </r>
  <r>
    <n v="53"/>
    <x v="2"/>
    <s v="male"/>
    <n v="36.1"/>
    <n v="1"/>
    <x v="1"/>
    <x v="0"/>
    <n v="10085.846"/>
    <n v="5042.9229999999998"/>
    <x v="1"/>
    <n v="0.53400000000000003"/>
    <x v="1"/>
    <s v="Standard"/>
    <s v="Tier 3"/>
    <x v="4"/>
  </r>
  <r>
    <n v="24"/>
    <x v="0"/>
    <s v="male"/>
    <n v="29.3"/>
    <n v="0"/>
    <x v="1"/>
    <x v="0"/>
    <n v="1977.8150000000001"/>
    <n v="1977.8150000000001"/>
    <x v="1"/>
    <n v="6.5000000000000002E-2"/>
    <x v="0"/>
    <s v="Standard"/>
    <s v="Tier 3"/>
    <x v="3"/>
  </r>
  <r>
    <n v="29"/>
    <x v="1"/>
    <s v="female"/>
    <n v="35.53"/>
    <n v="0"/>
    <x v="1"/>
    <x v="1"/>
    <n v="3366.6696999999999"/>
    <n v="3366.6696999999999"/>
    <x v="1"/>
    <n v="0.16300000000000001"/>
    <x v="1"/>
    <s v="Standard"/>
    <s v="Tier 1"/>
    <x v="1"/>
  </r>
  <r>
    <n v="40"/>
    <x v="3"/>
    <s v="male"/>
    <n v="22.704999999999998"/>
    <n v="2"/>
    <x v="1"/>
    <x v="3"/>
    <n v="7173.35995"/>
    <n v="2391.1199833333335"/>
    <x v="1"/>
    <n v="0.38600000000000001"/>
    <x v="2"/>
    <s v="Standard"/>
    <s v="Tier 2"/>
    <x v="2"/>
  </r>
  <r>
    <n v="51"/>
    <x v="2"/>
    <s v="male"/>
    <n v="39.700000000000003"/>
    <n v="1"/>
    <x v="1"/>
    <x v="0"/>
    <n v="9391.3459999999995"/>
    <n v="4695.6729999999998"/>
    <x v="1"/>
    <n v="0.501"/>
    <x v="1"/>
    <s v="Standard"/>
    <s v="Tier 3"/>
    <x v="4"/>
  </r>
  <r>
    <n v="64"/>
    <x v="4"/>
    <s v="male"/>
    <n v="38.19"/>
    <n v="0"/>
    <x v="1"/>
    <x v="3"/>
    <n v="14410.9321"/>
    <n v="14410.9321"/>
    <x v="0"/>
    <n v="0.72199999999999998"/>
    <x v="1"/>
    <s v="Standard"/>
    <s v="Tier 2"/>
    <x v="4"/>
  </r>
  <r>
    <n v="19"/>
    <x v="0"/>
    <s v="female"/>
    <n v="24.51"/>
    <n v="1"/>
    <x v="1"/>
    <x v="2"/>
    <n v="2709.1118999999999"/>
    <n v="1354.5559499999999"/>
    <x v="1"/>
    <n v="0.123"/>
    <x v="2"/>
    <s v="Standard"/>
    <s v="Tier 4"/>
    <x v="2"/>
  </r>
  <r>
    <n v="35"/>
    <x v="1"/>
    <s v="female"/>
    <n v="38.094999999999999"/>
    <n v="2"/>
    <x v="1"/>
    <x v="3"/>
    <n v="24915.046259999999"/>
    <n v="8305.0154199999997"/>
    <x v="0"/>
    <n v="0.84799999999999998"/>
    <x v="1"/>
    <s v="Standard"/>
    <s v="Tier 2"/>
    <x v="4"/>
  </r>
  <r>
    <n v="39"/>
    <x v="3"/>
    <s v="male"/>
    <n v="26.41"/>
    <n v="0"/>
    <x v="0"/>
    <x v="3"/>
    <n v="20149.322899999999"/>
    <n v="20149.322899999999"/>
    <x v="0"/>
    <n v="0.79700000000000004"/>
    <x v="0"/>
    <s v="High Risk"/>
    <s v="Tier 2"/>
    <x v="0"/>
  </r>
  <r>
    <n v="56"/>
    <x v="4"/>
    <s v="male"/>
    <n v="33.659999999999997"/>
    <n v="4"/>
    <x v="1"/>
    <x v="1"/>
    <n v="12949.1554"/>
    <n v="2589.8310799999999"/>
    <x v="1"/>
    <n v="0.67"/>
    <x v="1"/>
    <s v="Standard"/>
    <s v="Tier 1"/>
    <x v="1"/>
  </r>
  <r>
    <n v="33"/>
    <x v="1"/>
    <s v="male"/>
    <n v="42.4"/>
    <n v="5"/>
    <x v="1"/>
    <x v="0"/>
    <n v="6666.2430000000004"/>
    <n v="1111.0405000000001"/>
    <x v="1"/>
    <n v="0.35899999999999999"/>
    <x v="1"/>
    <s v="Standard"/>
    <s v="Tier 3"/>
    <x v="4"/>
  </r>
  <r>
    <n v="42"/>
    <x v="3"/>
    <s v="male"/>
    <n v="28.31"/>
    <n v="3"/>
    <x v="0"/>
    <x v="2"/>
    <n v="32787.458590000002"/>
    <n v="8196.8646475000005"/>
    <x v="0"/>
    <n v="0.88700000000000001"/>
    <x v="0"/>
    <s v="High Risk"/>
    <s v="Tier 4"/>
    <x v="0"/>
  </r>
  <r>
    <n v="61"/>
    <x v="4"/>
    <s v="male"/>
    <n v="33.914999999999999"/>
    <n v="0"/>
    <x v="1"/>
    <x v="3"/>
    <n v="13143.86485"/>
    <n v="13143.86485"/>
    <x v="1"/>
    <n v="0.68200000000000005"/>
    <x v="1"/>
    <s v="Standard"/>
    <s v="Tier 2"/>
    <x v="4"/>
  </r>
  <r>
    <n v="23"/>
    <x v="0"/>
    <s v="female"/>
    <n v="34.96"/>
    <n v="3"/>
    <x v="1"/>
    <x v="2"/>
    <n v="4466.6214"/>
    <n v="1116.65535"/>
    <x v="1"/>
    <n v="0.23200000000000001"/>
    <x v="1"/>
    <s v="Standard"/>
    <s v="Tier 4"/>
    <x v="4"/>
  </r>
  <r>
    <n v="43"/>
    <x v="3"/>
    <s v="male"/>
    <n v="35.31"/>
    <n v="2"/>
    <x v="1"/>
    <x v="1"/>
    <n v="18806.145469999999"/>
    <n v="6268.7151566666662"/>
    <x v="0"/>
    <n v="0.77600000000000002"/>
    <x v="1"/>
    <s v="Standard"/>
    <s v="Tier 1"/>
    <x v="1"/>
  </r>
  <r>
    <n v="48"/>
    <x v="2"/>
    <s v="male"/>
    <n v="30.78"/>
    <n v="3"/>
    <x v="1"/>
    <x v="3"/>
    <n v="10141.136200000001"/>
    <n v="2535.2840500000002"/>
    <x v="1"/>
    <n v="0.53900000000000003"/>
    <x v="1"/>
    <s v="Standard"/>
    <s v="Tier 2"/>
    <x v="4"/>
  </r>
  <r>
    <n v="39"/>
    <x v="3"/>
    <s v="male"/>
    <n v="26.22"/>
    <n v="1"/>
    <x v="1"/>
    <x v="2"/>
    <n v="6123.5688"/>
    <n v="3061.7844"/>
    <x v="1"/>
    <n v="0.32600000000000001"/>
    <x v="0"/>
    <s v="Standard"/>
    <s v="Tier 4"/>
    <x v="3"/>
  </r>
  <r>
    <n v="40"/>
    <x v="3"/>
    <s v="female"/>
    <n v="23.37"/>
    <n v="3"/>
    <x v="1"/>
    <x v="3"/>
    <n v="8252.2842999999993"/>
    <n v="2063.0710749999998"/>
    <x v="1"/>
    <n v="0.439"/>
    <x v="2"/>
    <s v="Standard"/>
    <s v="Tier 2"/>
    <x v="2"/>
  </r>
  <r>
    <n v="18"/>
    <x v="0"/>
    <s v="male"/>
    <n v="28.5"/>
    <n v="0"/>
    <x v="1"/>
    <x v="3"/>
    <n v="1712.2270000000001"/>
    <n v="1712.2270000000001"/>
    <x v="1"/>
    <n v="4.1000000000000002E-2"/>
    <x v="0"/>
    <s v="Standard"/>
    <s v="Tier 2"/>
    <x v="3"/>
  </r>
  <r>
    <n v="58"/>
    <x v="4"/>
    <s v="female"/>
    <n v="32.965000000000003"/>
    <n v="0"/>
    <x v="1"/>
    <x v="3"/>
    <n v="12430.95335"/>
    <n v="12430.95335"/>
    <x v="1"/>
    <n v="0.65"/>
    <x v="1"/>
    <s v="Standard"/>
    <s v="Tier 2"/>
    <x v="4"/>
  </r>
  <r>
    <n v="49"/>
    <x v="2"/>
    <s v="female"/>
    <n v="42.68"/>
    <n v="2"/>
    <x v="1"/>
    <x v="1"/>
    <n v="9800.8881999999994"/>
    <n v="3266.9627333333333"/>
    <x v="1"/>
    <n v="0.52100000000000002"/>
    <x v="1"/>
    <s v="Standard"/>
    <s v="Tier 1"/>
    <x v="1"/>
  </r>
  <r>
    <n v="53"/>
    <x v="2"/>
    <s v="female"/>
    <n v="39.6"/>
    <n v="1"/>
    <x v="1"/>
    <x v="1"/>
    <n v="10579.710999999999"/>
    <n v="5289.8554999999997"/>
    <x v="1"/>
    <n v="0.55600000000000005"/>
    <x v="1"/>
    <s v="Standard"/>
    <s v="Tier 1"/>
    <x v="1"/>
  </r>
  <r>
    <n v="48"/>
    <x v="2"/>
    <s v="female"/>
    <n v="31.13"/>
    <n v="0"/>
    <x v="1"/>
    <x v="1"/>
    <n v="8280.6226999999999"/>
    <n v="8280.6226999999999"/>
    <x v="1"/>
    <n v="0.442"/>
    <x v="1"/>
    <s v="Standard"/>
    <s v="Tier 1"/>
    <x v="1"/>
  </r>
  <r>
    <n v="45"/>
    <x v="3"/>
    <s v="female"/>
    <n v="36.299999999999997"/>
    <n v="2"/>
    <x v="1"/>
    <x v="1"/>
    <n v="8527.5319999999992"/>
    <n v="2842.5106666666666"/>
    <x v="1"/>
    <n v="0.45500000000000002"/>
    <x v="1"/>
    <s v="Standard"/>
    <s v="Tier 1"/>
    <x v="1"/>
  </r>
  <r>
    <n v="59"/>
    <x v="4"/>
    <s v="female"/>
    <n v="35.200000000000003"/>
    <n v="0"/>
    <x v="1"/>
    <x v="1"/>
    <n v="12244.531000000001"/>
    <n v="12244.531000000001"/>
    <x v="1"/>
    <n v="0.64300000000000002"/>
    <x v="1"/>
    <s v="Standard"/>
    <s v="Tier 1"/>
    <x v="1"/>
  </r>
  <r>
    <n v="52"/>
    <x v="2"/>
    <s v="female"/>
    <n v="25.3"/>
    <n v="2"/>
    <x v="0"/>
    <x v="1"/>
    <n v="24667.419000000002"/>
    <n v="8222.473"/>
    <x v="0"/>
    <n v="0.84499999999999997"/>
    <x v="0"/>
    <s v="High Risk"/>
    <s v="Tier 1"/>
    <x v="5"/>
  </r>
  <r>
    <n v="26"/>
    <x v="1"/>
    <s v="female"/>
    <n v="42.4"/>
    <n v="1"/>
    <x v="1"/>
    <x v="0"/>
    <n v="3410.3240000000001"/>
    <n v="1705.162"/>
    <x v="1"/>
    <n v="0.16800000000000001"/>
    <x v="1"/>
    <s v="Standard"/>
    <s v="Tier 3"/>
    <x v="4"/>
  </r>
  <r>
    <n v="27"/>
    <x v="1"/>
    <s v="male"/>
    <n v="33.155000000000001"/>
    <n v="2"/>
    <x v="1"/>
    <x v="2"/>
    <n v="4058.71245"/>
    <n v="1352.9041500000001"/>
    <x v="1"/>
    <n v="0.20399999999999999"/>
    <x v="1"/>
    <s v="Standard"/>
    <s v="Tier 4"/>
    <x v="4"/>
  </r>
  <r>
    <n v="48"/>
    <x v="2"/>
    <s v="female"/>
    <n v="35.909999999999997"/>
    <n v="1"/>
    <x v="1"/>
    <x v="3"/>
    <n v="26392.260289999998"/>
    <n v="13196.130144999999"/>
    <x v="0"/>
    <n v="0.86"/>
    <x v="1"/>
    <s v="Standard"/>
    <s v="Tier 2"/>
    <x v="4"/>
  </r>
  <r>
    <n v="57"/>
    <x v="4"/>
    <s v="female"/>
    <n v="28.785"/>
    <n v="4"/>
    <x v="1"/>
    <x v="3"/>
    <n v="14394.398150000001"/>
    <n v="2878.8796300000004"/>
    <x v="0"/>
    <n v="0.72099999999999997"/>
    <x v="0"/>
    <s v="Standard"/>
    <s v="Tier 2"/>
    <x v="3"/>
  </r>
  <r>
    <n v="37"/>
    <x v="3"/>
    <s v="male"/>
    <n v="46.53"/>
    <n v="3"/>
    <x v="1"/>
    <x v="1"/>
    <n v="6435.6237000000001"/>
    <n v="1608.905925"/>
    <x v="1"/>
    <n v="0.34499999999999997"/>
    <x v="1"/>
    <s v="Standard"/>
    <s v="Tier 1"/>
    <x v="1"/>
  </r>
  <r>
    <n v="57"/>
    <x v="4"/>
    <s v="female"/>
    <n v="23.98"/>
    <n v="1"/>
    <x v="1"/>
    <x v="1"/>
    <n v="22192.437109999999"/>
    <n v="11096.218554999999"/>
    <x v="0"/>
    <n v="0.82199999999999995"/>
    <x v="2"/>
    <s v="Standard"/>
    <s v="Tier 1"/>
    <x v="3"/>
  </r>
  <r>
    <n v="32"/>
    <x v="1"/>
    <s v="female"/>
    <n v="31.54"/>
    <n v="1"/>
    <x v="1"/>
    <x v="3"/>
    <n v="5148.5526"/>
    <n v="2574.2763"/>
    <x v="1"/>
    <n v="0.27500000000000002"/>
    <x v="1"/>
    <s v="Standard"/>
    <s v="Tier 2"/>
    <x v="4"/>
  </r>
  <r>
    <n v="18"/>
    <x v="0"/>
    <s v="male"/>
    <n v="33.659999999999997"/>
    <n v="0"/>
    <x v="1"/>
    <x v="1"/>
    <n v="1136.3994"/>
    <n v="1136.3994"/>
    <x v="1"/>
    <n v="2E-3"/>
    <x v="1"/>
    <s v="Standard"/>
    <s v="Tier 1"/>
    <x v="1"/>
  </r>
  <r>
    <n v="64"/>
    <x v="4"/>
    <s v="female"/>
    <n v="22.99"/>
    <n v="0"/>
    <x v="0"/>
    <x v="1"/>
    <n v="27037.914100000002"/>
    <n v="27037.914100000002"/>
    <x v="0"/>
    <n v="0.86299999999999999"/>
    <x v="2"/>
    <s v="High Risk"/>
    <s v="Tier 1"/>
    <x v="0"/>
  </r>
  <r>
    <n v="43"/>
    <x v="3"/>
    <s v="male"/>
    <n v="38.06"/>
    <n v="2"/>
    <x v="0"/>
    <x v="1"/>
    <n v="42560.430399999997"/>
    <n v="14186.810133333332"/>
    <x v="0"/>
    <n v="0.95799999999999996"/>
    <x v="1"/>
    <s v="High Risk"/>
    <s v="Tier 1"/>
    <x v="6"/>
  </r>
  <r>
    <n v="49"/>
    <x v="2"/>
    <s v="male"/>
    <n v="28.7"/>
    <n v="1"/>
    <x v="1"/>
    <x v="0"/>
    <n v="8703.4560000000001"/>
    <n v="4351.7280000000001"/>
    <x v="1"/>
    <n v="0.46899999999999997"/>
    <x v="0"/>
    <s v="Standard"/>
    <s v="Tier 3"/>
    <x v="3"/>
  </r>
  <r>
    <n v="40"/>
    <x v="3"/>
    <s v="female"/>
    <n v="32.774999999999999"/>
    <n v="2"/>
    <x v="0"/>
    <x v="2"/>
    <n v="40003.332249999999"/>
    <n v="13334.444083333334"/>
    <x v="0"/>
    <n v="0.94099999999999995"/>
    <x v="1"/>
    <s v="High Risk"/>
    <s v="Tier 4"/>
    <x v="5"/>
  </r>
  <r>
    <n v="62"/>
    <x v="4"/>
    <s v="male"/>
    <n v="32.015000000000001"/>
    <n v="0"/>
    <x v="0"/>
    <x v="3"/>
    <n v="45710.207849999999"/>
    <n v="45710.207849999999"/>
    <x v="0"/>
    <n v="0.97299999999999998"/>
    <x v="1"/>
    <s v="High Risk"/>
    <s v="Tier 2"/>
    <x v="5"/>
  </r>
  <r>
    <n v="40"/>
    <x v="3"/>
    <s v="female"/>
    <n v="29.81"/>
    <n v="1"/>
    <x v="1"/>
    <x v="1"/>
    <n v="6500.2358999999997"/>
    <n v="3250.1179499999998"/>
    <x v="1"/>
    <n v="0.34899999999999998"/>
    <x v="0"/>
    <s v="Standard"/>
    <s v="Tier 1"/>
    <x v="4"/>
  </r>
  <r>
    <n v="30"/>
    <x v="1"/>
    <s v="male"/>
    <n v="31.57"/>
    <n v="3"/>
    <x v="1"/>
    <x v="1"/>
    <n v="4837.5823"/>
    <n v="1209.395575"/>
    <x v="1"/>
    <n v="0.25800000000000001"/>
    <x v="1"/>
    <s v="Standard"/>
    <s v="Tier 1"/>
    <x v="1"/>
  </r>
  <r>
    <n v="29"/>
    <x v="1"/>
    <s v="female"/>
    <n v="31.16"/>
    <n v="0"/>
    <x v="1"/>
    <x v="3"/>
    <n v="3943.5954000000002"/>
    <n v="3943.5954000000002"/>
    <x v="1"/>
    <n v="0.19500000000000001"/>
    <x v="1"/>
    <s v="Standard"/>
    <s v="Tier 2"/>
    <x v="4"/>
  </r>
  <r>
    <n v="36"/>
    <x v="3"/>
    <s v="male"/>
    <n v="29.7"/>
    <n v="0"/>
    <x v="1"/>
    <x v="1"/>
    <n v="4399.7309999999998"/>
    <n v="4399.7309999999998"/>
    <x v="1"/>
    <n v="0.222"/>
    <x v="0"/>
    <s v="Standard"/>
    <s v="Tier 1"/>
    <x v="4"/>
  </r>
  <r>
    <n v="41"/>
    <x v="3"/>
    <s v="female"/>
    <n v="31.02"/>
    <n v="0"/>
    <x v="1"/>
    <x v="1"/>
    <n v="6185.3208000000004"/>
    <n v="6185.3208000000004"/>
    <x v="1"/>
    <n v="0.32800000000000001"/>
    <x v="1"/>
    <s v="Standard"/>
    <s v="Tier 1"/>
    <x v="1"/>
  </r>
  <r>
    <n v="44"/>
    <x v="3"/>
    <s v="female"/>
    <n v="43.89"/>
    <n v="2"/>
    <x v="0"/>
    <x v="1"/>
    <n v="46200.985099999998"/>
    <n v="15400.328366666667"/>
    <x v="0"/>
    <n v="0.97699999999999998"/>
    <x v="1"/>
    <s v="High Risk"/>
    <s v="Tier 1"/>
    <x v="6"/>
  </r>
  <r>
    <n v="45"/>
    <x v="3"/>
    <s v="male"/>
    <n v="21.375"/>
    <n v="0"/>
    <x v="1"/>
    <x v="2"/>
    <n v="7222.7862500000001"/>
    <n v="7222.7862500000001"/>
    <x v="1"/>
    <n v="0.38900000000000001"/>
    <x v="2"/>
    <s v="Standard"/>
    <s v="Tier 4"/>
    <x v="2"/>
  </r>
  <r>
    <n v="55"/>
    <x v="2"/>
    <s v="female"/>
    <n v="40.81"/>
    <n v="3"/>
    <x v="1"/>
    <x v="1"/>
    <n v="12485.8009"/>
    <n v="3121.450225"/>
    <x v="1"/>
    <n v="0.65200000000000002"/>
    <x v="1"/>
    <s v="Standard"/>
    <s v="Tier 1"/>
    <x v="1"/>
  </r>
  <r>
    <n v="60"/>
    <x v="4"/>
    <s v="male"/>
    <n v="31.35"/>
    <n v="3"/>
    <x v="0"/>
    <x v="2"/>
    <n v="46130.5265"/>
    <n v="11532.631625"/>
    <x v="0"/>
    <n v="0.97599999999999998"/>
    <x v="1"/>
    <s v="High Risk"/>
    <s v="Tier 4"/>
    <x v="5"/>
  </r>
  <r>
    <n v="56"/>
    <x v="4"/>
    <s v="male"/>
    <n v="36.1"/>
    <n v="3"/>
    <x v="1"/>
    <x v="0"/>
    <n v="12363.547"/>
    <n v="3090.8867500000001"/>
    <x v="1"/>
    <n v="0.64900000000000002"/>
    <x v="1"/>
    <s v="Standard"/>
    <s v="Tier 3"/>
    <x v="4"/>
  </r>
  <r>
    <n v="49"/>
    <x v="2"/>
    <s v="female"/>
    <n v="23.18"/>
    <n v="2"/>
    <x v="1"/>
    <x v="2"/>
    <n v="10156.7832"/>
    <n v="3385.5944"/>
    <x v="1"/>
    <n v="0.54"/>
    <x v="2"/>
    <s v="Standard"/>
    <s v="Tier 4"/>
    <x v="2"/>
  </r>
  <r>
    <n v="21"/>
    <x v="0"/>
    <s v="female"/>
    <n v="17.399999999999999"/>
    <n v="1"/>
    <x v="1"/>
    <x v="0"/>
    <n v="2585.2689999999998"/>
    <n v="1292.6344999999999"/>
    <x v="1"/>
    <n v="0.115"/>
    <x v="3"/>
    <s v="Standard"/>
    <s v="Tier 3"/>
    <x v="2"/>
  </r>
  <r>
    <n v="19"/>
    <x v="0"/>
    <s v="male"/>
    <n v="20.3"/>
    <n v="0"/>
    <x v="1"/>
    <x v="0"/>
    <n v="1242.26"/>
    <n v="1242.26"/>
    <x v="1"/>
    <n v="8.0000000000000002E-3"/>
    <x v="2"/>
    <s v="Standard"/>
    <s v="Tier 3"/>
    <x v="2"/>
  </r>
  <r>
    <n v="39"/>
    <x v="3"/>
    <s v="male"/>
    <n v="35.299999999999997"/>
    <n v="2"/>
    <x v="0"/>
    <x v="0"/>
    <n v="40103.89"/>
    <n v="13367.963333333333"/>
    <x v="0"/>
    <n v="0.94199999999999995"/>
    <x v="1"/>
    <s v="High Risk"/>
    <s v="Tier 3"/>
    <x v="5"/>
  </r>
  <r>
    <n v="53"/>
    <x v="2"/>
    <s v="male"/>
    <n v="24.32"/>
    <n v="0"/>
    <x v="1"/>
    <x v="2"/>
    <n v="9863.4717999999993"/>
    <n v="9863.4717999999993"/>
    <x v="1"/>
    <n v="0.52400000000000002"/>
    <x v="2"/>
    <s v="Standard"/>
    <s v="Tier 4"/>
    <x v="2"/>
  </r>
  <r>
    <n v="33"/>
    <x v="1"/>
    <s v="female"/>
    <n v="18.5"/>
    <n v="1"/>
    <x v="1"/>
    <x v="0"/>
    <n v="4766.0219999999999"/>
    <n v="2383.011"/>
    <x v="1"/>
    <n v="0.254"/>
    <x v="2"/>
    <s v="Standard"/>
    <s v="Tier 3"/>
    <x v="2"/>
  </r>
  <r>
    <n v="53"/>
    <x v="2"/>
    <s v="male"/>
    <n v="26.41"/>
    <n v="2"/>
    <x v="1"/>
    <x v="3"/>
    <n v="11244.376899999999"/>
    <n v="3748.1256333333331"/>
    <x v="1"/>
    <n v="0.58699999999999997"/>
    <x v="0"/>
    <s v="Standard"/>
    <s v="Tier 2"/>
    <x v="3"/>
  </r>
  <r>
    <n v="42"/>
    <x v="3"/>
    <s v="male"/>
    <n v="26.125"/>
    <n v="2"/>
    <x v="1"/>
    <x v="3"/>
    <n v="7729.6457499999997"/>
    <n v="2576.5485833333332"/>
    <x v="1"/>
    <n v="0.41699999999999998"/>
    <x v="0"/>
    <s v="Standard"/>
    <s v="Tier 2"/>
    <x v="3"/>
  </r>
  <r>
    <n v="40"/>
    <x v="3"/>
    <s v="male"/>
    <n v="41.69"/>
    <n v="0"/>
    <x v="1"/>
    <x v="1"/>
    <n v="5438.7491"/>
    <n v="5438.7491"/>
    <x v="1"/>
    <n v="0.29599999999999999"/>
    <x v="1"/>
    <s v="Standard"/>
    <s v="Tier 1"/>
    <x v="1"/>
  </r>
  <r>
    <n v="47"/>
    <x v="2"/>
    <s v="female"/>
    <n v="24.1"/>
    <n v="1"/>
    <x v="1"/>
    <x v="0"/>
    <n v="26236.579969999999"/>
    <n v="13118.289984999999"/>
    <x v="0"/>
    <n v="0.85899999999999999"/>
    <x v="2"/>
    <s v="Standard"/>
    <s v="Tier 3"/>
    <x v="2"/>
  </r>
  <r>
    <n v="27"/>
    <x v="1"/>
    <s v="male"/>
    <n v="31.13"/>
    <n v="1"/>
    <x v="0"/>
    <x v="1"/>
    <n v="34806.467700000001"/>
    <n v="17403.233850000001"/>
    <x v="0"/>
    <n v="0.89900000000000002"/>
    <x v="1"/>
    <s v="High Risk"/>
    <s v="Tier 1"/>
    <x v="6"/>
  </r>
  <r>
    <n v="21"/>
    <x v="0"/>
    <s v="male"/>
    <n v="27.36"/>
    <n v="0"/>
    <x v="1"/>
    <x v="3"/>
    <n v="2104.1134000000002"/>
    <n v="2104.1134000000002"/>
    <x v="1"/>
    <n v="7.3999999999999996E-2"/>
    <x v="0"/>
    <s v="Standard"/>
    <s v="Tier 2"/>
    <x v="3"/>
  </r>
  <r>
    <n v="47"/>
    <x v="2"/>
    <s v="male"/>
    <n v="36.200000000000003"/>
    <n v="1"/>
    <x v="1"/>
    <x v="0"/>
    <n v="8068.1850000000004"/>
    <n v="4034.0925000000002"/>
    <x v="1"/>
    <n v="0.43"/>
    <x v="1"/>
    <s v="Standard"/>
    <s v="Tier 3"/>
    <x v="4"/>
  </r>
  <r>
    <n v="20"/>
    <x v="0"/>
    <s v="male"/>
    <n v="32.395000000000003"/>
    <n v="1"/>
    <x v="1"/>
    <x v="2"/>
    <n v="2362.2290499999999"/>
    <n v="1181.114525"/>
    <x v="1"/>
    <n v="0.1"/>
    <x v="1"/>
    <s v="Standard"/>
    <s v="Tier 4"/>
    <x v="4"/>
  </r>
  <r>
    <n v="24"/>
    <x v="0"/>
    <s v="male"/>
    <n v="23.655000000000001"/>
    <n v="0"/>
    <x v="1"/>
    <x v="2"/>
    <n v="2352.9684499999998"/>
    <n v="2352.9684499999998"/>
    <x v="1"/>
    <n v="0.1"/>
    <x v="2"/>
    <s v="Standard"/>
    <s v="Tier 4"/>
    <x v="2"/>
  </r>
  <r>
    <n v="27"/>
    <x v="1"/>
    <s v="female"/>
    <n v="34.799999999999997"/>
    <n v="1"/>
    <x v="1"/>
    <x v="0"/>
    <n v="3577.9989999999998"/>
    <n v="1788.9994999999999"/>
    <x v="1"/>
    <n v="0.17699999999999999"/>
    <x v="1"/>
    <s v="Standard"/>
    <s v="Tier 3"/>
    <x v="4"/>
  </r>
  <r>
    <n v="26"/>
    <x v="1"/>
    <s v="female"/>
    <n v="40.185000000000002"/>
    <n v="0"/>
    <x v="1"/>
    <x v="2"/>
    <n v="3201.2451500000002"/>
    <n v="3201.2451500000002"/>
    <x v="1"/>
    <n v="0.153"/>
    <x v="1"/>
    <s v="Standard"/>
    <s v="Tier 4"/>
    <x v="4"/>
  </r>
  <r>
    <n v="53"/>
    <x v="2"/>
    <s v="female"/>
    <n v="32.299999999999997"/>
    <n v="2"/>
    <x v="1"/>
    <x v="3"/>
    <n v="29186.482360000002"/>
    <n v="9728.8274533333333"/>
    <x v="0"/>
    <n v="0.877"/>
    <x v="1"/>
    <s v="Standard"/>
    <s v="Tier 2"/>
    <x v="4"/>
  </r>
  <r>
    <n v="41"/>
    <x v="3"/>
    <s v="male"/>
    <n v="35.75"/>
    <n v="1"/>
    <x v="0"/>
    <x v="1"/>
    <n v="40273.645499999999"/>
    <n v="20136.822749999999"/>
    <x v="0"/>
    <n v="0.94299999999999995"/>
    <x v="1"/>
    <s v="High Risk"/>
    <s v="Tier 1"/>
    <x v="6"/>
  </r>
  <r>
    <n v="56"/>
    <x v="4"/>
    <s v="male"/>
    <n v="33.725000000000001"/>
    <n v="0"/>
    <x v="1"/>
    <x v="2"/>
    <n v="10976.24575"/>
    <n v="10976.24575"/>
    <x v="1"/>
    <n v="0.57499999999999996"/>
    <x v="1"/>
    <s v="Standard"/>
    <s v="Tier 4"/>
    <x v="4"/>
  </r>
  <r>
    <n v="23"/>
    <x v="0"/>
    <s v="female"/>
    <n v="39.270000000000003"/>
    <n v="2"/>
    <x v="1"/>
    <x v="1"/>
    <n v="3500.6122999999998"/>
    <n v="1166.8707666666667"/>
    <x v="1"/>
    <n v="0.17199999999999999"/>
    <x v="1"/>
    <s v="Standard"/>
    <s v="Tier 1"/>
    <x v="1"/>
  </r>
  <r>
    <n v="21"/>
    <x v="0"/>
    <s v="female"/>
    <n v="34.869999999999997"/>
    <n v="0"/>
    <x v="1"/>
    <x v="1"/>
    <n v="2020.5523000000001"/>
    <n v="2020.5523000000001"/>
    <x v="1"/>
    <n v="7.0000000000000007E-2"/>
    <x v="1"/>
    <s v="Standard"/>
    <s v="Tier 1"/>
    <x v="1"/>
  </r>
  <r>
    <n v="50"/>
    <x v="2"/>
    <s v="female"/>
    <n v="44.744999999999997"/>
    <n v="0"/>
    <x v="1"/>
    <x v="3"/>
    <n v="9541.6955500000004"/>
    <n v="9541.6955500000004"/>
    <x v="1"/>
    <n v="0.50700000000000001"/>
    <x v="1"/>
    <s v="Standard"/>
    <s v="Tier 2"/>
    <x v="4"/>
  </r>
  <r>
    <n v="53"/>
    <x v="2"/>
    <s v="male"/>
    <n v="41.47"/>
    <n v="0"/>
    <x v="1"/>
    <x v="1"/>
    <n v="9504.3102999999992"/>
    <n v="9504.3102999999992"/>
    <x v="1"/>
    <n v="0.50700000000000001"/>
    <x v="1"/>
    <s v="Standard"/>
    <s v="Tier 1"/>
    <x v="1"/>
  </r>
  <r>
    <n v="34"/>
    <x v="1"/>
    <s v="female"/>
    <n v="26.41"/>
    <n v="1"/>
    <x v="1"/>
    <x v="2"/>
    <n v="5385.3379000000004"/>
    <n v="2692.6689500000002"/>
    <x v="1"/>
    <n v="0.29099999999999998"/>
    <x v="0"/>
    <s v="Standard"/>
    <s v="Tier 4"/>
    <x v="3"/>
  </r>
  <r>
    <n v="47"/>
    <x v="2"/>
    <s v="female"/>
    <n v="29.545000000000002"/>
    <n v="1"/>
    <x v="1"/>
    <x v="2"/>
    <n v="8930.9345499999999"/>
    <n v="4465.467275"/>
    <x v="1"/>
    <n v="0.47799999999999998"/>
    <x v="0"/>
    <s v="Standard"/>
    <s v="Tier 4"/>
    <x v="3"/>
  </r>
  <r>
    <n v="33"/>
    <x v="1"/>
    <s v="female"/>
    <n v="32.9"/>
    <n v="2"/>
    <x v="1"/>
    <x v="0"/>
    <n v="5375.0379999999996"/>
    <n v="1791.6793333333333"/>
    <x v="1"/>
    <n v="0.28899999999999998"/>
    <x v="1"/>
    <s v="Standard"/>
    <s v="Tier 3"/>
    <x v="4"/>
  </r>
  <r>
    <n v="51"/>
    <x v="2"/>
    <s v="female"/>
    <n v="38.06"/>
    <n v="0"/>
    <x v="0"/>
    <x v="1"/>
    <n v="44400.4064"/>
    <n v="44400.4064"/>
    <x v="0"/>
    <n v="0.96799999999999997"/>
    <x v="1"/>
    <s v="High Risk"/>
    <s v="Tier 1"/>
    <x v="6"/>
  </r>
  <r>
    <n v="49"/>
    <x v="2"/>
    <s v="male"/>
    <n v="28.69"/>
    <n v="3"/>
    <x v="1"/>
    <x v="2"/>
    <n v="10264.4421"/>
    <n v="2566.1105250000001"/>
    <x v="1"/>
    <n v="0.54300000000000004"/>
    <x v="0"/>
    <s v="Standard"/>
    <s v="Tier 4"/>
    <x v="3"/>
  </r>
  <r>
    <n v="31"/>
    <x v="1"/>
    <s v="female"/>
    <n v="30.495000000000001"/>
    <n v="3"/>
    <x v="1"/>
    <x v="3"/>
    <n v="6113.2310500000003"/>
    <n v="1528.3077625000001"/>
    <x v="1"/>
    <n v="0.32400000000000001"/>
    <x v="1"/>
    <s v="Standard"/>
    <s v="Tier 2"/>
    <x v="4"/>
  </r>
  <r>
    <n v="36"/>
    <x v="3"/>
    <s v="female"/>
    <n v="27.74"/>
    <n v="0"/>
    <x v="1"/>
    <x v="3"/>
    <n v="5469.0065999999997"/>
    <n v="5469.0065999999997"/>
    <x v="1"/>
    <n v="0.29699999999999999"/>
    <x v="0"/>
    <s v="Standard"/>
    <s v="Tier 2"/>
    <x v="3"/>
  </r>
  <r>
    <n v="18"/>
    <x v="0"/>
    <s v="male"/>
    <n v="35.200000000000003"/>
    <n v="1"/>
    <x v="1"/>
    <x v="1"/>
    <n v="1727.54"/>
    <n v="863.77"/>
    <x v="1"/>
    <n v="4.3999999999999997E-2"/>
    <x v="1"/>
    <s v="Standard"/>
    <s v="Tier 1"/>
    <x v="1"/>
  </r>
  <r>
    <n v="50"/>
    <x v="2"/>
    <s v="female"/>
    <n v="23.54"/>
    <n v="2"/>
    <x v="1"/>
    <x v="1"/>
    <n v="10107.220600000001"/>
    <n v="3369.0735333333337"/>
    <x v="1"/>
    <n v="0.53700000000000003"/>
    <x v="2"/>
    <s v="Standard"/>
    <s v="Tier 1"/>
    <x v="3"/>
  </r>
  <r>
    <n v="43"/>
    <x v="3"/>
    <s v="female"/>
    <n v="30.684999999999999"/>
    <n v="2"/>
    <x v="1"/>
    <x v="2"/>
    <n v="8310.8391499999998"/>
    <n v="2770.2797166666664"/>
    <x v="1"/>
    <n v="0.44400000000000001"/>
    <x v="1"/>
    <s v="Standard"/>
    <s v="Tier 4"/>
    <x v="4"/>
  </r>
  <r>
    <n v="20"/>
    <x v="0"/>
    <s v="male"/>
    <n v="40.47"/>
    <n v="0"/>
    <x v="1"/>
    <x v="3"/>
    <n v="1984.4532999999999"/>
    <n v="1984.4532999999999"/>
    <x v="1"/>
    <n v="6.7000000000000004E-2"/>
    <x v="1"/>
    <s v="Standard"/>
    <s v="Tier 2"/>
    <x v="4"/>
  </r>
  <r>
    <n v="24"/>
    <x v="0"/>
    <s v="female"/>
    <n v="22.6"/>
    <n v="0"/>
    <x v="1"/>
    <x v="0"/>
    <n v="2457.502"/>
    <n v="2457.502"/>
    <x v="1"/>
    <n v="0.106"/>
    <x v="2"/>
    <s v="Standard"/>
    <s v="Tier 3"/>
    <x v="2"/>
  </r>
  <r>
    <n v="60"/>
    <x v="4"/>
    <s v="male"/>
    <n v="28.9"/>
    <n v="0"/>
    <x v="1"/>
    <x v="0"/>
    <n v="12146.971"/>
    <n v="12146.971"/>
    <x v="1"/>
    <n v="0.63900000000000001"/>
    <x v="0"/>
    <s v="Standard"/>
    <s v="Tier 3"/>
    <x v="3"/>
  </r>
  <r>
    <n v="49"/>
    <x v="2"/>
    <s v="female"/>
    <n v="22.61"/>
    <n v="1"/>
    <x v="1"/>
    <x v="2"/>
    <n v="9566.9909000000007"/>
    <n v="4783.4954500000003"/>
    <x v="1"/>
    <n v="0.51"/>
    <x v="2"/>
    <s v="Standard"/>
    <s v="Tier 4"/>
    <x v="2"/>
  </r>
  <r>
    <n v="60"/>
    <x v="4"/>
    <s v="male"/>
    <n v="24.32"/>
    <n v="1"/>
    <x v="1"/>
    <x v="2"/>
    <n v="13112.604799999999"/>
    <n v="6556.3023999999996"/>
    <x v="1"/>
    <n v="0.67900000000000005"/>
    <x v="2"/>
    <s v="Standard"/>
    <s v="Tier 4"/>
    <x v="2"/>
  </r>
  <r>
    <n v="51"/>
    <x v="2"/>
    <s v="female"/>
    <n v="36.67"/>
    <n v="2"/>
    <x v="1"/>
    <x v="2"/>
    <n v="10848.1343"/>
    <n v="3616.0447666666664"/>
    <x v="1"/>
    <n v="0.56899999999999995"/>
    <x v="1"/>
    <s v="Standard"/>
    <s v="Tier 4"/>
    <x v="4"/>
  </r>
  <r>
    <n v="58"/>
    <x v="4"/>
    <s v="female"/>
    <n v="33.44"/>
    <n v="0"/>
    <x v="1"/>
    <x v="2"/>
    <n v="12231.613600000001"/>
    <n v="12231.613600000001"/>
    <x v="1"/>
    <n v="0.64100000000000001"/>
    <x v="1"/>
    <s v="Standard"/>
    <s v="Tier 4"/>
    <x v="4"/>
  </r>
  <r>
    <n v="51"/>
    <x v="2"/>
    <s v="female"/>
    <n v="40.659999999999997"/>
    <n v="0"/>
    <x v="1"/>
    <x v="3"/>
    <n v="9875.6803999999993"/>
    <n v="9875.6803999999993"/>
    <x v="1"/>
    <n v="0.52700000000000002"/>
    <x v="1"/>
    <s v="Standard"/>
    <s v="Tier 2"/>
    <x v="4"/>
  </r>
  <r>
    <n v="53"/>
    <x v="2"/>
    <s v="male"/>
    <n v="36.6"/>
    <n v="3"/>
    <x v="1"/>
    <x v="0"/>
    <n v="11264.540999999999"/>
    <n v="2816.1352499999998"/>
    <x v="1"/>
    <n v="0.58799999999999997"/>
    <x v="1"/>
    <s v="Standard"/>
    <s v="Tier 3"/>
    <x v="4"/>
  </r>
  <r>
    <n v="62"/>
    <x v="4"/>
    <s v="male"/>
    <n v="37.4"/>
    <n v="0"/>
    <x v="1"/>
    <x v="0"/>
    <n v="12979.358"/>
    <n v="12979.358"/>
    <x v="1"/>
    <n v="0.67300000000000004"/>
    <x v="1"/>
    <s v="Standard"/>
    <s v="Tier 3"/>
    <x v="4"/>
  </r>
  <r>
    <n v="19"/>
    <x v="0"/>
    <s v="male"/>
    <n v="35.4"/>
    <n v="0"/>
    <x v="1"/>
    <x v="0"/>
    <n v="1263.249"/>
    <n v="1263.249"/>
    <x v="1"/>
    <n v="1.2999999999999999E-2"/>
    <x v="1"/>
    <s v="Standard"/>
    <s v="Tier 3"/>
    <x v="4"/>
  </r>
  <r>
    <n v="50"/>
    <x v="2"/>
    <s v="female"/>
    <n v="27.074999999999999"/>
    <n v="1"/>
    <x v="1"/>
    <x v="3"/>
    <n v="10106.134249999999"/>
    <n v="5053.0671249999996"/>
    <x v="1"/>
    <n v="0.53600000000000003"/>
    <x v="0"/>
    <s v="Standard"/>
    <s v="Tier 2"/>
    <x v="3"/>
  </r>
  <r>
    <n v="30"/>
    <x v="1"/>
    <s v="female"/>
    <n v="39.049999999999997"/>
    <n v="3"/>
    <x v="0"/>
    <x v="1"/>
    <n v="40932.429499999998"/>
    <n v="10233.107375"/>
    <x v="0"/>
    <n v="0.94599999999999995"/>
    <x v="1"/>
    <s v="High Risk"/>
    <s v="Tier 1"/>
    <x v="6"/>
  </r>
  <r>
    <n v="41"/>
    <x v="3"/>
    <s v="male"/>
    <n v="28.405000000000001"/>
    <n v="1"/>
    <x v="1"/>
    <x v="2"/>
    <n v="6664.68595"/>
    <n v="3332.342975"/>
    <x v="1"/>
    <n v="0.35899999999999999"/>
    <x v="0"/>
    <s v="Standard"/>
    <s v="Tier 4"/>
    <x v="3"/>
  </r>
  <r>
    <n v="29"/>
    <x v="1"/>
    <s v="female"/>
    <n v="21.754999999999999"/>
    <n v="1"/>
    <x v="0"/>
    <x v="3"/>
    <n v="16657.71745"/>
    <n v="8328.858725"/>
    <x v="0"/>
    <n v="0.75"/>
    <x v="2"/>
    <s v="High Risk"/>
    <s v="Tier 2"/>
    <x v="1"/>
  </r>
  <r>
    <n v="18"/>
    <x v="0"/>
    <s v="female"/>
    <n v="40.28"/>
    <n v="0"/>
    <x v="1"/>
    <x v="3"/>
    <n v="2217.6012000000001"/>
    <n v="2217.6012000000001"/>
    <x v="1"/>
    <n v="9.0999999999999998E-2"/>
    <x v="1"/>
    <s v="Standard"/>
    <s v="Tier 2"/>
    <x v="4"/>
  </r>
  <r>
    <n v="41"/>
    <x v="3"/>
    <s v="female"/>
    <n v="36.08"/>
    <n v="1"/>
    <x v="1"/>
    <x v="1"/>
    <n v="6781.3541999999998"/>
    <n v="3390.6770999999999"/>
    <x v="1"/>
    <n v="0.36499999999999999"/>
    <x v="1"/>
    <s v="Standard"/>
    <s v="Tier 1"/>
    <x v="1"/>
  </r>
  <r>
    <n v="35"/>
    <x v="1"/>
    <s v="male"/>
    <n v="24.42"/>
    <n v="3"/>
    <x v="0"/>
    <x v="1"/>
    <n v="19361.998800000001"/>
    <n v="4840.4997000000003"/>
    <x v="0"/>
    <n v="0.78600000000000003"/>
    <x v="2"/>
    <s v="High Risk"/>
    <s v="Tier 1"/>
    <x v="0"/>
  </r>
  <r>
    <n v="53"/>
    <x v="2"/>
    <s v="male"/>
    <n v="21.4"/>
    <n v="1"/>
    <x v="1"/>
    <x v="0"/>
    <n v="10065.413"/>
    <n v="5032.7065000000002"/>
    <x v="1"/>
    <n v="0.53300000000000003"/>
    <x v="2"/>
    <s v="Standard"/>
    <s v="Tier 3"/>
    <x v="2"/>
  </r>
  <r>
    <n v="24"/>
    <x v="0"/>
    <s v="female"/>
    <n v="30.1"/>
    <n v="3"/>
    <x v="1"/>
    <x v="0"/>
    <n v="4234.9269999999997"/>
    <n v="1058.7317499999999"/>
    <x v="1"/>
    <n v="0.21099999999999999"/>
    <x v="1"/>
    <s v="Standard"/>
    <s v="Tier 3"/>
    <x v="4"/>
  </r>
  <r>
    <n v="48"/>
    <x v="2"/>
    <s v="female"/>
    <n v="27.265000000000001"/>
    <n v="1"/>
    <x v="1"/>
    <x v="3"/>
    <n v="9447.2503500000003"/>
    <n v="4723.6251750000001"/>
    <x v="1"/>
    <n v="0.504"/>
    <x v="0"/>
    <s v="Standard"/>
    <s v="Tier 2"/>
    <x v="3"/>
  </r>
  <r>
    <n v="59"/>
    <x v="4"/>
    <s v="female"/>
    <n v="32.1"/>
    <n v="3"/>
    <x v="1"/>
    <x v="0"/>
    <n v="14007.222"/>
    <n v="3501.8054999999999"/>
    <x v="0"/>
    <n v="0.71"/>
    <x v="1"/>
    <s v="Standard"/>
    <s v="Tier 3"/>
    <x v="4"/>
  </r>
  <r>
    <n v="49"/>
    <x v="2"/>
    <s v="female"/>
    <n v="34.770000000000003"/>
    <n v="1"/>
    <x v="1"/>
    <x v="2"/>
    <n v="9583.8932999999997"/>
    <n v="4791.9466499999999"/>
    <x v="1"/>
    <n v="0.51"/>
    <x v="1"/>
    <s v="Standard"/>
    <s v="Tier 4"/>
    <x v="4"/>
  </r>
  <r>
    <n v="37"/>
    <x v="3"/>
    <s v="female"/>
    <n v="38.39"/>
    <n v="0"/>
    <x v="0"/>
    <x v="1"/>
    <n v="40419.019099999998"/>
    <n v="40419.019099999998"/>
    <x v="0"/>
    <n v="0.94399999999999995"/>
    <x v="1"/>
    <s v="High Risk"/>
    <s v="Tier 1"/>
    <x v="6"/>
  </r>
  <r>
    <n v="26"/>
    <x v="1"/>
    <s v="male"/>
    <n v="23.7"/>
    <n v="2"/>
    <x v="1"/>
    <x v="0"/>
    <n v="3484.3310000000001"/>
    <n v="1161.4436666666668"/>
    <x v="1"/>
    <n v="0.17100000000000001"/>
    <x v="2"/>
    <s v="Standard"/>
    <s v="Tier 3"/>
    <x v="2"/>
  </r>
  <r>
    <n v="23"/>
    <x v="0"/>
    <s v="male"/>
    <n v="31.73"/>
    <n v="3"/>
    <x v="0"/>
    <x v="3"/>
    <n v="36189.101699999999"/>
    <n v="9047.2754249999998"/>
    <x v="0"/>
    <n v="0.90800000000000003"/>
    <x v="1"/>
    <s v="High Risk"/>
    <s v="Tier 2"/>
    <x v="5"/>
  </r>
  <r>
    <n v="29"/>
    <x v="1"/>
    <s v="male"/>
    <n v="35.5"/>
    <n v="2"/>
    <x v="0"/>
    <x v="0"/>
    <n v="44585.455869999998"/>
    <n v="14861.818623333333"/>
    <x v="0"/>
    <n v="0.97"/>
    <x v="1"/>
    <s v="High Risk"/>
    <s v="Tier 3"/>
    <x v="5"/>
  </r>
  <r>
    <n v="45"/>
    <x v="3"/>
    <s v="male"/>
    <n v="24.035"/>
    <n v="2"/>
    <x v="1"/>
    <x v="3"/>
    <n v="8604.4836500000001"/>
    <n v="2868.1612166666669"/>
    <x v="1"/>
    <n v="0.46400000000000002"/>
    <x v="2"/>
    <s v="Standard"/>
    <s v="Tier 2"/>
    <x v="2"/>
  </r>
  <r>
    <n v="27"/>
    <x v="1"/>
    <s v="male"/>
    <n v="29.15"/>
    <n v="0"/>
    <x v="0"/>
    <x v="1"/>
    <n v="18246.495500000001"/>
    <n v="18246.495500000001"/>
    <x v="0"/>
    <n v="0.76900000000000002"/>
    <x v="0"/>
    <s v="High Risk"/>
    <s v="Tier 1"/>
    <x v="5"/>
  </r>
  <r>
    <n v="53"/>
    <x v="2"/>
    <s v="male"/>
    <n v="34.104999999999997"/>
    <n v="0"/>
    <x v="0"/>
    <x v="3"/>
    <n v="43254.417950000003"/>
    <n v="43254.417950000003"/>
    <x v="0"/>
    <n v="0.96099999999999997"/>
    <x v="1"/>
    <s v="High Risk"/>
    <s v="Tier 2"/>
    <x v="5"/>
  </r>
  <r>
    <n v="31"/>
    <x v="1"/>
    <s v="female"/>
    <n v="26.62"/>
    <n v="0"/>
    <x v="1"/>
    <x v="1"/>
    <n v="3757.8447999999999"/>
    <n v="3757.8447999999999"/>
    <x v="1"/>
    <n v="0.186"/>
    <x v="0"/>
    <s v="Standard"/>
    <s v="Tier 1"/>
    <x v="4"/>
  </r>
  <r>
    <n v="50"/>
    <x v="2"/>
    <s v="male"/>
    <n v="26.41"/>
    <n v="0"/>
    <x v="1"/>
    <x v="2"/>
    <n v="8827.2098999999998"/>
    <n v="8827.2098999999998"/>
    <x v="1"/>
    <n v="0.47499999999999998"/>
    <x v="0"/>
    <s v="Standard"/>
    <s v="Tier 4"/>
    <x v="3"/>
  </r>
  <r>
    <n v="50"/>
    <x v="2"/>
    <s v="female"/>
    <n v="30.114999999999998"/>
    <n v="1"/>
    <x v="1"/>
    <x v="2"/>
    <n v="9910.3598500000007"/>
    <n v="4955.1799250000004"/>
    <x v="1"/>
    <n v="0.52900000000000003"/>
    <x v="1"/>
    <s v="Standard"/>
    <s v="Tier 4"/>
    <x v="4"/>
  </r>
  <r>
    <n v="34"/>
    <x v="1"/>
    <s v="male"/>
    <n v="27"/>
    <n v="2"/>
    <x v="1"/>
    <x v="0"/>
    <n v="11737.848840000001"/>
    <n v="3912.6162800000002"/>
    <x v="1"/>
    <n v="0.61499999999999999"/>
    <x v="0"/>
    <s v="Standard"/>
    <s v="Tier 3"/>
    <x v="3"/>
  </r>
  <r>
    <n v="19"/>
    <x v="0"/>
    <s v="male"/>
    <n v="21.754999999999999"/>
    <n v="0"/>
    <x v="1"/>
    <x v="2"/>
    <n v="1627.2824499999999"/>
    <n v="1627.2824499999999"/>
    <x v="1"/>
    <n v="2.1999999999999999E-2"/>
    <x v="2"/>
    <s v="Standard"/>
    <s v="Tier 4"/>
    <x v="2"/>
  </r>
  <r>
    <n v="47"/>
    <x v="2"/>
    <s v="female"/>
    <n v="36"/>
    <n v="1"/>
    <x v="1"/>
    <x v="0"/>
    <n v="8556.9069999999992"/>
    <n v="4278.4534999999996"/>
    <x v="1"/>
    <n v="0.45900000000000002"/>
    <x v="1"/>
    <s v="Standard"/>
    <s v="Tier 3"/>
    <x v="4"/>
  </r>
  <r>
    <n v="28"/>
    <x v="1"/>
    <s v="male"/>
    <n v="30.875"/>
    <n v="0"/>
    <x v="1"/>
    <x v="2"/>
    <n v="3062.5082499999999"/>
    <n v="3062.5082499999999"/>
    <x v="1"/>
    <n v="0.14499999999999999"/>
    <x v="1"/>
    <s v="Standard"/>
    <s v="Tier 4"/>
    <x v="4"/>
  </r>
  <r>
    <n v="37"/>
    <x v="3"/>
    <s v="female"/>
    <n v="26.4"/>
    <n v="0"/>
    <x v="0"/>
    <x v="1"/>
    <n v="19539.242999999999"/>
    <n v="19539.242999999999"/>
    <x v="0"/>
    <n v="0.79"/>
    <x v="0"/>
    <s v="High Risk"/>
    <s v="Tier 1"/>
    <x v="5"/>
  </r>
  <r>
    <n v="21"/>
    <x v="0"/>
    <s v="male"/>
    <n v="28.975000000000001"/>
    <n v="0"/>
    <x v="1"/>
    <x v="2"/>
    <n v="1906.35825"/>
    <n v="1906.35825"/>
    <x v="1"/>
    <n v="5.8999999999999997E-2"/>
    <x v="0"/>
    <s v="Standard"/>
    <s v="Tier 4"/>
    <x v="3"/>
  </r>
  <r>
    <n v="64"/>
    <x v="4"/>
    <s v="male"/>
    <n v="37.905000000000001"/>
    <n v="0"/>
    <x v="1"/>
    <x v="2"/>
    <n v="14210.53595"/>
    <n v="14210.53595"/>
    <x v="0"/>
    <n v="0.71299999999999997"/>
    <x v="1"/>
    <s v="Standard"/>
    <s v="Tier 4"/>
    <x v="4"/>
  </r>
  <r>
    <n v="58"/>
    <x v="4"/>
    <s v="female"/>
    <n v="22.77"/>
    <n v="0"/>
    <x v="1"/>
    <x v="1"/>
    <n v="11833.782300000001"/>
    <n v="11833.782300000001"/>
    <x v="1"/>
    <n v="0.62"/>
    <x v="2"/>
    <s v="Standard"/>
    <s v="Tier 1"/>
    <x v="3"/>
  </r>
  <r>
    <n v="24"/>
    <x v="0"/>
    <s v="male"/>
    <n v="33.630000000000003"/>
    <n v="4"/>
    <x v="1"/>
    <x v="3"/>
    <n v="17128.426080000001"/>
    <n v="3425.6852160000003"/>
    <x v="0"/>
    <n v="0.755"/>
    <x v="1"/>
    <s v="Standard"/>
    <s v="Tier 2"/>
    <x v="4"/>
  </r>
  <r>
    <n v="31"/>
    <x v="1"/>
    <s v="male"/>
    <n v="27.645"/>
    <n v="2"/>
    <x v="1"/>
    <x v="3"/>
    <n v="5031.26955"/>
    <n v="1677.0898500000001"/>
    <x v="1"/>
    <n v="0.27100000000000002"/>
    <x v="0"/>
    <s v="Standard"/>
    <s v="Tier 2"/>
    <x v="3"/>
  </r>
  <r>
    <n v="39"/>
    <x v="3"/>
    <s v="female"/>
    <n v="22.8"/>
    <n v="3"/>
    <x v="1"/>
    <x v="3"/>
    <n v="7985.8149999999996"/>
    <n v="1996.4537499999999"/>
    <x v="1"/>
    <n v="0.42399999999999999"/>
    <x v="2"/>
    <s v="Standard"/>
    <s v="Tier 2"/>
    <x v="2"/>
  </r>
  <r>
    <n v="47"/>
    <x v="2"/>
    <s v="female"/>
    <n v="27.83"/>
    <n v="0"/>
    <x v="0"/>
    <x v="1"/>
    <n v="23065.420699999999"/>
    <n v="23065.420699999999"/>
    <x v="0"/>
    <n v="0.82899999999999996"/>
    <x v="0"/>
    <s v="High Risk"/>
    <s v="Tier 1"/>
    <x v="5"/>
  </r>
  <r>
    <n v="30"/>
    <x v="1"/>
    <s v="male"/>
    <n v="37.43"/>
    <n v="3"/>
    <x v="1"/>
    <x v="3"/>
    <n v="5428.7277000000004"/>
    <n v="1357.1819250000001"/>
    <x v="1"/>
    <n v="0.29499999999999998"/>
    <x v="1"/>
    <s v="Standard"/>
    <s v="Tier 2"/>
    <x v="4"/>
  </r>
  <r>
    <n v="18"/>
    <x v="0"/>
    <s v="male"/>
    <n v="38.17"/>
    <n v="0"/>
    <x v="0"/>
    <x v="1"/>
    <n v="36307.798300000002"/>
    <n v="36307.798300000002"/>
    <x v="0"/>
    <n v="0.91"/>
    <x v="1"/>
    <s v="High Risk"/>
    <s v="Tier 1"/>
    <x v="6"/>
  </r>
  <r>
    <n v="22"/>
    <x v="0"/>
    <s v="female"/>
    <n v="34.58"/>
    <n v="2"/>
    <x v="1"/>
    <x v="3"/>
    <n v="3925.7582000000002"/>
    <n v="1308.5860666666667"/>
    <x v="1"/>
    <n v="0.193"/>
    <x v="1"/>
    <s v="Standard"/>
    <s v="Tier 2"/>
    <x v="4"/>
  </r>
  <r>
    <n v="23"/>
    <x v="0"/>
    <s v="male"/>
    <n v="35.200000000000003"/>
    <n v="1"/>
    <x v="1"/>
    <x v="0"/>
    <n v="2416.9549999999999"/>
    <n v="1208.4775"/>
    <x v="1"/>
    <n v="0.10299999999999999"/>
    <x v="1"/>
    <s v="Standard"/>
    <s v="Tier 3"/>
    <x v="4"/>
  </r>
  <r>
    <n v="33"/>
    <x v="1"/>
    <s v="male"/>
    <n v="27.1"/>
    <n v="1"/>
    <x v="0"/>
    <x v="0"/>
    <n v="19040.876"/>
    <n v="9520.4380000000001"/>
    <x v="0"/>
    <n v="0.78100000000000003"/>
    <x v="0"/>
    <s v="High Risk"/>
    <s v="Tier 3"/>
    <x v="0"/>
  </r>
  <r>
    <n v="27"/>
    <x v="1"/>
    <s v="male"/>
    <n v="26.03"/>
    <n v="0"/>
    <x v="1"/>
    <x v="3"/>
    <n v="3070.8087"/>
    <n v="3070.8087"/>
    <x v="1"/>
    <n v="0.14599999999999999"/>
    <x v="0"/>
    <s v="Standard"/>
    <s v="Tier 2"/>
    <x v="3"/>
  </r>
  <r>
    <n v="45"/>
    <x v="3"/>
    <s v="female"/>
    <n v="25.175000000000001"/>
    <n v="2"/>
    <x v="1"/>
    <x v="3"/>
    <n v="9095.0682500000003"/>
    <n v="3031.6894166666666"/>
    <x v="1"/>
    <n v="0.48599999999999999"/>
    <x v="0"/>
    <s v="Standard"/>
    <s v="Tier 2"/>
    <x v="3"/>
  </r>
  <r>
    <n v="57"/>
    <x v="4"/>
    <s v="female"/>
    <n v="31.824999999999999"/>
    <n v="0"/>
    <x v="1"/>
    <x v="2"/>
    <n v="11842.623750000001"/>
    <n v="11842.623750000001"/>
    <x v="1"/>
    <n v="0.623"/>
    <x v="1"/>
    <s v="Standard"/>
    <s v="Tier 4"/>
    <x v="4"/>
  </r>
  <r>
    <n v="47"/>
    <x v="2"/>
    <s v="male"/>
    <n v="32.299999999999997"/>
    <n v="1"/>
    <x v="1"/>
    <x v="0"/>
    <n v="8062.7640000000001"/>
    <n v="4031.3820000000001"/>
    <x v="1"/>
    <n v="0.43"/>
    <x v="1"/>
    <s v="Standard"/>
    <s v="Tier 3"/>
    <x v="4"/>
  </r>
  <r>
    <n v="42"/>
    <x v="3"/>
    <s v="female"/>
    <n v="29"/>
    <n v="1"/>
    <x v="1"/>
    <x v="0"/>
    <n v="7050.6419999999998"/>
    <n v="3525.3209999999999"/>
    <x v="1"/>
    <n v="0.377"/>
    <x v="0"/>
    <s v="Standard"/>
    <s v="Tier 3"/>
    <x v="3"/>
  </r>
  <r>
    <n v="64"/>
    <x v="4"/>
    <s v="female"/>
    <n v="39.700000000000003"/>
    <n v="0"/>
    <x v="1"/>
    <x v="0"/>
    <n v="14319.031000000001"/>
    <n v="14319.031000000001"/>
    <x v="0"/>
    <n v="0.71799999999999997"/>
    <x v="1"/>
    <s v="Standard"/>
    <s v="Tier 3"/>
    <x v="4"/>
  </r>
  <r>
    <n v="38"/>
    <x v="3"/>
    <s v="female"/>
    <n v="19.475000000000001"/>
    <n v="2"/>
    <x v="1"/>
    <x v="2"/>
    <n v="6933.2422500000002"/>
    <n v="2311.0807500000001"/>
    <x v="1"/>
    <n v="0.371"/>
    <x v="2"/>
    <s v="Standard"/>
    <s v="Tier 4"/>
    <x v="2"/>
  </r>
  <r>
    <n v="61"/>
    <x v="4"/>
    <s v="male"/>
    <n v="36.1"/>
    <n v="3"/>
    <x v="1"/>
    <x v="0"/>
    <n v="27941.28758"/>
    <n v="6985.321895"/>
    <x v="0"/>
    <n v="0.86899999999999999"/>
    <x v="1"/>
    <s v="Standard"/>
    <s v="Tier 3"/>
    <x v="4"/>
  </r>
  <r>
    <n v="53"/>
    <x v="2"/>
    <s v="female"/>
    <n v="26.7"/>
    <n v="2"/>
    <x v="1"/>
    <x v="0"/>
    <n v="11150.78"/>
    <n v="3716.9266666666667"/>
    <x v="1"/>
    <n v="0.58399999999999996"/>
    <x v="0"/>
    <s v="Standard"/>
    <s v="Tier 3"/>
    <x v="3"/>
  </r>
  <r>
    <n v="44"/>
    <x v="3"/>
    <s v="female"/>
    <n v="36.479999999999997"/>
    <n v="0"/>
    <x v="1"/>
    <x v="3"/>
    <n v="12797.20962"/>
    <n v="12797.20962"/>
    <x v="1"/>
    <n v="0.66500000000000004"/>
    <x v="1"/>
    <s v="Standard"/>
    <s v="Tier 2"/>
    <x v="4"/>
  </r>
  <r>
    <n v="19"/>
    <x v="0"/>
    <s v="female"/>
    <n v="28.88"/>
    <n v="0"/>
    <x v="0"/>
    <x v="2"/>
    <n v="17748.5062"/>
    <n v="17748.5062"/>
    <x v="0"/>
    <n v="0.76200000000000001"/>
    <x v="0"/>
    <s v="High Risk"/>
    <s v="Tier 4"/>
    <x v="0"/>
  </r>
  <r>
    <n v="41"/>
    <x v="3"/>
    <s v="male"/>
    <n v="34.200000000000003"/>
    <n v="2"/>
    <x v="1"/>
    <x v="2"/>
    <n v="7261.741"/>
    <n v="2420.5803333333333"/>
    <x v="1"/>
    <n v="0.39200000000000002"/>
    <x v="1"/>
    <s v="Standard"/>
    <s v="Tier 4"/>
    <x v="4"/>
  </r>
  <r>
    <n v="51"/>
    <x v="2"/>
    <s v="male"/>
    <n v="33.33"/>
    <n v="3"/>
    <x v="1"/>
    <x v="1"/>
    <n v="10560.4917"/>
    <n v="2640.1229250000001"/>
    <x v="1"/>
    <n v="0.55400000000000005"/>
    <x v="1"/>
    <s v="Standard"/>
    <s v="Tier 1"/>
    <x v="1"/>
  </r>
  <r>
    <n v="40"/>
    <x v="3"/>
    <s v="male"/>
    <n v="32.299999999999997"/>
    <n v="2"/>
    <x v="1"/>
    <x v="2"/>
    <n v="6986.6970000000001"/>
    <n v="2328.8989999999999"/>
    <x v="1"/>
    <n v="0.374"/>
    <x v="1"/>
    <s v="Standard"/>
    <s v="Tier 4"/>
    <x v="4"/>
  </r>
  <r>
    <n v="45"/>
    <x v="3"/>
    <s v="male"/>
    <n v="39.805"/>
    <n v="0"/>
    <x v="1"/>
    <x v="3"/>
    <n v="7448.4039499999999"/>
    <n v="7448.4039499999999"/>
    <x v="1"/>
    <n v="0.40600000000000003"/>
    <x v="1"/>
    <s v="Standard"/>
    <s v="Tier 2"/>
    <x v="4"/>
  </r>
  <r>
    <n v="35"/>
    <x v="1"/>
    <s v="male"/>
    <n v="34.32"/>
    <n v="3"/>
    <x v="1"/>
    <x v="1"/>
    <n v="5934.3797999999997"/>
    <n v="1483.5949499999999"/>
    <x v="1"/>
    <n v="0.314"/>
    <x v="1"/>
    <s v="Standard"/>
    <s v="Tier 1"/>
    <x v="1"/>
  </r>
  <r>
    <n v="53"/>
    <x v="2"/>
    <s v="male"/>
    <n v="28.88"/>
    <n v="0"/>
    <x v="1"/>
    <x v="2"/>
    <n v="9869.8101999999999"/>
    <n v="9869.8101999999999"/>
    <x v="1"/>
    <n v="0.52500000000000002"/>
    <x v="0"/>
    <s v="Standard"/>
    <s v="Tier 4"/>
    <x v="3"/>
  </r>
  <r>
    <n v="30"/>
    <x v="1"/>
    <s v="male"/>
    <n v="24.4"/>
    <n v="3"/>
    <x v="0"/>
    <x v="0"/>
    <n v="18259.216"/>
    <n v="4564.8040000000001"/>
    <x v="0"/>
    <n v="0.77"/>
    <x v="2"/>
    <s v="High Risk"/>
    <s v="Tier 3"/>
    <x v="1"/>
  </r>
  <r>
    <n v="18"/>
    <x v="0"/>
    <s v="male"/>
    <n v="41.14"/>
    <n v="0"/>
    <x v="1"/>
    <x v="1"/>
    <n v="1146.7965999999999"/>
    <n v="1146.7965999999999"/>
    <x v="1"/>
    <n v="5.0000000000000001E-3"/>
    <x v="1"/>
    <s v="Standard"/>
    <s v="Tier 1"/>
    <x v="1"/>
  </r>
  <r>
    <n v="51"/>
    <x v="2"/>
    <s v="male"/>
    <n v="35.97"/>
    <n v="1"/>
    <x v="1"/>
    <x v="1"/>
    <n v="9386.1612999999998"/>
    <n v="4693.0806499999999"/>
    <x v="1"/>
    <n v="0.5"/>
    <x v="1"/>
    <s v="Standard"/>
    <s v="Tier 1"/>
    <x v="1"/>
  </r>
  <r>
    <n v="50"/>
    <x v="2"/>
    <s v="female"/>
    <n v="27.6"/>
    <n v="1"/>
    <x v="0"/>
    <x v="0"/>
    <n v="24520.263999999999"/>
    <n v="12260.132"/>
    <x v="0"/>
    <n v="0.84299999999999997"/>
    <x v="0"/>
    <s v="High Risk"/>
    <s v="Tier 3"/>
    <x v="0"/>
  </r>
  <r>
    <n v="31"/>
    <x v="1"/>
    <s v="female"/>
    <n v="29.26"/>
    <n v="1"/>
    <x v="1"/>
    <x v="1"/>
    <n v="4350.5144"/>
    <n v="2175.2572"/>
    <x v="1"/>
    <n v="0.22"/>
    <x v="0"/>
    <s v="Standard"/>
    <s v="Tier 1"/>
    <x v="4"/>
  </r>
  <r>
    <n v="35"/>
    <x v="1"/>
    <s v="female"/>
    <n v="27.7"/>
    <n v="3"/>
    <x v="1"/>
    <x v="0"/>
    <n v="6414.1779999999999"/>
    <n v="1603.5445"/>
    <x v="1"/>
    <n v="0.34399999999999997"/>
    <x v="0"/>
    <s v="Standard"/>
    <s v="Tier 3"/>
    <x v="3"/>
  </r>
  <r>
    <n v="60"/>
    <x v="4"/>
    <s v="male"/>
    <n v="36.954999999999998"/>
    <n v="0"/>
    <x v="1"/>
    <x v="3"/>
    <n v="12741.167450000001"/>
    <n v="12741.167450000001"/>
    <x v="1"/>
    <n v="0.66400000000000003"/>
    <x v="1"/>
    <s v="Standard"/>
    <s v="Tier 2"/>
    <x v="4"/>
  </r>
  <r>
    <n v="21"/>
    <x v="0"/>
    <s v="male"/>
    <n v="36.86"/>
    <n v="0"/>
    <x v="1"/>
    <x v="2"/>
    <n v="1917.3184000000001"/>
    <n v="1917.3184000000001"/>
    <x v="1"/>
    <n v="6.0999999999999999E-2"/>
    <x v="1"/>
    <s v="Standard"/>
    <s v="Tier 4"/>
    <x v="4"/>
  </r>
  <r>
    <n v="29"/>
    <x v="1"/>
    <s v="male"/>
    <n v="22.515000000000001"/>
    <n v="3"/>
    <x v="1"/>
    <x v="3"/>
    <n v="5209.5788499999999"/>
    <n v="1302.3947125"/>
    <x v="1"/>
    <n v="0.27700000000000002"/>
    <x v="2"/>
    <s v="Standard"/>
    <s v="Tier 2"/>
    <x v="2"/>
  </r>
  <r>
    <n v="62"/>
    <x v="4"/>
    <s v="female"/>
    <n v="29.92"/>
    <n v="0"/>
    <x v="1"/>
    <x v="1"/>
    <n v="13457.960800000001"/>
    <n v="13457.960800000001"/>
    <x v="0"/>
    <n v="0.69199999999999995"/>
    <x v="0"/>
    <s v="Standard"/>
    <s v="Tier 1"/>
    <x v="4"/>
  </r>
  <r>
    <n v="39"/>
    <x v="3"/>
    <s v="female"/>
    <n v="41.8"/>
    <n v="0"/>
    <x v="1"/>
    <x v="1"/>
    <n v="5662.2250000000004"/>
    <n v="5662.2250000000004"/>
    <x v="1"/>
    <n v="0.30499999999999999"/>
    <x v="1"/>
    <s v="Standard"/>
    <s v="Tier 1"/>
    <x v="1"/>
  </r>
  <r>
    <n v="19"/>
    <x v="0"/>
    <s v="male"/>
    <n v="27.6"/>
    <n v="0"/>
    <x v="1"/>
    <x v="0"/>
    <n v="1252.4069999999999"/>
    <n v="1252.4069999999999"/>
    <x v="1"/>
    <n v="8.9999999999999993E-3"/>
    <x v="0"/>
    <s v="Standard"/>
    <s v="Tier 3"/>
    <x v="3"/>
  </r>
  <r>
    <n v="22"/>
    <x v="0"/>
    <s v="female"/>
    <n v="23.18"/>
    <n v="0"/>
    <x v="1"/>
    <x v="3"/>
    <n v="2731.9122000000002"/>
    <n v="2731.9122000000002"/>
    <x v="1"/>
    <n v="0.128"/>
    <x v="2"/>
    <s v="Standard"/>
    <s v="Tier 2"/>
    <x v="2"/>
  </r>
  <r>
    <n v="53"/>
    <x v="2"/>
    <s v="male"/>
    <n v="20.9"/>
    <n v="0"/>
    <x v="0"/>
    <x v="1"/>
    <n v="21195.817999999999"/>
    <n v="21195.817999999999"/>
    <x v="0"/>
    <n v="0.81"/>
    <x v="2"/>
    <s v="High Risk"/>
    <s v="Tier 1"/>
    <x v="0"/>
  </r>
  <r>
    <n v="39"/>
    <x v="3"/>
    <s v="female"/>
    <n v="31.92"/>
    <n v="2"/>
    <x v="1"/>
    <x v="2"/>
    <n v="7209.4917999999998"/>
    <n v="2403.1639333333333"/>
    <x v="1"/>
    <n v="0.38800000000000001"/>
    <x v="1"/>
    <s v="Standard"/>
    <s v="Tier 4"/>
    <x v="4"/>
  </r>
  <r>
    <n v="27"/>
    <x v="1"/>
    <s v="male"/>
    <n v="28.5"/>
    <n v="0"/>
    <x v="0"/>
    <x v="2"/>
    <n v="18310.741999999998"/>
    <n v="18310.741999999998"/>
    <x v="0"/>
    <n v="0.77100000000000002"/>
    <x v="0"/>
    <s v="High Risk"/>
    <s v="Tier 4"/>
    <x v="0"/>
  </r>
  <r>
    <n v="30"/>
    <x v="1"/>
    <s v="male"/>
    <n v="44.22"/>
    <n v="2"/>
    <x v="1"/>
    <x v="1"/>
    <n v="4266.1657999999998"/>
    <n v="1422.0552666666665"/>
    <x v="1"/>
    <n v="0.215"/>
    <x v="1"/>
    <s v="Standard"/>
    <s v="Tier 1"/>
    <x v="1"/>
  </r>
  <r>
    <n v="30"/>
    <x v="1"/>
    <s v="female"/>
    <n v="22.895"/>
    <n v="1"/>
    <x v="1"/>
    <x v="3"/>
    <n v="4719.52405"/>
    <n v="2359.762025"/>
    <x v="1"/>
    <n v="0.248"/>
    <x v="2"/>
    <s v="Standard"/>
    <s v="Tier 2"/>
    <x v="2"/>
  </r>
  <r>
    <n v="58"/>
    <x v="4"/>
    <s v="female"/>
    <n v="33.1"/>
    <n v="0"/>
    <x v="1"/>
    <x v="0"/>
    <n v="11848.141"/>
    <n v="11848.141"/>
    <x v="1"/>
    <n v="0.623"/>
    <x v="1"/>
    <s v="Standard"/>
    <s v="Tier 3"/>
    <x v="4"/>
  </r>
  <r>
    <n v="33"/>
    <x v="1"/>
    <s v="male"/>
    <n v="24.795000000000002"/>
    <n v="0"/>
    <x v="0"/>
    <x v="3"/>
    <n v="17904.527050000001"/>
    <n v="17904.527050000001"/>
    <x v="0"/>
    <n v="0.76400000000000001"/>
    <x v="2"/>
    <s v="High Risk"/>
    <s v="Tier 2"/>
    <x v="1"/>
  </r>
  <r>
    <n v="42"/>
    <x v="3"/>
    <s v="female"/>
    <n v="26.18"/>
    <n v="1"/>
    <x v="1"/>
    <x v="1"/>
    <n v="7046.7222000000002"/>
    <n v="3523.3611000000001"/>
    <x v="1"/>
    <n v="0.376"/>
    <x v="0"/>
    <s v="Standard"/>
    <s v="Tier 1"/>
    <x v="4"/>
  </r>
  <r>
    <n v="64"/>
    <x v="4"/>
    <s v="female"/>
    <n v="35.97"/>
    <n v="0"/>
    <x v="1"/>
    <x v="1"/>
    <n v="14313.846299999999"/>
    <n v="14313.846299999999"/>
    <x v="0"/>
    <n v="0.71699999999999997"/>
    <x v="1"/>
    <s v="Standard"/>
    <s v="Tier 1"/>
    <x v="1"/>
  </r>
  <r>
    <n v="21"/>
    <x v="0"/>
    <s v="male"/>
    <n v="22.3"/>
    <n v="1"/>
    <x v="1"/>
    <x v="0"/>
    <n v="2103.08"/>
    <n v="1051.54"/>
    <x v="1"/>
    <n v="7.3999999999999996E-2"/>
    <x v="2"/>
    <s v="Standard"/>
    <s v="Tier 3"/>
    <x v="2"/>
  </r>
  <r>
    <n v="18"/>
    <x v="0"/>
    <s v="female"/>
    <n v="42.24"/>
    <n v="0"/>
    <x v="0"/>
    <x v="1"/>
    <n v="38792.685599999997"/>
    <n v="38792.685599999997"/>
    <x v="0"/>
    <n v="0.93"/>
    <x v="1"/>
    <s v="High Risk"/>
    <s v="Tier 1"/>
    <x v="6"/>
  </r>
  <r>
    <n v="23"/>
    <x v="0"/>
    <s v="male"/>
    <n v="26.51"/>
    <n v="0"/>
    <x v="1"/>
    <x v="1"/>
    <n v="1815.8759"/>
    <n v="1815.8759"/>
    <x v="1"/>
    <n v="5.0999999999999997E-2"/>
    <x v="0"/>
    <s v="Standard"/>
    <s v="Tier 1"/>
    <x v="4"/>
  </r>
  <r>
    <n v="45"/>
    <x v="3"/>
    <s v="female"/>
    <n v="35.814999999999998"/>
    <n v="0"/>
    <x v="1"/>
    <x v="2"/>
    <n v="7731.8578500000003"/>
    <n v="7731.8578500000003"/>
    <x v="1"/>
    <n v="0.41799999999999998"/>
    <x v="1"/>
    <s v="Standard"/>
    <s v="Tier 4"/>
    <x v="4"/>
  </r>
  <r>
    <n v="40"/>
    <x v="3"/>
    <s v="female"/>
    <n v="41.42"/>
    <n v="1"/>
    <x v="1"/>
    <x v="2"/>
    <n v="28476.734990000001"/>
    <n v="14238.367495"/>
    <x v="0"/>
    <n v="0.873"/>
    <x v="1"/>
    <s v="Standard"/>
    <s v="Tier 4"/>
    <x v="4"/>
  </r>
  <r>
    <n v="19"/>
    <x v="0"/>
    <s v="female"/>
    <n v="36.575000000000003"/>
    <n v="0"/>
    <x v="1"/>
    <x v="2"/>
    <n v="2136.8822500000001"/>
    <n v="2136.8822500000001"/>
    <x v="1"/>
    <n v="7.8E-2"/>
    <x v="1"/>
    <s v="Standard"/>
    <s v="Tier 4"/>
    <x v="4"/>
  </r>
  <r>
    <n v="18"/>
    <x v="0"/>
    <s v="male"/>
    <n v="30.14"/>
    <n v="0"/>
    <x v="1"/>
    <x v="1"/>
    <n v="1131.5065999999999"/>
    <n v="1131.5065999999999"/>
    <x v="1"/>
    <n v="0"/>
    <x v="1"/>
    <s v="Standard"/>
    <s v="Tier 1"/>
    <x v="1"/>
  </r>
  <r>
    <n v="25"/>
    <x v="0"/>
    <s v="male"/>
    <n v="25.84"/>
    <n v="1"/>
    <x v="1"/>
    <x v="3"/>
    <n v="3309.7926000000002"/>
    <n v="1654.8963000000001"/>
    <x v="1"/>
    <n v="0.161"/>
    <x v="0"/>
    <s v="Standard"/>
    <s v="Tier 2"/>
    <x v="3"/>
  </r>
  <r>
    <n v="46"/>
    <x v="2"/>
    <s v="female"/>
    <n v="30.8"/>
    <n v="3"/>
    <x v="1"/>
    <x v="0"/>
    <n v="9414.92"/>
    <n v="2353.73"/>
    <x v="1"/>
    <n v="0.502"/>
    <x v="1"/>
    <s v="Standard"/>
    <s v="Tier 3"/>
    <x v="4"/>
  </r>
  <r>
    <n v="33"/>
    <x v="1"/>
    <s v="female"/>
    <n v="42.94"/>
    <n v="3"/>
    <x v="1"/>
    <x v="2"/>
    <n v="6360.9935999999998"/>
    <n v="1590.2483999999999"/>
    <x v="1"/>
    <n v="0.34"/>
    <x v="1"/>
    <s v="Standard"/>
    <s v="Tier 4"/>
    <x v="4"/>
  </r>
  <r>
    <n v="54"/>
    <x v="2"/>
    <s v="male"/>
    <n v="21.01"/>
    <n v="2"/>
    <x v="1"/>
    <x v="1"/>
    <n v="11013.7119"/>
    <n v="3671.2373000000002"/>
    <x v="1"/>
    <n v="0.57699999999999996"/>
    <x v="2"/>
    <s v="Standard"/>
    <s v="Tier 1"/>
    <x v="3"/>
  </r>
  <r>
    <n v="28"/>
    <x v="1"/>
    <s v="male"/>
    <n v="22.515000000000001"/>
    <n v="2"/>
    <x v="1"/>
    <x v="3"/>
    <n v="4428.8878500000001"/>
    <n v="1476.2959499999999"/>
    <x v="1"/>
    <n v="0.22500000000000001"/>
    <x v="2"/>
    <s v="Standard"/>
    <s v="Tier 2"/>
    <x v="2"/>
  </r>
  <r>
    <n v="36"/>
    <x v="3"/>
    <s v="male"/>
    <n v="34.43"/>
    <n v="2"/>
    <x v="1"/>
    <x v="1"/>
    <n v="5584.3056999999999"/>
    <n v="1861.4352333333334"/>
    <x v="1"/>
    <n v="0.30099999999999999"/>
    <x v="1"/>
    <s v="Standard"/>
    <s v="Tier 1"/>
    <x v="1"/>
  </r>
  <r>
    <n v="20"/>
    <x v="0"/>
    <s v="female"/>
    <n v="31.46"/>
    <n v="0"/>
    <x v="1"/>
    <x v="1"/>
    <n v="1877.9294"/>
    <n v="1877.9294"/>
    <x v="1"/>
    <n v="5.7000000000000002E-2"/>
    <x v="1"/>
    <s v="Standard"/>
    <s v="Tier 1"/>
    <x v="1"/>
  </r>
  <r>
    <n v="24"/>
    <x v="0"/>
    <s v="female"/>
    <n v="24.225000000000001"/>
    <n v="0"/>
    <x v="1"/>
    <x v="2"/>
    <n v="2842.7607499999999"/>
    <n v="2842.7607499999999"/>
    <x v="1"/>
    <n v="0.13300000000000001"/>
    <x v="2"/>
    <s v="Standard"/>
    <s v="Tier 4"/>
    <x v="2"/>
  </r>
  <r>
    <n v="23"/>
    <x v="0"/>
    <s v="male"/>
    <n v="37.1"/>
    <n v="3"/>
    <x v="1"/>
    <x v="0"/>
    <n v="3597.596"/>
    <n v="899.399"/>
    <x v="1"/>
    <n v="0.18"/>
    <x v="1"/>
    <s v="Standard"/>
    <s v="Tier 3"/>
    <x v="4"/>
  </r>
  <r>
    <n v="47"/>
    <x v="2"/>
    <s v="female"/>
    <n v="26.125"/>
    <n v="1"/>
    <x v="0"/>
    <x v="3"/>
    <n v="23401.30575"/>
    <n v="11700.652875"/>
    <x v="0"/>
    <n v="0.83299999999999996"/>
    <x v="0"/>
    <s v="High Risk"/>
    <s v="Tier 2"/>
    <x v="0"/>
  </r>
  <r>
    <n v="33"/>
    <x v="1"/>
    <s v="female"/>
    <n v="35.53"/>
    <n v="0"/>
    <x v="0"/>
    <x v="2"/>
    <n v="55135.402090000003"/>
    <n v="55135.402090000003"/>
    <x v="0"/>
    <n v="0.997"/>
    <x v="1"/>
    <s v="High Risk"/>
    <s v="Tier 4"/>
    <x v="5"/>
  </r>
  <r>
    <n v="45"/>
    <x v="3"/>
    <s v="male"/>
    <n v="33.700000000000003"/>
    <n v="1"/>
    <x v="1"/>
    <x v="0"/>
    <n v="7445.9179999999997"/>
    <n v="3722.9589999999998"/>
    <x v="1"/>
    <n v="0.40500000000000003"/>
    <x v="1"/>
    <s v="Standard"/>
    <s v="Tier 3"/>
    <x v="4"/>
  </r>
  <r>
    <n v="26"/>
    <x v="1"/>
    <s v="male"/>
    <n v="17.670000000000002"/>
    <n v="0"/>
    <x v="1"/>
    <x v="2"/>
    <n v="2680.9493000000002"/>
    <n v="2680.9493000000002"/>
    <x v="1"/>
    <n v="0.12"/>
    <x v="3"/>
    <s v="Standard"/>
    <s v="Tier 4"/>
    <x v="2"/>
  </r>
  <r>
    <n v="18"/>
    <x v="0"/>
    <s v="female"/>
    <n v="31.13"/>
    <n v="0"/>
    <x v="1"/>
    <x v="1"/>
    <n v="1621.8827000000001"/>
    <n v="1621.8827000000001"/>
    <x v="1"/>
    <n v="0.02"/>
    <x v="1"/>
    <s v="Standard"/>
    <s v="Tier 1"/>
    <x v="1"/>
  </r>
  <r>
    <n v="44"/>
    <x v="3"/>
    <s v="female"/>
    <n v="29.81"/>
    <n v="2"/>
    <x v="1"/>
    <x v="1"/>
    <n v="8219.2039000000004"/>
    <n v="2739.7346333333335"/>
    <x v="1"/>
    <n v="0.436"/>
    <x v="0"/>
    <s v="Standard"/>
    <s v="Tier 1"/>
    <x v="4"/>
  </r>
  <r>
    <n v="60"/>
    <x v="4"/>
    <s v="male"/>
    <n v="24.32"/>
    <n v="0"/>
    <x v="1"/>
    <x v="2"/>
    <n v="12523.604799999999"/>
    <n v="12523.604799999999"/>
    <x v="1"/>
    <n v="0.65400000000000003"/>
    <x v="2"/>
    <s v="Standard"/>
    <s v="Tier 4"/>
    <x v="2"/>
  </r>
  <r>
    <n v="64"/>
    <x v="4"/>
    <s v="female"/>
    <n v="31.824999999999999"/>
    <n v="2"/>
    <x v="1"/>
    <x v="3"/>
    <n v="16069.08475"/>
    <n v="5356.3615833333333"/>
    <x v="0"/>
    <n v="0.74099999999999999"/>
    <x v="1"/>
    <s v="Standard"/>
    <s v="Tier 2"/>
    <x v="4"/>
  </r>
  <r>
    <n v="56"/>
    <x v="4"/>
    <s v="male"/>
    <n v="31.79"/>
    <n v="2"/>
    <x v="0"/>
    <x v="1"/>
    <n v="43813.866099999999"/>
    <n v="14604.622033333333"/>
    <x v="0"/>
    <n v="0.96399999999999997"/>
    <x v="1"/>
    <s v="High Risk"/>
    <s v="Tier 1"/>
    <x v="6"/>
  </r>
  <r>
    <n v="36"/>
    <x v="3"/>
    <s v="male"/>
    <n v="28.024999999999999"/>
    <n v="1"/>
    <x v="0"/>
    <x v="3"/>
    <n v="20773.62775"/>
    <n v="10386.813875"/>
    <x v="0"/>
    <n v="0.80500000000000005"/>
    <x v="0"/>
    <s v="High Risk"/>
    <s v="Tier 2"/>
    <x v="0"/>
  </r>
  <r>
    <n v="41"/>
    <x v="3"/>
    <s v="male"/>
    <n v="30.78"/>
    <n v="3"/>
    <x v="0"/>
    <x v="3"/>
    <n v="39597.407200000001"/>
    <n v="9899.3518000000004"/>
    <x v="0"/>
    <n v="0.93400000000000005"/>
    <x v="1"/>
    <s v="High Risk"/>
    <s v="Tier 2"/>
    <x v="5"/>
  </r>
  <r>
    <n v="39"/>
    <x v="3"/>
    <s v="male"/>
    <n v="21.85"/>
    <n v="1"/>
    <x v="1"/>
    <x v="2"/>
    <n v="6117.4944999999998"/>
    <n v="3058.7472499999999"/>
    <x v="1"/>
    <n v="0.32500000000000001"/>
    <x v="2"/>
    <s v="Standard"/>
    <s v="Tier 4"/>
    <x v="2"/>
  </r>
  <r>
    <n v="63"/>
    <x v="4"/>
    <s v="male"/>
    <n v="33.1"/>
    <n v="0"/>
    <x v="1"/>
    <x v="0"/>
    <n v="13393.755999999999"/>
    <n v="13393.755999999999"/>
    <x v="0"/>
    <n v="0.68799999999999994"/>
    <x v="1"/>
    <s v="Standard"/>
    <s v="Tier 3"/>
    <x v="4"/>
  </r>
  <r>
    <n v="36"/>
    <x v="3"/>
    <s v="female"/>
    <n v="25.84"/>
    <n v="0"/>
    <x v="1"/>
    <x v="2"/>
    <n v="5266.3656000000001"/>
    <n v="5266.3656000000001"/>
    <x v="1"/>
    <n v="0.28299999999999997"/>
    <x v="0"/>
    <s v="Standard"/>
    <s v="Tier 4"/>
    <x v="3"/>
  </r>
  <r>
    <n v="28"/>
    <x v="1"/>
    <s v="female"/>
    <n v="23.844999999999999"/>
    <n v="2"/>
    <x v="1"/>
    <x v="2"/>
    <n v="4719.7365499999996"/>
    <n v="1573.2455166666666"/>
    <x v="1"/>
    <n v="0.249"/>
    <x v="2"/>
    <s v="Standard"/>
    <s v="Tier 4"/>
    <x v="2"/>
  </r>
  <r>
    <n v="58"/>
    <x v="4"/>
    <s v="male"/>
    <n v="34.39"/>
    <n v="0"/>
    <x v="1"/>
    <x v="2"/>
    <n v="11743.9341"/>
    <n v="11743.9341"/>
    <x v="1"/>
    <n v="0.61699999999999999"/>
    <x v="1"/>
    <s v="Standard"/>
    <s v="Tier 4"/>
    <x v="4"/>
  </r>
  <r>
    <n v="36"/>
    <x v="3"/>
    <s v="male"/>
    <n v="33.82"/>
    <n v="1"/>
    <x v="1"/>
    <x v="2"/>
    <n v="5377.4578000000001"/>
    <n v="2688.7289000000001"/>
    <x v="1"/>
    <n v="0.28999999999999998"/>
    <x v="1"/>
    <s v="Standard"/>
    <s v="Tier 4"/>
    <x v="4"/>
  </r>
  <r>
    <n v="42"/>
    <x v="3"/>
    <s v="male"/>
    <n v="35.97"/>
    <n v="2"/>
    <x v="1"/>
    <x v="1"/>
    <n v="7160.3302999999996"/>
    <n v="2386.7767666666664"/>
    <x v="1"/>
    <n v="0.38500000000000001"/>
    <x v="1"/>
    <s v="Standard"/>
    <s v="Tier 1"/>
    <x v="1"/>
  </r>
  <r>
    <n v="36"/>
    <x v="3"/>
    <s v="male"/>
    <n v="31.5"/>
    <n v="0"/>
    <x v="1"/>
    <x v="0"/>
    <n v="4402.2330000000002"/>
    <n v="4402.2330000000002"/>
    <x v="1"/>
    <n v="0.223"/>
    <x v="1"/>
    <s v="Standard"/>
    <s v="Tier 3"/>
    <x v="4"/>
  </r>
  <r>
    <n v="56"/>
    <x v="4"/>
    <s v="female"/>
    <n v="28.31"/>
    <n v="0"/>
    <x v="1"/>
    <x v="3"/>
    <n v="11657.7189"/>
    <n v="11657.7189"/>
    <x v="1"/>
    <n v="0.61099999999999999"/>
    <x v="0"/>
    <s v="Standard"/>
    <s v="Tier 2"/>
    <x v="3"/>
  </r>
  <r>
    <n v="35"/>
    <x v="1"/>
    <s v="female"/>
    <n v="23.465"/>
    <n v="2"/>
    <x v="1"/>
    <x v="3"/>
    <n v="6402.2913500000004"/>
    <n v="2134.0971166666668"/>
    <x v="1"/>
    <n v="0.34300000000000003"/>
    <x v="2"/>
    <s v="Standard"/>
    <s v="Tier 2"/>
    <x v="2"/>
  </r>
  <r>
    <n v="59"/>
    <x v="4"/>
    <s v="female"/>
    <n v="31.35"/>
    <n v="0"/>
    <x v="1"/>
    <x v="2"/>
    <n v="12622.1795"/>
    <n v="12622.1795"/>
    <x v="1"/>
    <n v="0.65800000000000003"/>
    <x v="1"/>
    <s v="Standard"/>
    <s v="Tier 4"/>
    <x v="4"/>
  </r>
  <r>
    <n v="21"/>
    <x v="0"/>
    <s v="male"/>
    <n v="31.1"/>
    <n v="0"/>
    <x v="1"/>
    <x v="0"/>
    <n v="1526.3119999999999"/>
    <n v="1526.3119999999999"/>
    <x v="1"/>
    <n v="1.4999999999999999E-2"/>
    <x v="1"/>
    <s v="Standard"/>
    <s v="Tier 3"/>
    <x v="4"/>
  </r>
  <r>
    <n v="59"/>
    <x v="4"/>
    <s v="male"/>
    <n v="24.7"/>
    <n v="0"/>
    <x v="1"/>
    <x v="3"/>
    <n v="12323.936"/>
    <n v="12323.936"/>
    <x v="1"/>
    <n v="0.64600000000000002"/>
    <x v="2"/>
    <s v="Standard"/>
    <s v="Tier 2"/>
    <x v="2"/>
  </r>
  <r>
    <n v="23"/>
    <x v="0"/>
    <s v="female"/>
    <n v="32.78"/>
    <n v="2"/>
    <x v="0"/>
    <x v="1"/>
    <n v="36021.011200000001"/>
    <n v="12007.003733333333"/>
    <x v="0"/>
    <n v="0.90500000000000003"/>
    <x v="1"/>
    <s v="High Risk"/>
    <s v="Tier 1"/>
    <x v="6"/>
  </r>
  <r>
    <n v="57"/>
    <x v="4"/>
    <s v="female"/>
    <n v="29.81"/>
    <n v="0"/>
    <x v="0"/>
    <x v="1"/>
    <n v="27533.912899999999"/>
    <n v="27533.912899999999"/>
    <x v="0"/>
    <n v="0.86699999999999999"/>
    <x v="0"/>
    <s v="High Risk"/>
    <s v="Tier 1"/>
    <x v="5"/>
  </r>
  <r>
    <n v="53"/>
    <x v="2"/>
    <s v="male"/>
    <n v="30.495000000000001"/>
    <n v="0"/>
    <x v="1"/>
    <x v="3"/>
    <n v="10072.055050000001"/>
    <n v="10072.055050000001"/>
    <x v="1"/>
    <n v="0.53400000000000003"/>
    <x v="1"/>
    <s v="Standard"/>
    <s v="Tier 2"/>
    <x v="4"/>
  </r>
  <r>
    <n v="60"/>
    <x v="4"/>
    <s v="female"/>
    <n v="32.450000000000003"/>
    <n v="0"/>
    <x v="0"/>
    <x v="1"/>
    <n v="45008.955499999996"/>
    <n v="45008.955499999996"/>
    <x v="0"/>
    <n v="0.97199999999999998"/>
    <x v="1"/>
    <s v="High Risk"/>
    <s v="Tier 1"/>
    <x v="6"/>
  </r>
  <r>
    <n v="51"/>
    <x v="2"/>
    <s v="female"/>
    <n v="34.200000000000003"/>
    <n v="1"/>
    <x v="1"/>
    <x v="0"/>
    <n v="9872.7009999999991"/>
    <n v="4936.3504999999996"/>
    <x v="1"/>
    <n v="0.52600000000000002"/>
    <x v="1"/>
    <s v="Standard"/>
    <s v="Tier 3"/>
    <x v="4"/>
  </r>
  <r>
    <n v="23"/>
    <x v="0"/>
    <s v="male"/>
    <n v="50.38"/>
    <n v="1"/>
    <x v="1"/>
    <x v="1"/>
    <n v="2438.0551999999998"/>
    <n v="1219.0275999999999"/>
    <x v="1"/>
    <n v="0.104"/>
    <x v="1"/>
    <s v="Standard"/>
    <s v="Tier 1"/>
    <x v="1"/>
  </r>
  <r>
    <n v="27"/>
    <x v="1"/>
    <s v="female"/>
    <n v="24.1"/>
    <n v="0"/>
    <x v="1"/>
    <x v="0"/>
    <n v="2974.1260000000002"/>
    <n v="2974.1260000000002"/>
    <x v="1"/>
    <n v="0.14199999999999999"/>
    <x v="2"/>
    <s v="Standard"/>
    <s v="Tier 3"/>
    <x v="2"/>
  </r>
  <r>
    <n v="55"/>
    <x v="2"/>
    <s v="male"/>
    <n v="32.774999999999999"/>
    <n v="0"/>
    <x v="1"/>
    <x v="2"/>
    <n v="10601.632250000001"/>
    <n v="10601.632250000001"/>
    <x v="1"/>
    <n v="0.56000000000000005"/>
    <x v="1"/>
    <s v="Standard"/>
    <s v="Tier 4"/>
    <x v="4"/>
  </r>
  <r>
    <n v="37"/>
    <x v="3"/>
    <s v="female"/>
    <n v="30.78"/>
    <n v="0"/>
    <x v="0"/>
    <x v="3"/>
    <n v="37270.1512"/>
    <n v="37270.1512"/>
    <x v="0"/>
    <n v="0.91800000000000004"/>
    <x v="1"/>
    <s v="High Risk"/>
    <s v="Tier 2"/>
    <x v="5"/>
  </r>
  <r>
    <n v="61"/>
    <x v="4"/>
    <s v="male"/>
    <n v="32.299999999999997"/>
    <n v="2"/>
    <x v="1"/>
    <x v="2"/>
    <n v="14119.62"/>
    <n v="4706.54"/>
    <x v="0"/>
    <n v="0.71199999999999997"/>
    <x v="1"/>
    <s v="Standard"/>
    <s v="Tier 4"/>
    <x v="4"/>
  </r>
  <r>
    <n v="46"/>
    <x v="2"/>
    <s v="female"/>
    <n v="35.53"/>
    <n v="0"/>
    <x v="0"/>
    <x v="3"/>
    <n v="42111.664700000001"/>
    <n v="42111.664700000001"/>
    <x v="0"/>
    <n v="0.95399999999999996"/>
    <x v="1"/>
    <s v="High Risk"/>
    <s v="Tier 2"/>
    <x v="5"/>
  </r>
  <r>
    <n v="53"/>
    <x v="2"/>
    <s v="female"/>
    <n v="23.75"/>
    <n v="2"/>
    <x v="1"/>
    <x v="3"/>
    <n v="11729.6795"/>
    <n v="3909.8931666666667"/>
    <x v="1"/>
    <n v="0.61399999999999999"/>
    <x v="2"/>
    <s v="Standard"/>
    <s v="Tier 2"/>
    <x v="2"/>
  </r>
  <r>
    <n v="49"/>
    <x v="2"/>
    <s v="female"/>
    <n v="23.844999999999999"/>
    <n v="3"/>
    <x v="0"/>
    <x v="3"/>
    <n v="24106.912550000001"/>
    <n v="6026.7281375000002"/>
    <x v="0"/>
    <n v="0.83899999999999997"/>
    <x v="2"/>
    <s v="High Risk"/>
    <s v="Tier 2"/>
    <x v="1"/>
  </r>
  <r>
    <n v="20"/>
    <x v="0"/>
    <s v="female"/>
    <n v="29.6"/>
    <n v="0"/>
    <x v="1"/>
    <x v="0"/>
    <n v="1875.3440000000001"/>
    <n v="1875.3440000000001"/>
    <x v="1"/>
    <n v="5.6000000000000001E-2"/>
    <x v="0"/>
    <s v="Standard"/>
    <s v="Tier 3"/>
    <x v="3"/>
  </r>
  <r>
    <n v="48"/>
    <x v="2"/>
    <s v="female"/>
    <n v="33.11"/>
    <n v="0"/>
    <x v="0"/>
    <x v="1"/>
    <n v="40974.164900000003"/>
    <n v="40974.164900000003"/>
    <x v="0"/>
    <n v="0.94799999999999995"/>
    <x v="1"/>
    <s v="High Risk"/>
    <s v="Tier 1"/>
    <x v="6"/>
  </r>
  <r>
    <n v="25"/>
    <x v="0"/>
    <s v="male"/>
    <n v="24.13"/>
    <n v="0"/>
    <x v="0"/>
    <x v="2"/>
    <n v="15817.985699999999"/>
    <n v="15817.985699999999"/>
    <x v="0"/>
    <n v="0.73899999999999999"/>
    <x v="2"/>
    <s v="High Risk"/>
    <s v="Tier 4"/>
    <x v="1"/>
  </r>
  <r>
    <n v="25"/>
    <x v="0"/>
    <s v="female"/>
    <n v="32.229999999999997"/>
    <n v="1"/>
    <x v="1"/>
    <x v="1"/>
    <n v="18218.161390000001"/>
    <n v="9109.0806950000006"/>
    <x v="0"/>
    <n v="0.76800000000000002"/>
    <x v="1"/>
    <s v="Standard"/>
    <s v="Tier 1"/>
    <x v="1"/>
  </r>
  <r>
    <n v="57"/>
    <x v="4"/>
    <s v="male"/>
    <n v="28.1"/>
    <n v="0"/>
    <x v="1"/>
    <x v="0"/>
    <n v="10965.446"/>
    <n v="10965.446"/>
    <x v="1"/>
    <n v="0.57399999999999995"/>
    <x v="0"/>
    <s v="Standard"/>
    <s v="Tier 3"/>
    <x v="3"/>
  </r>
  <r>
    <n v="37"/>
    <x v="3"/>
    <s v="female"/>
    <n v="47.6"/>
    <n v="2"/>
    <x v="0"/>
    <x v="0"/>
    <n v="46113.510999999999"/>
    <n v="15371.170333333333"/>
    <x v="0"/>
    <n v="0.97499999999999998"/>
    <x v="1"/>
    <s v="High Risk"/>
    <s v="Tier 3"/>
    <x v="5"/>
  </r>
  <r>
    <n v="38"/>
    <x v="3"/>
    <s v="female"/>
    <n v="28"/>
    <n v="3"/>
    <x v="1"/>
    <x v="0"/>
    <n v="7151.0919999999996"/>
    <n v="1787.7729999999999"/>
    <x v="1"/>
    <n v="0.38200000000000001"/>
    <x v="0"/>
    <s v="Standard"/>
    <s v="Tier 3"/>
    <x v="3"/>
  </r>
  <r>
    <n v="55"/>
    <x v="2"/>
    <s v="female"/>
    <n v="33.534999999999997"/>
    <n v="2"/>
    <x v="1"/>
    <x v="2"/>
    <n v="12269.68865"/>
    <n v="4089.8962166666665"/>
    <x v="1"/>
    <n v="0.64600000000000002"/>
    <x v="1"/>
    <s v="Standard"/>
    <s v="Tier 4"/>
    <x v="4"/>
  </r>
  <r>
    <n v="36"/>
    <x v="3"/>
    <s v="female"/>
    <n v="19.855"/>
    <n v="0"/>
    <x v="1"/>
    <x v="3"/>
    <n v="5458.0464499999998"/>
    <n v="5458.0464499999998"/>
    <x v="1"/>
    <n v="0.29599999999999999"/>
    <x v="2"/>
    <s v="Standard"/>
    <s v="Tier 2"/>
    <x v="2"/>
  </r>
  <r>
    <n v="51"/>
    <x v="2"/>
    <s v="male"/>
    <n v="25.4"/>
    <n v="0"/>
    <x v="1"/>
    <x v="0"/>
    <n v="8782.4689999999991"/>
    <n v="8782.4689999999991"/>
    <x v="1"/>
    <n v="0.47099999999999997"/>
    <x v="0"/>
    <s v="Standard"/>
    <s v="Tier 3"/>
    <x v="3"/>
  </r>
  <r>
    <n v="40"/>
    <x v="3"/>
    <s v="male"/>
    <n v="29.9"/>
    <n v="2"/>
    <x v="1"/>
    <x v="0"/>
    <n v="6600.3609999999999"/>
    <n v="2200.1203333333333"/>
    <x v="1"/>
    <n v="0.35499999999999998"/>
    <x v="0"/>
    <s v="Standard"/>
    <s v="Tier 3"/>
    <x v="3"/>
  </r>
  <r>
    <n v="18"/>
    <x v="0"/>
    <s v="male"/>
    <n v="37.29"/>
    <n v="0"/>
    <x v="1"/>
    <x v="1"/>
    <n v="1141.4450999999999"/>
    <n v="1141.4450999999999"/>
    <x v="1"/>
    <n v="4.0000000000000001E-3"/>
    <x v="1"/>
    <s v="Standard"/>
    <s v="Tier 1"/>
    <x v="1"/>
  </r>
  <r>
    <n v="57"/>
    <x v="4"/>
    <s v="male"/>
    <n v="43.7"/>
    <n v="1"/>
    <x v="1"/>
    <x v="0"/>
    <n v="11576.13"/>
    <n v="5788.0649999999996"/>
    <x v="1"/>
    <n v="0.61"/>
    <x v="1"/>
    <s v="Standard"/>
    <s v="Tier 3"/>
    <x v="4"/>
  </r>
  <r>
    <n v="61"/>
    <x v="4"/>
    <s v="male"/>
    <n v="23.655000000000001"/>
    <n v="0"/>
    <x v="1"/>
    <x v="3"/>
    <n v="13129.603450000001"/>
    <n v="13129.603450000001"/>
    <x v="1"/>
    <n v="0.68"/>
    <x v="2"/>
    <s v="Standard"/>
    <s v="Tier 2"/>
    <x v="2"/>
  </r>
  <r>
    <n v="25"/>
    <x v="0"/>
    <s v="female"/>
    <n v="24.3"/>
    <n v="3"/>
    <x v="1"/>
    <x v="0"/>
    <n v="4391.652"/>
    <n v="1097.913"/>
    <x v="1"/>
    <n v="0.222"/>
    <x v="2"/>
    <s v="Standard"/>
    <s v="Tier 3"/>
    <x v="2"/>
  </r>
  <r>
    <n v="50"/>
    <x v="2"/>
    <s v="male"/>
    <n v="36.200000000000003"/>
    <n v="0"/>
    <x v="1"/>
    <x v="0"/>
    <n v="8457.8179999999993"/>
    <n v="8457.8179999999993"/>
    <x v="1"/>
    <n v="0.45100000000000001"/>
    <x v="1"/>
    <s v="Standard"/>
    <s v="Tier 3"/>
    <x v="4"/>
  </r>
  <r>
    <n v="26"/>
    <x v="1"/>
    <s v="female"/>
    <n v="29.48"/>
    <n v="1"/>
    <x v="1"/>
    <x v="1"/>
    <n v="3392.3652000000002"/>
    <n v="1696.1826000000001"/>
    <x v="1"/>
    <n v="0.16600000000000001"/>
    <x v="0"/>
    <s v="Standard"/>
    <s v="Tier 1"/>
    <x v="4"/>
  </r>
  <r>
    <n v="42"/>
    <x v="3"/>
    <s v="male"/>
    <n v="24.86"/>
    <n v="0"/>
    <x v="1"/>
    <x v="1"/>
    <n v="5966.8873999999996"/>
    <n v="5966.8873999999996"/>
    <x v="1"/>
    <n v="0.315"/>
    <x v="2"/>
    <s v="Standard"/>
    <s v="Tier 1"/>
    <x v="3"/>
  </r>
  <r>
    <n v="43"/>
    <x v="3"/>
    <s v="male"/>
    <n v="30.1"/>
    <n v="1"/>
    <x v="1"/>
    <x v="0"/>
    <n v="6849.0259999999998"/>
    <n v="3424.5129999999999"/>
    <x v="1"/>
    <n v="0.36799999999999999"/>
    <x v="1"/>
    <s v="Standard"/>
    <s v="Tier 3"/>
    <x v="4"/>
  </r>
  <r>
    <n v="44"/>
    <x v="3"/>
    <s v="male"/>
    <n v="21.85"/>
    <n v="3"/>
    <x v="1"/>
    <x v="3"/>
    <n v="8891.1394999999993"/>
    <n v="2222.7848749999998"/>
    <x v="1"/>
    <n v="0.47699999999999998"/>
    <x v="2"/>
    <s v="Standard"/>
    <s v="Tier 2"/>
    <x v="2"/>
  </r>
  <r>
    <n v="23"/>
    <x v="0"/>
    <s v="female"/>
    <n v="28.12"/>
    <n v="0"/>
    <x v="1"/>
    <x v="2"/>
    <n v="2690.1138000000001"/>
    <n v="2690.1138000000001"/>
    <x v="1"/>
    <n v="0.121"/>
    <x v="0"/>
    <s v="Standard"/>
    <s v="Tier 4"/>
    <x v="3"/>
  </r>
  <r>
    <n v="49"/>
    <x v="2"/>
    <s v="female"/>
    <n v="27.1"/>
    <n v="1"/>
    <x v="1"/>
    <x v="0"/>
    <n v="26140.3603"/>
    <n v="13070.18015"/>
    <x v="0"/>
    <n v="0.85799999999999998"/>
    <x v="0"/>
    <s v="Standard"/>
    <s v="Tier 3"/>
    <x v="3"/>
  </r>
  <r>
    <n v="33"/>
    <x v="1"/>
    <s v="male"/>
    <n v="33.44"/>
    <n v="5"/>
    <x v="1"/>
    <x v="1"/>
    <n v="6653.7885999999999"/>
    <n v="1108.9647666666667"/>
    <x v="1"/>
    <n v="0.35799999999999998"/>
    <x v="1"/>
    <s v="Standard"/>
    <s v="Tier 1"/>
    <x v="1"/>
  </r>
  <r>
    <n v="41"/>
    <x v="3"/>
    <s v="male"/>
    <n v="28.8"/>
    <n v="1"/>
    <x v="1"/>
    <x v="0"/>
    <n v="6282.2349999999997"/>
    <n v="3141.1174999999998"/>
    <x v="1"/>
    <n v="0.33400000000000002"/>
    <x v="0"/>
    <s v="Standard"/>
    <s v="Tier 3"/>
    <x v="3"/>
  </r>
  <r>
    <n v="37"/>
    <x v="3"/>
    <s v="female"/>
    <n v="29.5"/>
    <n v="2"/>
    <x v="1"/>
    <x v="0"/>
    <n v="6311.9520000000002"/>
    <n v="2103.9839999999999"/>
    <x v="1"/>
    <n v="0.33500000000000002"/>
    <x v="0"/>
    <s v="Standard"/>
    <s v="Tier 3"/>
    <x v="3"/>
  </r>
  <r>
    <n v="22"/>
    <x v="0"/>
    <s v="male"/>
    <n v="34.799999999999997"/>
    <n v="3"/>
    <x v="1"/>
    <x v="0"/>
    <n v="3443.0639999999999"/>
    <n v="860.76599999999996"/>
    <x v="1"/>
    <n v="0.16900000000000001"/>
    <x v="1"/>
    <s v="Standard"/>
    <s v="Tier 3"/>
    <x v="4"/>
  </r>
  <r>
    <n v="23"/>
    <x v="0"/>
    <s v="male"/>
    <n v="27.36"/>
    <n v="1"/>
    <x v="1"/>
    <x v="2"/>
    <n v="2789.0574000000001"/>
    <n v="1394.5287000000001"/>
    <x v="1"/>
    <n v="0.13100000000000001"/>
    <x v="0"/>
    <s v="Standard"/>
    <s v="Tier 4"/>
    <x v="3"/>
  </r>
  <r>
    <n v="21"/>
    <x v="0"/>
    <s v="female"/>
    <n v="22.135000000000002"/>
    <n v="0"/>
    <x v="1"/>
    <x v="3"/>
    <n v="2585.8506499999999"/>
    <n v="2585.8506499999999"/>
    <x v="1"/>
    <n v="0.11600000000000001"/>
    <x v="2"/>
    <s v="Standard"/>
    <s v="Tier 2"/>
    <x v="2"/>
  </r>
  <r>
    <n v="51"/>
    <x v="2"/>
    <s v="female"/>
    <n v="37.049999999999997"/>
    <n v="3"/>
    <x v="0"/>
    <x v="3"/>
    <n v="46255.112500000003"/>
    <n v="11563.778125000001"/>
    <x v="0"/>
    <n v="0.97799999999999998"/>
    <x v="1"/>
    <s v="High Risk"/>
    <s v="Tier 2"/>
    <x v="5"/>
  </r>
  <r>
    <n v="25"/>
    <x v="0"/>
    <s v="male"/>
    <n v="26.695"/>
    <n v="4"/>
    <x v="1"/>
    <x v="2"/>
    <n v="4877.9810500000003"/>
    <n v="975.59621000000004"/>
    <x v="1"/>
    <n v="0.25900000000000001"/>
    <x v="0"/>
    <s v="Standard"/>
    <s v="Tier 4"/>
    <x v="3"/>
  </r>
  <r>
    <n v="32"/>
    <x v="1"/>
    <s v="male"/>
    <n v="28.93"/>
    <n v="1"/>
    <x v="0"/>
    <x v="1"/>
    <n v="19719.6947"/>
    <n v="9859.84735"/>
    <x v="0"/>
    <n v="0.79200000000000004"/>
    <x v="0"/>
    <s v="High Risk"/>
    <s v="Tier 1"/>
    <x v="5"/>
  </r>
  <r>
    <n v="57"/>
    <x v="4"/>
    <s v="male"/>
    <n v="28.975000000000001"/>
    <n v="0"/>
    <x v="0"/>
    <x v="3"/>
    <n v="27218.437249999999"/>
    <n v="27218.437249999999"/>
    <x v="0"/>
    <n v="0.86399999999999999"/>
    <x v="0"/>
    <s v="High Risk"/>
    <s v="Tier 2"/>
    <x v="0"/>
  </r>
  <r>
    <n v="36"/>
    <x v="3"/>
    <s v="female"/>
    <n v="30.02"/>
    <n v="0"/>
    <x v="1"/>
    <x v="2"/>
    <n v="5272.1758"/>
    <n v="5272.1758"/>
    <x v="1"/>
    <n v="0.28399999999999997"/>
    <x v="1"/>
    <s v="Standard"/>
    <s v="Tier 4"/>
    <x v="4"/>
  </r>
  <r>
    <n v="22"/>
    <x v="0"/>
    <s v="male"/>
    <n v="39.5"/>
    <n v="0"/>
    <x v="1"/>
    <x v="0"/>
    <n v="1682.597"/>
    <n v="1682.597"/>
    <x v="1"/>
    <n v="3.4000000000000002E-2"/>
    <x v="1"/>
    <s v="Standard"/>
    <s v="Tier 3"/>
    <x v="4"/>
  </r>
  <r>
    <n v="57"/>
    <x v="4"/>
    <s v="male"/>
    <n v="33.630000000000003"/>
    <n v="1"/>
    <x v="1"/>
    <x v="2"/>
    <n v="11945.1327"/>
    <n v="5972.5663500000001"/>
    <x v="1"/>
    <n v="0.63"/>
    <x v="1"/>
    <s v="Standard"/>
    <s v="Tier 4"/>
    <x v="4"/>
  </r>
  <r>
    <n v="64"/>
    <x v="4"/>
    <s v="female"/>
    <n v="26.885000000000002"/>
    <n v="0"/>
    <x v="0"/>
    <x v="2"/>
    <n v="29330.98315"/>
    <n v="29330.98315"/>
    <x v="0"/>
    <n v="0.878"/>
    <x v="0"/>
    <s v="High Risk"/>
    <s v="Tier 4"/>
    <x v="0"/>
  </r>
  <r>
    <n v="36"/>
    <x v="3"/>
    <s v="female"/>
    <n v="29.04"/>
    <n v="4"/>
    <x v="1"/>
    <x v="1"/>
    <n v="7243.8136000000004"/>
    <n v="1448.7627200000002"/>
    <x v="1"/>
    <n v="0.39100000000000001"/>
    <x v="0"/>
    <s v="Standard"/>
    <s v="Tier 1"/>
    <x v="4"/>
  </r>
  <r>
    <n v="54"/>
    <x v="2"/>
    <s v="male"/>
    <n v="24.035"/>
    <n v="0"/>
    <x v="1"/>
    <x v="3"/>
    <n v="10422.916649999999"/>
    <n v="10422.916649999999"/>
    <x v="1"/>
    <n v="0.54900000000000004"/>
    <x v="2"/>
    <s v="Standard"/>
    <s v="Tier 2"/>
    <x v="2"/>
  </r>
  <r>
    <n v="47"/>
    <x v="2"/>
    <s v="male"/>
    <n v="38.94"/>
    <n v="2"/>
    <x v="0"/>
    <x v="1"/>
    <n v="44202.653599999998"/>
    <n v="14734.217866666666"/>
    <x v="0"/>
    <n v="0.96699999999999997"/>
    <x v="1"/>
    <s v="High Risk"/>
    <s v="Tier 1"/>
    <x v="6"/>
  </r>
  <r>
    <n v="62"/>
    <x v="4"/>
    <s v="male"/>
    <n v="32.11"/>
    <n v="0"/>
    <x v="1"/>
    <x v="3"/>
    <n v="13555.0049"/>
    <n v="13555.0049"/>
    <x v="0"/>
    <n v="0.69499999999999995"/>
    <x v="1"/>
    <s v="Standard"/>
    <s v="Tier 2"/>
    <x v="4"/>
  </r>
  <r>
    <n v="61"/>
    <x v="4"/>
    <s v="female"/>
    <n v="44"/>
    <n v="0"/>
    <x v="1"/>
    <x v="0"/>
    <n v="13063.883"/>
    <n v="13063.883"/>
    <x v="1"/>
    <n v="0.67800000000000005"/>
    <x v="1"/>
    <s v="Standard"/>
    <s v="Tier 3"/>
    <x v="4"/>
  </r>
  <r>
    <n v="43"/>
    <x v="3"/>
    <s v="female"/>
    <n v="20.045000000000002"/>
    <n v="2"/>
    <x v="0"/>
    <x v="3"/>
    <n v="19798.054550000001"/>
    <n v="6599.3515166666666"/>
    <x v="0"/>
    <n v="0.79400000000000004"/>
    <x v="2"/>
    <s v="High Risk"/>
    <s v="Tier 2"/>
    <x v="1"/>
  </r>
  <r>
    <n v="19"/>
    <x v="0"/>
    <s v="male"/>
    <n v="25.555"/>
    <n v="1"/>
    <x v="1"/>
    <x v="2"/>
    <n v="2221.5644499999999"/>
    <n v="1110.7822249999999"/>
    <x v="1"/>
    <n v="9.2999999999999999E-2"/>
    <x v="0"/>
    <s v="Standard"/>
    <s v="Tier 4"/>
    <x v="3"/>
  </r>
  <r>
    <n v="18"/>
    <x v="0"/>
    <s v="female"/>
    <n v="40.26"/>
    <n v="0"/>
    <x v="1"/>
    <x v="1"/>
    <n v="1634.5734"/>
    <n v="1634.5734"/>
    <x v="1"/>
    <n v="2.9000000000000001E-2"/>
    <x v="1"/>
    <s v="Standard"/>
    <s v="Tier 1"/>
    <x v="1"/>
  </r>
  <r>
    <n v="19"/>
    <x v="0"/>
    <s v="female"/>
    <n v="22.515000000000001"/>
    <n v="0"/>
    <x v="1"/>
    <x v="2"/>
    <n v="2117.3388500000001"/>
    <n v="2117.3388500000001"/>
    <x v="1"/>
    <n v="7.4999999999999997E-2"/>
    <x v="2"/>
    <s v="Standard"/>
    <s v="Tier 4"/>
    <x v="2"/>
  </r>
  <r>
    <n v="49"/>
    <x v="2"/>
    <s v="male"/>
    <n v="22.515000000000001"/>
    <n v="0"/>
    <x v="1"/>
    <x v="3"/>
    <n v="8688.8588500000005"/>
    <n v="8688.8588500000005"/>
    <x v="1"/>
    <n v="0.46800000000000003"/>
    <x v="2"/>
    <s v="Standard"/>
    <s v="Tier 2"/>
    <x v="2"/>
  </r>
  <r>
    <n v="60"/>
    <x v="4"/>
    <s v="male"/>
    <n v="40.92"/>
    <n v="0"/>
    <x v="0"/>
    <x v="1"/>
    <n v="48673.558799999999"/>
    <n v="48673.558799999999"/>
    <x v="0"/>
    <n v="0.99099999999999999"/>
    <x v="1"/>
    <s v="High Risk"/>
    <s v="Tier 1"/>
    <x v="6"/>
  </r>
  <r>
    <n v="26"/>
    <x v="1"/>
    <s v="male"/>
    <n v="27.265000000000001"/>
    <n v="3"/>
    <x v="1"/>
    <x v="3"/>
    <n v="4661.2863500000003"/>
    <n v="1165.3215875000001"/>
    <x v="1"/>
    <n v="0.24299999999999999"/>
    <x v="0"/>
    <s v="Standard"/>
    <s v="Tier 2"/>
    <x v="3"/>
  </r>
  <r>
    <n v="49"/>
    <x v="2"/>
    <s v="male"/>
    <n v="36.85"/>
    <n v="0"/>
    <x v="1"/>
    <x v="1"/>
    <n v="8125.7844999999998"/>
    <n v="8125.7844999999998"/>
    <x v="1"/>
    <n v="0.434"/>
    <x v="1"/>
    <s v="Standard"/>
    <s v="Tier 1"/>
    <x v="1"/>
  </r>
  <r>
    <n v="60"/>
    <x v="4"/>
    <s v="female"/>
    <n v="35.1"/>
    <n v="0"/>
    <x v="1"/>
    <x v="0"/>
    <n v="12644.589"/>
    <n v="12644.589"/>
    <x v="1"/>
    <n v="0.66100000000000003"/>
    <x v="1"/>
    <s v="Standard"/>
    <s v="Tier 3"/>
    <x v="4"/>
  </r>
  <r>
    <n v="26"/>
    <x v="1"/>
    <s v="female"/>
    <n v="29.355"/>
    <n v="2"/>
    <x v="1"/>
    <x v="3"/>
    <n v="4564.1914500000003"/>
    <n v="1521.39715"/>
    <x v="1"/>
    <n v="0.24"/>
    <x v="0"/>
    <s v="Standard"/>
    <s v="Tier 2"/>
    <x v="3"/>
  </r>
  <r>
    <n v="27"/>
    <x v="1"/>
    <s v="male"/>
    <n v="32.585000000000001"/>
    <n v="3"/>
    <x v="1"/>
    <x v="3"/>
    <n v="4846.9201499999999"/>
    <n v="1211.7300375"/>
    <x v="1"/>
    <n v="0.25800000000000001"/>
    <x v="1"/>
    <s v="Standard"/>
    <s v="Tier 2"/>
    <x v="4"/>
  </r>
  <r>
    <n v="44"/>
    <x v="3"/>
    <s v="female"/>
    <n v="32.340000000000003"/>
    <n v="1"/>
    <x v="1"/>
    <x v="1"/>
    <n v="7633.7205999999996"/>
    <n v="3816.8602999999998"/>
    <x v="1"/>
    <n v="0.41199999999999998"/>
    <x v="1"/>
    <s v="Standard"/>
    <s v="Tier 1"/>
    <x v="1"/>
  </r>
  <r>
    <n v="63"/>
    <x v="4"/>
    <s v="male"/>
    <n v="39.799999999999997"/>
    <n v="3"/>
    <x v="1"/>
    <x v="0"/>
    <n v="15170.069"/>
    <n v="3792.5172499999999"/>
    <x v="0"/>
    <n v="0.73499999999999999"/>
    <x v="1"/>
    <s v="Standard"/>
    <s v="Tier 3"/>
    <x v="4"/>
  </r>
  <r>
    <n v="32"/>
    <x v="1"/>
    <s v="female"/>
    <n v="24.6"/>
    <n v="0"/>
    <x v="0"/>
    <x v="0"/>
    <n v="17496.306"/>
    <n v="17496.306"/>
    <x v="0"/>
    <n v="0.75900000000000001"/>
    <x v="2"/>
    <s v="High Risk"/>
    <s v="Tier 3"/>
    <x v="1"/>
  </r>
  <r>
    <n v="22"/>
    <x v="0"/>
    <s v="male"/>
    <n v="28.31"/>
    <n v="1"/>
    <x v="1"/>
    <x v="2"/>
    <n v="2639.0428999999999"/>
    <n v="1319.52145"/>
    <x v="1"/>
    <n v="0.11799999999999999"/>
    <x v="0"/>
    <s v="Standard"/>
    <s v="Tier 4"/>
    <x v="3"/>
  </r>
  <r>
    <n v="18"/>
    <x v="0"/>
    <s v="male"/>
    <n v="31.73"/>
    <n v="0"/>
    <x v="0"/>
    <x v="3"/>
    <n v="33732.686699999998"/>
    <n v="33732.686699999998"/>
    <x v="0"/>
    <n v="0.89"/>
    <x v="1"/>
    <s v="High Risk"/>
    <s v="Tier 2"/>
    <x v="5"/>
  </r>
  <r>
    <n v="59"/>
    <x v="4"/>
    <s v="female"/>
    <n v="26.695"/>
    <n v="3"/>
    <x v="1"/>
    <x v="2"/>
    <n v="14382.709049999999"/>
    <n v="3595.6772624999999"/>
    <x v="0"/>
    <n v="0.72"/>
    <x v="0"/>
    <s v="Standard"/>
    <s v="Tier 4"/>
    <x v="3"/>
  </r>
  <r>
    <n v="44"/>
    <x v="3"/>
    <s v="female"/>
    <n v="27.5"/>
    <n v="1"/>
    <x v="1"/>
    <x v="0"/>
    <n v="7626.9930000000004"/>
    <n v="3813.4965000000002"/>
    <x v="1"/>
    <n v="0.41099999999999998"/>
    <x v="0"/>
    <s v="Standard"/>
    <s v="Tier 3"/>
    <x v="3"/>
  </r>
  <r>
    <n v="33"/>
    <x v="1"/>
    <s v="male"/>
    <n v="24.605"/>
    <n v="2"/>
    <x v="1"/>
    <x v="2"/>
    <n v="5257.5079500000002"/>
    <n v="1752.5026500000001"/>
    <x v="1"/>
    <n v="0.28100000000000003"/>
    <x v="2"/>
    <s v="Standard"/>
    <s v="Tier 4"/>
    <x v="2"/>
  </r>
  <r>
    <n v="24"/>
    <x v="0"/>
    <s v="female"/>
    <n v="33.99"/>
    <n v="0"/>
    <x v="1"/>
    <x v="1"/>
    <n v="2473.3341"/>
    <n v="2473.3341"/>
    <x v="1"/>
    <n v="0.108"/>
    <x v="1"/>
    <s v="Standard"/>
    <s v="Tier 1"/>
    <x v="1"/>
  </r>
  <r>
    <n v="43"/>
    <x v="3"/>
    <s v="female"/>
    <n v="26.885000000000002"/>
    <n v="0"/>
    <x v="0"/>
    <x v="2"/>
    <n v="21774.32215"/>
    <n v="21774.32215"/>
    <x v="0"/>
    <n v="0.81799999999999995"/>
    <x v="0"/>
    <s v="High Risk"/>
    <s v="Tier 4"/>
    <x v="0"/>
  </r>
  <r>
    <n v="45"/>
    <x v="3"/>
    <s v="male"/>
    <n v="22.895"/>
    <n v="0"/>
    <x v="0"/>
    <x v="3"/>
    <n v="35069.374519999998"/>
    <n v="35069.374519999998"/>
    <x v="0"/>
    <n v="0.90100000000000002"/>
    <x v="2"/>
    <s v="High Risk"/>
    <s v="Tier 2"/>
    <x v="1"/>
  </r>
  <r>
    <n v="61"/>
    <x v="4"/>
    <s v="female"/>
    <n v="28.2"/>
    <n v="0"/>
    <x v="1"/>
    <x v="0"/>
    <n v="13041.921"/>
    <n v="13041.921"/>
    <x v="1"/>
    <n v="0.67600000000000005"/>
    <x v="0"/>
    <s v="Standard"/>
    <s v="Tier 3"/>
    <x v="3"/>
  </r>
  <r>
    <n v="35"/>
    <x v="1"/>
    <s v="female"/>
    <n v="34.21"/>
    <n v="1"/>
    <x v="1"/>
    <x v="1"/>
    <n v="5245.2268999999997"/>
    <n v="2622.6134499999998"/>
    <x v="1"/>
    <n v="0.27900000000000003"/>
    <x v="1"/>
    <s v="Standard"/>
    <s v="Tier 1"/>
    <x v="1"/>
  </r>
  <r>
    <n v="62"/>
    <x v="4"/>
    <s v="female"/>
    <n v="25"/>
    <n v="0"/>
    <x v="1"/>
    <x v="0"/>
    <n v="13451.121999999999"/>
    <n v="13451.121999999999"/>
    <x v="0"/>
    <n v="0.69099999999999995"/>
    <x v="0"/>
    <s v="Standard"/>
    <s v="Tier 3"/>
    <x v="3"/>
  </r>
  <r>
    <n v="62"/>
    <x v="4"/>
    <s v="female"/>
    <n v="33.200000000000003"/>
    <n v="0"/>
    <x v="1"/>
    <x v="0"/>
    <n v="13462.52"/>
    <n v="13462.52"/>
    <x v="0"/>
    <n v="0.69299999999999995"/>
    <x v="1"/>
    <s v="Standard"/>
    <s v="Tier 3"/>
    <x v="4"/>
  </r>
  <r>
    <n v="38"/>
    <x v="3"/>
    <s v="male"/>
    <n v="31"/>
    <n v="1"/>
    <x v="1"/>
    <x v="0"/>
    <n v="5488.2619999999997"/>
    <n v="2744.1309999999999"/>
    <x v="1"/>
    <n v="0.3"/>
    <x v="1"/>
    <s v="Standard"/>
    <s v="Tier 3"/>
    <x v="4"/>
  </r>
  <r>
    <n v="34"/>
    <x v="1"/>
    <s v="male"/>
    <n v="35.814999999999998"/>
    <n v="0"/>
    <x v="1"/>
    <x v="2"/>
    <n v="4320.4108500000002"/>
    <n v="4320.4108500000002"/>
    <x v="1"/>
    <n v="0.216"/>
    <x v="1"/>
    <s v="Standard"/>
    <s v="Tier 4"/>
    <x v="4"/>
  </r>
  <r>
    <n v="43"/>
    <x v="3"/>
    <s v="male"/>
    <n v="23.2"/>
    <n v="0"/>
    <x v="1"/>
    <x v="0"/>
    <n v="6250.4350000000004"/>
    <n v="6250.4350000000004"/>
    <x v="1"/>
    <n v="0.33200000000000002"/>
    <x v="2"/>
    <s v="Standard"/>
    <s v="Tier 3"/>
    <x v="2"/>
  </r>
  <r>
    <n v="50"/>
    <x v="2"/>
    <s v="male"/>
    <n v="32.11"/>
    <n v="2"/>
    <x v="1"/>
    <x v="3"/>
    <n v="25333.332839999999"/>
    <n v="8444.4442799999997"/>
    <x v="0"/>
    <n v="0.85099999999999998"/>
    <x v="1"/>
    <s v="Standard"/>
    <s v="Tier 2"/>
    <x v="4"/>
  </r>
  <r>
    <n v="19"/>
    <x v="0"/>
    <s v="female"/>
    <n v="23.4"/>
    <n v="2"/>
    <x v="1"/>
    <x v="0"/>
    <n v="2913.569"/>
    <n v="971.18966666666665"/>
    <x v="1"/>
    <n v="0.14000000000000001"/>
    <x v="2"/>
    <s v="Standard"/>
    <s v="Tier 3"/>
    <x v="2"/>
  </r>
  <r>
    <n v="57"/>
    <x v="4"/>
    <s v="female"/>
    <n v="20.100000000000001"/>
    <n v="1"/>
    <x v="1"/>
    <x v="0"/>
    <n v="12032.325999999999"/>
    <n v="6016.1629999999996"/>
    <x v="1"/>
    <n v="0.63300000000000001"/>
    <x v="2"/>
    <s v="Standard"/>
    <s v="Tier 3"/>
    <x v="2"/>
  </r>
  <r>
    <n v="62"/>
    <x v="4"/>
    <s v="female"/>
    <n v="39.159999999999997"/>
    <n v="0"/>
    <x v="1"/>
    <x v="1"/>
    <n v="13470.804400000001"/>
    <n v="13470.804400000001"/>
    <x v="0"/>
    <n v="0.69399999999999995"/>
    <x v="1"/>
    <s v="Standard"/>
    <s v="Tier 1"/>
    <x v="1"/>
  </r>
  <r>
    <n v="41"/>
    <x v="3"/>
    <s v="male"/>
    <n v="34.21"/>
    <n v="1"/>
    <x v="1"/>
    <x v="1"/>
    <n v="6289.7548999999999"/>
    <n v="3144.87745"/>
    <x v="1"/>
    <n v="0.33500000000000002"/>
    <x v="1"/>
    <s v="Standard"/>
    <s v="Tier 1"/>
    <x v="1"/>
  </r>
  <r>
    <n v="26"/>
    <x v="1"/>
    <s v="male"/>
    <n v="46.53"/>
    <n v="1"/>
    <x v="1"/>
    <x v="1"/>
    <n v="2927.0646999999999"/>
    <n v="1463.53235"/>
    <x v="1"/>
    <n v="0.14099999999999999"/>
    <x v="1"/>
    <s v="Standard"/>
    <s v="Tier 1"/>
    <x v="1"/>
  </r>
  <r>
    <n v="39"/>
    <x v="3"/>
    <s v="female"/>
    <n v="32.5"/>
    <n v="1"/>
    <x v="1"/>
    <x v="0"/>
    <n v="6238.2979999999998"/>
    <n v="3119.1489999999999"/>
    <x v="1"/>
    <n v="0.33200000000000002"/>
    <x v="1"/>
    <s v="Standard"/>
    <s v="Tier 3"/>
    <x v="4"/>
  </r>
  <r>
    <n v="46"/>
    <x v="2"/>
    <s v="male"/>
    <n v="25.8"/>
    <n v="5"/>
    <x v="1"/>
    <x v="0"/>
    <n v="10096.969999999999"/>
    <n v="1682.8283333333331"/>
    <x v="1"/>
    <n v="0.53500000000000003"/>
    <x v="0"/>
    <s v="Standard"/>
    <s v="Tier 3"/>
    <x v="3"/>
  </r>
  <r>
    <n v="45"/>
    <x v="3"/>
    <s v="female"/>
    <n v="35.299999999999997"/>
    <n v="0"/>
    <x v="1"/>
    <x v="0"/>
    <n v="7348.1419999999998"/>
    <n v="7348.1419999999998"/>
    <x v="1"/>
    <n v="0.39800000000000002"/>
    <x v="1"/>
    <s v="Standard"/>
    <s v="Tier 3"/>
    <x v="4"/>
  </r>
  <r>
    <n v="32"/>
    <x v="1"/>
    <s v="male"/>
    <n v="37.18"/>
    <n v="2"/>
    <x v="1"/>
    <x v="1"/>
    <n v="4673.3922000000002"/>
    <n v="1557.7974000000002"/>
    <x v="1"/>
    <n v="0.245"/>
    <x v="1"/>
    <s v="Standard"/>
    <s v="Tier 1"/>
    <x v="1"/>
  </r>
  <r>
    <n v="59"/>
    <x v="4"/>
    <s v="female"/>
    <n v="27.5"/>
    <n v="0"/>
    <x v="1"/>
    <x v="0"/>
    <n v="12233.828"/>
    <n v="12233.828"/>
    <x v="1"/>
    <n v="0.64200000000000002"/>
    <x v="0"/>
    <s v="Standard"/>
    <s v="Tier 3"/>
    <x v="3"/>
  </r>
  <r>
    <n v="44"/>
    <x v="3"/>
    <s v="male"/>
    <n v="29.734999999999999"/>
    <n v="2"/>
    <x v="1"/>
    <x v="3"/>
    <n v="32108.662820000001"/>
    <n v="10702.887606666667"/>
    <x v="0"/>
    <n v="0.88400000000000001"/>
    <x v="0"/>
    <s v="Standard"/>
    <s v="Tier 2"/>
    <x v="3"/>
  </r>
  <r>
    <n v="39"/>
    <x v="3"/>
    <s v="female"/>
    <n v="24.225000000000001"/>
    <n v="5"/>
    <x v="1"/>
    <x v="2"/>
    <n v="8965.7957499999993"/>
    <n v="1494.2992916666665"/>
    <x v="1"/>
    <n v="0.48099999999999998"/>
    <x v="2"/>
    <s v="Standard"/>
    <s v="Tier 4"/>
    <x v="2"/>
  </r>
  <r>
    <n v="18"/>
    <x v="0"/>
    <s v="male"/>
    <n v="26.18"/>
    <n v="2"/>
    <x v="1"/>
    <x v="1"/>
    <n v="2304.0021999999999"/>
    <n v="768.0007333333333"/>
    <x v="1"/>
    <n v="9.7000000000000003E-2"/>
    <x v="0"/>
    <s v="Standard"/>
    <s v="Tier 1"/>
    <x v="4"/>
  </r>
  <r>
    <n v="53"/>
    <x v="2"/>
    <s v="male"/>
    <n v="29.48"/>
    <n v="0"/>
    <x v="1"/>
    <x v="1"/>
    <n v="9487.6442000000006"/>
    <n v="9487.6442000000006"/>
    <x v="1"/>
    <n v="0.505"/>
    <x v="0"/>
    <s v="Standard"/>
    <s v="Tier 1"/>
    <x v="4"/>
  </r>
  <r>
    <n v="18"/>
    <x v="0"/>
    <s v="male"/>
    <n v="23.21"/>
    <n v="0"/>
    <x v="1"/>
    <x v="1"/>
    <n v="1121.8739"/>
    <n v="1121.8739"/>
    <x v="1"/>
    <n v="0"/>
    <x v="2"/>
    <s v="Standard"/>
    <s v="Tier 1"/>
    <x v="3"/>
  </r>
  <r>
    <n v="50"/>
    <x v="2"/>
    <s v="female"/>
    <n v="46.09"/>
    <n v="1"/>
    <x v="1"/>
    <x v="1"/>
    <n v="9549.5650999999998"/>
    <n v="4774.7825499999999"/>
    <x v="1"/>
    <n v="0.50800000000000001"/>
    <x v="1"/>
    <s v="Standard"/>
    <s v="Tier 1"/>
    <x v="1"/>
  </r>
  <r>
    <n v="18"/>
    <x v="0"/>
    <s v="female"/>
    <n v="40.185000000000002"/>
    <n v="0"/>
    <x v="1"/>
    <x v="3"/>
    <n v="2217.4691499999999"/>
    <n v="2217.4691499999999"/>
    <x v="1"/>
    <n v="9.0999999999999998E-2"/>
    <x v="1"/>
    <s v="Standard"/>
    <s v="Tier 2"/>
    <x v="4"/>
  </r>
  <r>
    <n v="19"/>
    <x v="0"/>
    <s v="male"/>
    <n v="22.61"/>
    <n v="0"/>
    <x v="1"/>
    <x v="2"/>
    <n v="1628.4709"/>
    <n v="1628.4709"/>
    <x v="1"/>
    <n v="2.3E-2"/>
    <x v="2"/>
    <s v="Standard"/>
    <s v="Tier 4"/>
    <x v="2"/>
  </r>
  <r>
    <n v="62"/>
    <x v="4"/>
    <s v="male"/>
    <n v="39.93"/>
    <n v="0"/>
    <x v="1"/>
    <x v="1"/>
    <n v="12982.8747"/>
    <n v="12982.8747"/>
    <x v="1"/>
    <n v="0.67400000000000004"/>
    <x v="1"/>
    <s v="Standard"/>
    <s v="Tier 1"/>
    <x v="1"/>
  </r>
  <r>
    <n v="56"/>
    <x v="4"/>
    <s v="female"/>
    <n v="35.799999999999997"/>
    <n v="1"/>
    <x v="1"/>
    <x v="0"/>
    <n v="11674.13"/>
    <n v="5837.0649999999996"/>
    <x v="1"/>
    <n v="0.61299999999999999"/>
    <x v="1"/>
    <s v="Standard"/>
    <s v="Tier 3"/>
    <x v="4"/>
  </r>
  <r>
    <n v="42"/>
    <x v="3"/>
    <s v="male"/>
    <n v="35.799999999999997"/>
    <n v="2"/>
    <x v="1"/>
    <x v="0"/>
    <n v="7160.0940000000001"/>
    <n v="2386.6979999999999"/>
    <x v="1"/>
    <n v="0.38400000000000001"/>
    <x v="1"/>
    <s v="Standard"/>
    <s v="Tier 3"/>
    <x v="4"/>
  </r>
  <r>
    <n v="37"/>
    <x v="3"/>
    <s v="male"/>
    <n v="34.200000000000003"/>
    <n v="1"/>
    <x v="0"/>
    <x v="3"/>
    <n v="39047.285000000003"/>
    <n v="19523.642500000002"/>
    <x v="0"/>
    <n v="0.93100000000000005"/>
    <x v="1"/>
    <s v="High Risk"/>
    <s v="Tier 2"/>
    <x v="5"/>
  </r>
  <r>
    <n v="42"/>
    <x v="3"/>
    <s v="male"/>
    <n v="31.254999999999999"/>
    <n v="0"/>
    <x v="1"/>
    <x v="2"/>
    <n v="6358.7764500000003"/>
    <n v="6358.7764500000003"/>
    <x v="1"/>
    <n v="0.33900000000000002"/>
    <x v="1"/>
    <s v="Standard"/>
    <s v="Tier 4"/>
    <x v="4"/>
  </r>
  <r>
    <n v="25"/>
    <x v="0"/>
    <s v="male"/>
    <n v="29.7"/>
    <n v="3"/>
    <x v="0"/>
    <x v="0"/>
    <n v="19933.457999999999"/>
    <n v="4983.3644999999997"/>
    <x v="0"/>
    <n v="0.79500000000000004"/>
    <x v="0"/>
    <s v="High Risk"/>
    <s v="Tier 3"/>
    <x v="0"/>
  </r>
  <r>
    <n v="57"/>
    <x v="4"/>
    <s v="male"/>
    <n v="18.335000000000001"/>
    <n v="0"/>
    <x v="1"/>
    <x v="3"/>
    <n v="11534.872649999999"/>
    <n v="11534.872649999999"/>
    <x v="1"/>
    <n v="0.60599999999999998"/>
    <x v="3"/>
    <s v="Standard"/>
    <s v="Tier 2"/>
    <x v="2"/>
  </r>
  <r>
    <n v="51"/>
    <x v="2"/>
    <s v="male"/>
    <n v="42.9"/>
    <n v="2"/>
    <x v="0"/>
    <x v="1"/>
    <n v="47462.894"/>
    <n v="15820.964666666667"/>
    <x v="0"/>
    <n v="0.98499999999999999"/>
    <x v="1"/>
    <s v="High Risk"/>
    <s v="Tier 1"/>
    <x v="6"/>
  </r>
  <r>
    <n v="30"/>
    <x v="1"/>
    <s v="female"/>
    <n v="28.405000000000001"/>
    <n v="1"/>
    <x v="1"/>
    <x v="2"/>
    <n v="4527.1829500000003"/>
    <n v="2263.5914750000002"/>
    <x v="1"/>
    <n v="0.23499999999999999"/>
    <x v="0"/>
    <s v="Standard"/>
    <s v="Tier 4"/>
    <x v="3"/>
  </r>
  <r>
    <n v="44"/>
    <x v="3"/>
    <s v="male"/>
    <n v="30.2"/>
    <n v="2"/>
    <x v="0"/>
    <x v="0"/>
    <n v="38998.546000000002"/>
    <n v="12999.515333333335"/>
    <x v="0"/>
    <n v="0.93100000000000005"/>
    <x v="1"/>
    <s v="High Risk"/>
    <s v="Tier 3"/>
    <x v="5"/>
  </r>
  <r>
    <n v="34"/>
    <x v="1"/>
    <s v="male"/>
    <n v="27.835000000000001"/>
    <n v="1"/>
    <x v="0"/>
    <x v="2"/>
    <n v="20009.63365"/>
    <n v="10004.816825"/>
    <x v="0"/>
    <n v="0.79600000000000004"/>
    <x v="0"/>
    <s v="High Risk"/>
    <s v="Tier 4"/>
    <x v="0"/>
  </r>
  <r>
    <n v="31"/>
    <x v="1"/>
    <s v="male"/>
    <n v="39.49"/>
    <n v="1"/>
    <x v="1"/>
    <x v="1"/>
    <n v="3875.7341000000001"/>
    <n v="1937.8670500000001"/>
    <x v="1"/>
    <n v="0.191"/>
    <x v="1"/>
    <s v="Standard"/>
    <s v="Tier 1"/>
    <x v="1"/>
  </r>
  <r>
    <n v="54"/>
    <x v="2"/>
    <s v="male"/>
    <n v="30.8"/>
    <n v="1"/>
    <x v="0"/>
    <x v="1"/>
    <n v="41999.519999999997"/>
    <n v="20999.759999999998"/>
    <x v="0"/>
    <n v="0.95299999999999996"/>
    <x v="1"/>
    <s v="High Risk"/>
    <s v="Tier 1"/>
    <x v="6"/>
  </r>
  <r>
    <n v="24"/>
    <x v="0"/>
    <s v="male"/>
    <n v="26.79"/>
    <n v="1"/>
    <x v="1"/>
    <x v="2"/>
    <n v="12609.88702"/>
    <n v="6304.9435100000001"/>
    <x v="1"/>
    <n v="0.65700000000000003"/>
    <x v="0"/>
    <s v="Standard"/>
    <s v="Tier 4"/>
    <x v="3"/>
  </r>
  <r>
    <n v="43"/>
    <x v="3"/>
    <s v="male"/>
    <n v="34.96"/>
    <n v="1"/>
    <x v="0"/>
    <x v="3"/>
    <n v="41034.221400000002"/>
    <n v="20517.110700000001"/>
    <x v="0"/>
    <n v="0.94899999999999995"/>
    <x v="1"/>
    <s v="High Risk"/>
    <s v="Tier 2"/>
    <x v="5"/>
  </r>
  <r>
    <n v="48"/>
    <x v="2"/>
    <s v="male"/>
    <n v="36.67"/>
    <n v="1"/>
    <x v="1"/>
    <x v="2"/>
    <n v="28468.919010000001"/>
    <n v="14234.459505000001"/>
    <x v="0"/>
    <n v="0.872"/>
    <x v="1"/>
    <s v="Standard"/>
    <s v="Tier 4"/>
    <x v="4"/>
  </r>
  <r>
    <n v="19"/>
    <x v="0"/>
    <s v="female"/>
    <n v="39.615000000000002"/>
    <n v="1"/>
    <x v="1"/>
    <x v="2"/>
    <n v="2730.1078499999999"/>
    <n v="1365.0539249999999"/>
    <x v="1"/>
    <n v="0.127"/>
    <x v="1"/>
    <s v="Standard"/>
    <s v="Tier 4"/>
    <x v="4"/>
  </r>
  <r>
    <n v="29"/>
    <x v="1"/>
    <s v="female"/>
    <n v="25.9"/>
    <n v="0"/>
    <x v="1"/>
    <x v="0"/>
    <n v="3353.2840000000001"/>
    <n v="3353.2840000000001"/>
    <x v="1"/>
    <n v="0.16200000000000001"/>
    <x v="0"/>
    <s v="Standard"/>
    <s v="Tier 3"/>
    <x v="3"/>
  </r>
  <r>
    <n v="63"/>
    <x v="4"/>
    <s v="female"/>
    <n v="35.200000000000003"/>
    <n v="1"/>
    <x v="1"/>
    <x v="1"/>
    <n v="14474.674999999999"/>
    <n v="7237.3374999999996"/>
    <x v="0"/>
    <n v="0.72699999999999998"/>
    <x v="1"/>
    <s v="Standard"/>
    <s v="Tier 1"/>
    <x v="1"/>
  </r>
  <r>
    <n v="46"/>
    <x v="2"/>
    <s v="male"/>
    <n v="24.795000000000002"/>
    <n v="3"/>
    <x v="1"/>
    <x v="3"/>
    <n v="9500.5730500000009"/>
    <n v="2375.1432625000002"/>
    <x v="1"/>
    <n v="0.50600000000000001"/>
    <x v="2"/>
    <s v="Standard"/>
    <s v="Tier 2"/>
    <x v="2"/>
  </r>
  <r>
    <n v="52"/>
    <x v="2"/>
    <s v="male"/>
    <n v="36.765000000000001"/>
    <n v="2"/>
    <x v="1"/>
    <x v="2"/>
    <n v="26467.09737"/>
    <n v="8822.3657899999998"/>
    <x v="0"/>
    <n v="0.86"/>
    <x v="1"/>
    <s v="Standard"/>
    <s v="Tier 4"/>
    <x v="4"/>
  </r>
  <r>
    <n v="35"/>
    <x v="1"/>
    <s v="male"/>
    <n v="27.1"/>
    <n v="1"/>
    <x v="1"/>
    <x v="0"/>
    <n v="4746.3440000000001"/>
    <n v="2373.172"/>
    <x v="1"/>
    <n v="0.25"/>
    <x v="0"/>
    <s v="Standard"/>
    <s v="Tier 3"/>
    <x v="3"/>
  </r>
  <r>
    <n v="51"/>
    <x v="2"/>
    <s v="male"/>
    <n v="24.795000000000002"/>
    <n v="2"/>
    <x v="0"/>
    <x v="2"/>
    <n v="23967.38305"/>
    <n v="7989.1276833333332"/>
    <x v="0"/>
    <n v="0.83699999999999997"/>
    <x v="2"/>
    <s v="High Risk"/>
    <s v="Tier 4"/>
    <x v="1"/>
  </r>
  <r>
    <n v="44"/>
    <x v="3"/>
    <s v="male"/>
    <n v="25.364999999999998"/>
    <n v="1"/>
    <x v="1"/>
    <x v="2"/>
    <n v="7518.0253499999999"/>
    <n v="3759.0126749999999"/>
    <x v="1"/>
    <n v="0.40699999999999997"/>
    <x v="0"/>
    <s v="Standard"/>
    <s v="Tier 4"/>
    <x v="3"/>
  </r>
  <r>
    <n v="21"/>
    <x v="0"/>
    <s v="male"/>
    <n v="25.745000000000001"/>
    <n v="2"/>
    <x v="1"/>
    <x v="3"/>
    <n v="3279.8685500000001"/>
    <n v="1093.2895166666667"/>
    <x v="1"/>
    <n v="0.16"/>
    <x v="0"/>
    <s v="Standard"/>
    <s v="Tier 2"/>
    <x v="3"/>
  </r>
  <r>
    <n v="39"/>
    <x v="3"/>
    <s v="female"/>
    <n v="34.32"/>
    <n v="5"/>
    <x v="1"/>
    <x v="1"/>
    <n v="8596.8277999999991"/>
    <n v="1432.8046333333332"/>
    <x v="1"/>
    <n v="0.46200000000000002"/>
    <x v="1"/>
    <s v="Standard"/>
    <s v="Tier 1"/>
    <x v="1"/>
  </r>
  <r>
    <n v="50"/>
    <x v="2"/>
    <s v="female"/>
    <n v="28.16"/>
    <n v="3"/>
    <x v="1"/>
    <x v="1"/>
    <n v="10702.642400000001"/>
    <n v="2675.6606000000002"/>
    <x v="1"/>
    <n v="0.56100000000000005"/>
    <x v="0"/>
    <s v="Standard"/>
    <s v="Tier 1"/>
    <x v="4"/>
  </r>
  <r>
    <n v="34"/>
    <x v="1"/>
    <s v="female"/>
    <n v="23.56"/>
    <n v="0"/>
    <x v="1"/>
    <x v="3"/>
    <n v="4992.3764000000001"/>
    <n v="4992.3764000000001"/>
    <x v="1"/>
    <n v="0.26700000000000002"/>
    <x v="2"/>
    <s v="Standard"/>
    <s v="Tier 2"/>
    <x v="2"/>
  </r>
  <r>
    <n v="22"/>
    <x v="0"/>
    <s v="female"/>
    <n v="20.234999999999999"/>
    <n v="0"/>
    <x v="1"/>
    <x v="2"/>
    <n v="2527.8186500000002"/>
    <n v="2527.8186500000002"/>
    <x v="1"/>
    <n v="0.113"/>
    <x v="2"/>
    <s v="Standard"/>
    <s v="Tier 4"/>
    <x v="2"/>
  </r>
  <r>
    <n v="19"/>
    <x v="0"/>
    <s v="female"/>
    <n v="40.5"/>
    <n v="0"/>
    <x v="1"/>
    <x v="0"/>
    <n v="1759.338"/>
    <n v="1759.338"/>
    <x v="1"/>
    <n v="0.05"/>
    <x v="1"/>
    <s v="Standard"/>
    <s v="Tier 3"/>
    <x v="4"/>
  </r>
  <r>
    <n v="26"/>
    <x v="1"/>
    <s v="male"/>
    <n v="35.42"/>
    <n v="0"/>
    <x v="1"/>
    <x v="1"/>
    <n v="2322.6217999999999"/>
    <n v="2322.6217999999999"/>
    <x v="1"/>
    <n v="9.8000000000000004E-2"/>
    <x v="1"/>
    <s v="Standard"/>
    <s v="Tier 1"/>
    <x v="1"/>
  </r>
  <r>
    <n v="29"/>
    <x v="1"/>
    <s v="male"/>
    <n v="22.895"/>
    <n v="0"/>
    <x v="0"/>
    <x v="3"/>
    <n v="16138.762049999999"/>
    <n v="16138.762049999999"/>
    <x v="0"/>
    <n v="0.74399999999999999"/>
    <x v="2"/>
    <s v="High Risk"/>
    <s v="Tier 2"/>
    <x v="1"/>
  </r>
  <r>
    <n v="48"/>
    <x v="2"/>
    <s v="male"/>
    <n v="40.15"/>
    <n v="0"/>
    <x v="1"/>
    <x v="1"/>
    <n v="7804.1605"/>
    <n v="7804.1605"/>
    <x v="1"/>
    <n v="0.42199999999999999"/>
    <x v="1"/>
    <s v="Standard"/>
    <s v="Tier 1"/>
    <x v="1"/>
  </r>
  <r>
    <n v="26"/>
    <x v="1"/>
    <s v="male"/>
    <n v="29.15"/>
    <n v="1"/>
    <x v="1"/>
    <x v="1"/>
    <n v="2902.9065000000001"/>
    <n v="1451.45325"/>
    <x v="1"/>
    <n v="0.13900000000000001"/>
    <x v="0"/>
    <s v="Standard"/>
    <s v="Tier 1"/>
    <x v="4"/>
  </r>
  <r>
    <n v="45"/>
    <x v="3"/>
    <s v="female"/>
    <n v="39.994999999999997"/>
    <n v="3"/>
    <x v="1"/>
    <x v="3"/>
    <n v="9704.6680500000002"/>
    <n v="2426.1670125000001"/>
    <x v="1"/>
    <n v="0.51600000000000001"/>
    <x v="1"/>
    <s v="Standard"/>
    <s v="Tier 2"/>
    <x v="4"/>
  </r>
  <r>
    <n v="36"/>
    <x v="3"/>
    <s v="female"/>
    <n v="29.92"/>
    <n v="0"/>
    <x v="1"/>
    <x v="1"/>
    <n v="4889.0367999999999"/>
    <n v="4889.0367999999999"/>
    <x v="1"/>
    <n v="0.26100000000000001"/>
    <x v="0"/>
    <s v="Standard"/>
    <s v="Tier 1"/>
    <x v="4"/>
  </r>
  <r>
    <n v="54"/>
    <x v="2"/>
    <s v="male"/>
    <n v="25.46"/>
    <n v="1"/>
    <x v="1"/>
    <x v="3"/>
    <n v="25517.11363"/>
    <n v="12758.556815"/>
    <x v="0"/>
    <n v="0.85299999999999998"/>
    <x v="0"/>
    <s v="Standard"/>
    <s v="Tier 2"/>
    <x v="3"/>
  </r>
  <r>
    <n v="34"/>
    <x v="1"/>
    <s v="male"/>
    <n v="21.375"/>
    <n v="0"/>
    <x v="1"/>
    <x v="3"/>
    <n v="4500.33925"/>
    <n v="4500.33925"/>
    <x v="1"/>
    <n v="0.23300000000000001"/>
    <x v="2"/>
    <s v="Standard"/>
    <s v="Tier 2"/>
    <x v="2"/>
  </r>
  <r>
    <n v="31"/>
    <x v="1"/>
    <s v="male"/>
    <n v="25.9"/>
    <n v="3"/>
    <x v="0"/>
    <x v="0"/>
    <n v="19199.944"/>
    <n v="4799.9859999999999"/>
    <x v="0"/>
    <n v="0.78300000000000003"/>
    <x v="0"/>
    <s v="High Risk"/>
    <s v="Tier 3"/>
    <x v="0"/>
  </r>
  <r>
    <n v="27"/>
    <x v="1"/>
    <s v="female"/>
    <n v="30.59"/>
    <n v="1"/>
    <x v="1"/>
    <x v="3"/>
    <n v="16796.411940000002"/>
    <n v="8398.2059700000009"/>
    <x v="0"/>
    <n v="0.751"/>
    <x v="1"/>
    <s v="Standard"/>
    <s v="Tier 2"/>
    <x v="4"/>
  </r>
  <r>
    <n v="20"/>
    <x v="0"/>
    <s v="male"/>
    <n v="30.114999999999998"/>
    <n v="5"/>
    <x v="1"/>
    <x v="3"/>
    <n v="4915.0598499999996"/>
    <n v="819.17664166666657"/>
    <x v="1"/>
    <n v="0.26400000000000001"/>
    <x v="1"/>
    <s v="Standard"/>
    <s v="Tier 2"/>
    <x v="4"/>
  </r>
  <r>
    <n v="44"/>
    <x v="3"/>
    <s v="female"/>
    <n v="25.8"/>
    <n v="1"/>
    <x v="1"/>
    <x v="0"/>
    <n v="7624.63"/>
    <n v="3812.3150000000001"/>
    <x v="1"/>
    <n v="0.41"/>
    <x v="0"/>
    <s v="Standard"/>
    <s v="Tier 3"/>
    <x v="3"/>
  </r>
  <r>
    <n v="43"/>
    <x v="3"/>
    <s v="male"/>
    <n v="30.114999999999998"/>
    <n v="3"/>
    <x v="1"/>
    <x v="2"/>
    <n v="8410.0468500000006"/>
    <n v="2102.5117125000002"/>
    <x v="1"/>
    <n v="0.44800000000000001"/>
    <x v="1"/>
    <s v="Standard"/>
    <s v="Tier 4"/>
    <x v="4"/>
  </r>
  <r>
    <n v="45"/>
    <x v="3"/>
    <s v="female"/>
    <n v="27.645"/>
    <n v="1"/>
    <x v="1"/>
    <x v="2"/>
    <n v="28340.188849999999"/>
    <n v="14170.094424999999"/>
    <x v="0"/>
    <n v="0.872"/>
    <x v="0"/>
    <s v="Standard"/>
    <s v="Tier 4"/>
    <x v="3"/>
  </r>
  <r>
    <n v="34"/>
    <x v="1"/>
    <s v="male"/>
    <n v="34.674999999999997"/>
    <n v="0"/>
    <x v="1"/>
    <x v="3"/>
    <n v="4518.8262500000001"/>
    <n v="4518.8262500000001"/>
    <x v="1"/>
    <n v="0.23400000000000001"/>
    <x v="1"/>
    <s v="Standard"/>
    <s v="Tier 2"/>
    <x v="4"/>
  </r>
  <r>
    <n v="24"/>
    <x v="0"/>
    <s v="female"/>
    <n v="20.52"/>
    <n v="0"/>
    <x v="0"/>
    <x v="3"/>
    <n v="14571.890799999999"/>
    <n v="14571.890799999999"/>
    <x v="0"/>
    <n v="0.72799999999999998"/>
    <x v="2"/>
    <s v="High Risk"/>
    <s v="Tier 2"/>
    <x v="1"/>
  </r>
  <r>
    <n v="26"/>
    <x v="1"/>
    <s v="female"/>
    <n v="19.8"/>
    <n v="1"/>
    <x v="1"/>
    <x v="0"/>
    <n v="3378.91"/>
    <n v="1689.4549999999999"/>
    <x v="1"/>
    <n v="0.16400000000000001"/>
    <x v="2"/>
    <s v="Standard"/>
    <s v="Tier 3"/>
    <x v="2"/>
  </r>
  <r>
    <n v="38"/>
    <x v="3"/>
    <s v="female"/>
    <n v="27.835000000000001"/>
    <n v="2"/>
    <x v="1"/>
    <x v="3"/>
    <n v="7144.86265"/>
    <n v="2381.6208833333335"/>
    <x v="1"/>
    <n v="0.379"/>
    <x v="0"/>
    <s v="Standard"/>
    <s v="Tier 2"/>
    <x v="3"/>
  </r>
  <r>
    <n v="50"/>
    <x v="2"/>
    <s v="female"/>
    <n v="31.6"/>
    <n v="2"/>
    <x v="1"/>
    <x v="0"/>
    <n v="10118.424000000001"/>
    <n v="3372.8080000000004"/>
    <x v="1"/>
    <n v="0.53800000000000003"/>
    <x v="1"/>
    <s v="Standard"/>
    <s v="Tier 3"/>
    <x v="4"/>
  </r>
  <r>
    <n v="38"/>
    <x v="3"/>
    <s v="male"/>
    <n v="28.27"/>
    <n v="1"/>
    <x v="1"/>
    <x v="1"/>
    <n v="5484.4673000000003"/>
    <n v="2742.2336500000001"/>
    <x v="1"/>
    <n v="0.29899999999999999"/>
    <x v="0"/>
    <s v="Standard"/>
    <s v="Tier 1"/>
    <x v="4"/>
  </r>
  <r>
    <n v="27"/>
    <x v="1"/>
    <s v="female"/>
    <n v="20.045000000000002"/>
    <n v="3"/>
    <x v="0"/>
    <x v="2"/>
    <n v="16420.494549999999"/>
    <n v="4105.1236374999999"/>
    <x v="0"/>
    <n v="0.746"/>
    <x v="2"/>
    <s v="High Risk"/>
    <s v="Tier 4"/>
    <x v="1"/>
  </r>
  <r>
    <n v="39"/>
    <x v="3"/>
    <s v="female"/>
    <n v="23.274999999999999"/>
    <n v="3"/>
    <x v="1"/>
    <x v="3"/>
    <n v="7986.4752500000004"/>
    <n v="1996.6188125000001"/>
    <x v="1"/>
    <n v="0.42499999999999999"/>
    <x v="2"/>
    <s v="Standard"/>
    <s v="Tier 2"/>
    <x v="2"/>
  </r>
  <r>
    <n v="39"/>
    <x v="3"/>
    <s v="female"/>
    <n v="34.1"/>
    <n v="3"/>
    <x v="1"/>
    <x v="0"/>
    <n v="7418.5219999999999"/>
    <n v="1854.6305"/>
    <x v="1"/>
    <n v="0.4"/>
    <x v="1"/>
    <s v="Standard"/>
    <s v="Tier 3"/>
    <x v="4"/>
  </r>
  <r>
    <n v="63"/>
    <x v="4"/>
    <s v="female"/>
    <n v="36.85"/>
    <n v="0"/>
    <x v="1"/>
    <x v="1"/>
    <n v="13887.968500000001"/>
    <n v="13887.968500000001"/>
    <x v="0"/>
    <n v="0.70499999999999996"/>
    <x v="1"/>
    <s v="Standard"/>
    <s v="Tier 1"/>
    <x v="1"/>
  </r>
  <r>
    <n v="33"/>
    <x v="1"/>
    <s v="female"/>
    <n v="36.29"/>
    <n v="3"/>
    <x v="1"/>
    <x v="3"/>
    <n v="6551.7501000000002"/>
    <n v="1637.9375250000001"/>
    <x v="1"/>
    <n v="0.35"/>
    <x v="1"/>
    <s v="Standard"/>
    <s v="Tier 2"/>
    <x v="4"/>
  </r>
  <r>
    <n v="36"/>
    <x v="3"/>
    <s v="female"/>
    <n v="26.885000000000002"/>
    <n v="0"/>
    <x v="1"/>
    <x v="2"/>
    <n v="5267.8181500000001"/>
    <n v="5267.8181500000001"/>
    <x v="1"/>
    <n v="0.28399999999999997"/>
    <x v="0"/>
    <s v="Standard"/>
    <s v="Tier 4"/>
    <x v="3"/>
  </r>
  <r>
    <n v="30"/>
    <x v="1"/>
    <s v="male"/>
    <n v="22.99"/>
    <n v="2"/>
    <x v="0"/>
    <x v="2"/>
    <n v="17361.766100000001"/>
    <n v="5787.2553666666672"/>
    <x v="0"/>
    <n v="0.75800000000000001"/>
    <x v="2"/>
    <s v="High Risk"/>
    <s v="Tier 4"/>
    <x v="1"/>
  </r>
  <r>
    <n v="24"/>
    <x v="0"/>
    <s v="male"/>
    <n v="32.700000000000003"/>
    <n v="0"/>
    <x v="0"/>
    <x v="0"/>
    <n v="34472.841"/>
    <n v="34472.841"/>
    <x v="0"/>
    <n v="0.89600000000000002"/>
    <x v="1"/>
    <s v="High Risk"/>
    <s v="Tier 3"/>
    <x v="5"/>
  </r>
  <r>
    <n v="24"/>
    <x v="0"/>
    <s v="male"/>
    <n v="25.8"/>
    <n v="0"/>
    <x v="1"/>
    <x v="0"/>
    <n v="1972.95"/>
    <n v="1972.95"/>
    <x v="1"/>
    <n v="6.4000000000000001E-2"/>
    <x v="0"/>
    <s v="Standard"/>
    <s v="Tier 3"/>
    <x v="3"/>
  </r>
  <r>
    <n v="48"/>
    <x v="2"/>
    <s v="male"/>
    <n v="29.6"/>
    <n v="0"/>
    <x v="1"/>
    <x v="0"/>
    <n v="21232.182260000001"/>
    <n v="21232.182260000001"/>
    <x v="0"/>
    <n v="0.81100000000000005"/>
    <x v="0"/>
    <s v="Standard"/>
    <s v="Tier 3"/>
    <x v="3"/>
  </r>
  <r>
    <n v="47"/>
    <x v="2"/>
    <s v="male"/>
    <n v="19.190000000000001"/>
    <n v="1"/>
    <x v="1"/>
    <x v="3"/>
    <n v="8627.5411000000004"/>
    <n v="4313.7705500000002"/>
    <x v="1"/>
    <n v="0.46700000000000003"/>
    <x v="2"/>
    <s v="Standard"/>
    <s v="Tier 2"/>
    <x v="2"/>
  </r>
  <r>
    <n v="29"/>
    <x v="1"/>
    <s v="male"/>
    <n v="31.73"/>
    <n v="2"/>
    <x v="1"/>
    <x v="2"/>
    <n v="4433.3877000000002"/>
    <n v="1477.7959000000001"/>
    <x v="1"/>
    <n v="0.22500000000000001"/>
    <x v="1"/>
    <s v="Standard"/>
    <s v="Tier 4"/>
    <x v="4"/>
  </r>
  <r>
    <n v="28"/>
    <x v="1"/>
    <s v="male"/>
    <n v="29.26"/>
    <n v="2"/>
    <x v="1"/>
    <x v="3"/>
    <n v="4438.2633999999998"/>
    <n v="1479.4211333333333"/>
    <x v="1"/>
    <n v="0.22800000000000001"/>
    <x v="0"/>
    <s v="Standard"/>
    <s v="Tier 2"/>
    <x v="3"/>
  </r>
  <r>
    <n v="47"/>
    <x v="2"/>
    <s v="male"/>
    <n v="28.215"/>
    <n v="3"/>
    <x v="0"/>
    <x v="2"/>
    <n v="24915.220850000002"/>
    <n v="6228.8052125000004"/>
    <x v="0"/>
    <n v="0.84899999999999998"/>
    <x v="0"/>
    <s v="High Risk"/>
    <s v="Tier 4"/>
    <x v="0"/>
  </r>
  <r>
    <n v="25"/>
    <x v="0"/>
    <s v="male"/>
    <n v="24.984999999999999"/>
    <n v="2"/>
    <x v="1"/>
    <x v="3"/>
    <n v="23241.47453"/>
    <n v="7747.1581766666668"/>
    <x v="0"/>
    <n v="0.83"/>
    <x v="2"/>
    <s v="Standard"/>
    <s v="Tier 2"/>
    <x v="2"/>
  </r>
  <r>
    <n v="51"/>
    <x v="2"/>
    <s v="male"/>
    <n v="27.74"/>
    <n v="1"/>
    <x v="1"/>
    <x v="3"/>
    <n v="9957.7216000000008"/>
    <n v="4978.8608000000004"/>
    <x v="1"/>
    <n v="0.53"/>
    <x v="0"/>
    <s v="Standard"/>
    <s v="Tier 2"/>
    <x v="3"/>
  </r>
  <r>
    <n v="48"/>
    <x v="2"/>
    <s v="female"/>
    <n v="22.8"/>
    <n v="0"/>
    <x v="1"/>
    <x v="0"/>
    <n v="8269.0439999999999"/>
    <n v="8269.0439999999999"/>
    <x v="1"/>
    <n v="0.44"/>
    <x v="2"/>
    <s v="Standard"/>
    <s v="Tier 3"/>
    <x v="2"/>
  </r>
  <r>
    <n v="43"/>
    <x v="3"/>
    <s v="male"/>
    <n v="20.13"/>
    <n v="2"/>
    <x v="0"/>
    <x v="1"/>
    <n v="18767.737700000001"/>
    <n v="6255.9125666666669"/>
    <x v="0"/>
    <n v="0.77400000000000002"/>
    <x v="2"/>
    <s v="High Risk"/>
    <s v="Tier 1"/>
    <x v="0"/>
  </r>
  <r>
    <n v="61"/>
    <x v="4"/>
    <s v="female"/>
    <n v="33.33"/>
    <n v="4"/>
    <x v="1"/>
    <x v="1"/>
    <n v="36580.282160000002"/>
    <n v="7316.0564320000003"/>
    <x v="0"/>
    <n v="0.91200000000000003"/>
    <x v="1"/>
    <s v="Standard"/>
    <s v="Tier 1"/>
    <x v="1"/>
  </r>
  <r>
    <n v="48"/>
    <x v="2"/>
    <s v="male"/>
    <n v="32.299999999999997"/>
    <n v="1"/>
    <x v="1"/>
    <x v="2"/>
    <n v="8765.2489999999998"/>
    <n v="4382.6244999999999"/>
    <x v="1"/>
    <n v="0.47099999999999997"/>
    <x v="1"/>
    <s v="Standard"/>
    <s v="Tier 4"/>
    <x v="4"/>
  </r>
  <r>
    <n v="38"/>
    <x v="3"/>
    <s v="female"/>
    <n v="27.6"/>
    <n v="0"/>
    <x v="1"/>
    <x v="0"/>
    <n v="5383.5360000000001"/>
    <n v="5383.5360000000001"/>
    <x v="1"/>
    <n v="0.28999999999999998"/>
    <x v="0"/>
    <s v="Standard"/>
    <s v="Tier 3"/>
    <x v="3"/>
  </r>
  <r>
    <n v="59"/>
    <x v="4"/>
    <s v="male"/>
    <n v="25.46"/>
    <n v="0"/>
    <x v="1"/>
    <x v="2"/>
    <n v="12124.992399999999"/>
    <n v="12124.992399999999"/>
    <x v="1"/>
    <n v="0.63700000000000001"/>
    <x v="0"/>
    <s v="Standard"/>
    <s v="Tier 4"/>
    <x v="3"/>
  </r>
  <r>
    <n v="19"/>
    <x v="0"/>
    <s v="female"/>
    <n v="24.605"/>
    <n v="1"/>
    <x v="1"/>
    <x v="2"/>
    <n v="2709.24395"/>
    <n v="1354.621975"/>
    <x v="1"/>
    <n v="0.124"/>
    <x v="2"/>
    <s v="Standard"/>
    <s v="Tier 4"/>
    <x v="2"/>
  </r>
  <r>
    <n v="26"/>
    <x v="1"/>
    <s v="female"/>
    <n v="34.200000000000003"/>
    <n v="2"/>
    <x v="1"/>
    <x v="0"/>
    <n v="3987.9259999999999"/>
    <n v="1329.3086666666666"/>
    <x v="1"/>
    <n v="0.19800000000000001"/>
    <x v="1"/>
    <s v="Standard"/>
    <s v="Tier 3"/>
    <x v="4"/>
  </r>
  <r>
    <n v="54"/>
    <x v="2"/>
    <s v="female"/>
    <n v="35.814999999999998"/>
    <n v="3"/>
    <x v="1"/>
    <x v="2"/>
    <n v="12495.290849999999"/>
    <n v="3123.8227124999999"/>
    <x v="1"/>
    <n v="0.65300000000000002"/>
    <x v="1"/>
    <s v="Standard"/>
    <s v="Tier 4"/>
    <x v="4"/>
  </r>
  <r>
    <n v="21"/>
    <x v="0"/>
    <s v="female"/>
    <n v="32.68"/>
    <n v="2"/>
    <x v="1"/>
    <x v="2"/>
    <n v="26018.950519999999"/>
    <n v="8672.9835066666656"/>
    <x v="0"/>
    <n v="0.85599999999999998"/>
    <x v="1"/>
    <s v="Standard"/>
    <s v="Tier 4"/>
    <x v="4"/>
  </r>
  <r>
    <n v="51"/>
    <x v="2"/>
    <s v="male"/>
    <n v="37"/>
    <n v="0"/>
    <x v="1"/>
    <x v="0"/>
    <n v="8798.5930000000008"/>
    <n v="8798.5930000000008"/>
    <x v="1"/>
    <n v="0.47199999999999998"/>
    <x v="1"/>
    <s v="Standard"/>
    <s v="Tier 3"/>
    <x v="4"/>
  </r>
  <r>
    <n v="22"/>
    <x v="0"/>
    <s v="female"/>
    <n v="31.02"/>
    <n v="3"/>
    <x v="0"/>
    <x v="1"/>
    <n v="35595.589800000002"/>
    <n v="8898.8974500000004"/>
    <x v="0"/>
    <n v="0.90500000000000003"/>
    <x v="1"/>
    <s v="High Risk"/>
    <s v="Tier 1"/>
    <x v="6"/>
  </r>
  <r>
    <n v="47"/>
    <x v="2"/>
    <s v="male"/>
    <n v="36.08"/>
    <n v="1"/>
    <x v="0"/>
    <x v="1"/>
    <n v="42211.138200000001"/>
    <n v="21105.569100000001"/>
    <x v="0"/>
    <n v="0.95599999999999996"/>
    <x v="1"/>
    <s v="High Risk"/>
    <s v="Tier 1"/>
    <x v="6"/>
  </r>
  <r>
    <n v="18"/>
    <x v="0"/>
    <s v="male"/>
    <n v="23.32"/>
    <n v="1"/>
    <x v="1"/>
    <x v="1"/>
    <n v="1711.0268000000001"/>
    <n v="855.51340000000005"/>
    <x v="1"/>
    <n v="0.04"/>
    <x v="2"/>
    <s v="Standard"/>
    <s v="Tier 1"/>
    <x v="3"/>
  </r>
  <r>
    <n v="47"/>
    <x v="2"/>
    <s v="female"/>
    <n v="45.32"/>
    <n v="1"/>
    <x v="1"/>
    <x v="1"/>
    <n v="8569.8618000000006"/>
    <n v="4284.9309000000003"/>
    <x v="1"/>
    <n v="0.46"/>
    <x v="1"/>
    <s v="Standard"/>
    <s v="Tier 1"/>
    <x v="1"/>
  </r>
  <r>
    <n v="21"/>
    <x v="0"/>
    <s v="female"/>
    <n v="34.6"/>
    <n v="0"/>
    <x v="1"/>
    <x v="0"/>
    <n v="2020.1769999999999"/>
    <n v="2020.1769999999999"/>
    <x v="1"/>
    <n v="6.9000000000000006E-2"/>
    <x v="1"/>
    <s v="Standard"/>
    <s v="Tier 3"/>
    <x v="4"/>
  </r>
  <r>
    <n v="19"/>
    <x v="0"/>
    <s v="male"/>
    <n v="26.03"/>
    <n v="1"/>
    <x v="0"/>
    <x v="2"/>
    <n v="16450.894700000001"/>
    <n v="8225.4473500000004"/>
    <x v="0"/>
    <n v="0.747"/>
    <x v="0"/>
    <s v="High Risk"/>
    <s v="Tier 4"/>
    <x v="0"/>
  </r>
  <r>
    <n v="23"/>
    <x v="0"/>
    <s v="male"/>
    <n v="18.715"/>
    <n v="0"/>
    <x v="1"/>
    <x v="2"/>
    <n v="21595.382290000001"/>
    <n v="21595.382290000001"/>
    <x v="0"/>
    <n v="0.81499999999999995"/>
    <x v="2"/>
    <s v="Standard"/>
    <s v="Tier 4"/>
    <x v="2"/>
  </r>
  <r>
    <n v="54"/>
    <x v="2"/>
    <s v="male"/>
    <n v="31.6"/>
    <n v="0"/>
    <x v="1"/>
    <x v="0"/>
    <n v="9850.4320000000007"/>
    <n v="9850.4320000000007"/>
    <x v="1"/>
    <n v="0.52200000000000002"/>
    <x v="1"/>
    <s v="Standard"/>
    <s v="Tier 3"/>
    <x v="4"/>
  </r>
  <r>
    <n v="37"/>
    <x v="3"/>
    <s v="female"/>
    <n v="17.29"/>
    <n v="2"/>
    <x v="1"/>
    <x v="3"/>
    <n v="6877.9800999999998"/>
    <n v="2292.6600333333331"/>
    <x v="1"/>
    <n v="0.37"/>
    <x v="3"/>
    <s v="Standard"/>
    <s v="Tier 2"/>
    <x v="2"/>
  </r>
  <r>
    <n v="46"/>
    <x v="2"/>
    <s v="female"/>
    <n v="23.655000000000001"/>
    <n v="1"/>
    <x v="0"/>
    <x v="2"/>
    <n v="21677.283449999999"/>
    <n v="10838.641724999999"/>
    <x v="0"/>
    <n v="0.81599999999999995"/>
    <x v="2"/>
    <s v="High Risk"/>
    <s v="Tier 4"/>
    <x v="1"/>
  </r>
  <r>
    <n v="55"/>
    <x v="2"/>
    <s v="female"/>
    <n v="35.200000000000003"/>
    <n v="0"/>
    <x v="0"/>
    <x v="1"/>
    <n v="44423.803"/>
    <n v="44423.803"/>
    <x v="0"/>
    <n v="0.96899999999999997"/>
    <x v="1"/>
    <s v="High Risk"/>
    <s v="Tier 1"/>
    <x v="6"/>
  </r>
  <r>
    <n v="30"/>
    <x v="1"/>
    <s v="female"/>
    <n v="27.93"/>
    <n v="0"/>
    <x v="1"/>
    <x v="3"/>
    <n v="4137.5227000000004"/>
    <n v="4137.5227000000004"/>
    <x v="1"/>
    <n v="0.20699999999999999"/>
    <x v="0"/>
    <s v="Standard"/>
    <s v="Tier 2"/>
    <x v="3"/>
  </r>
  <r>
    <n v="18"/>
    <x v="0"/>
    <s v="male"/>
    <n v="21.565000000000001"/>
    <n v="0"/>
    <x v="0"/>
    <x v="3"/>
    <n v="13747.87235"/>
    <n v="13747.87235"/>
    <x v="0"/>
    <n v="0.69899999999999995"/>
    <x v="2"/>
    <s v="High Risk"/>
    <s v="Tier 2"/>
    <x v="1"/>
  </r>
  <r>
    <n v="61"/>
    <x v="4"/>
    <s v="male"/>
    <n v="38.380000000000003"/>
    <n v="0"/>
    <x v="1"/>
    <x v="2"/>
    <n v="12950.0712"/>
    <n v="12950.0712"/>
    <x v="1"/>
    <n v="0.67100000000000004"/>
    <x v="1"/>
    <s v="Standard"/>
    <s v="Tier 4"/>
    <x v="4"/>
  </r>
  <r>
    <n v="54"/>
    <x v="2"/>
    <s v="female"/>
    <n v="23"/>
    <n v="3"/>
    <x v="1"/>
    <x v="0"/>
    <n v="12094.477999999999"/>
    <n v="3023.6194999999998"/>
    <x v="1"/>
    <n v="0.63500000000000001"/>
    <x v="2"/>
    <s v="Standard"/>
    <s v="Tier 3"/>
    <x v="2"/>
  </r>
  <r>
    <n v="22"/>
    <x v="0"/>
    <s v="male"/>
    <n v="37.07"/>
    <n v="2"/>
    <x v="0"/>
    <x v="1"/>
    <n v="37484.4493"/>
    <n v="12494.816433333333"/>
    <x v="0"/>
    <n v="0.91900000000000004"/>
    <x v="1"/>
    <s v="High Risk"/>
    <s v="Tier 1"/>
    <x v="6"/>
  </r>
  <r>
    <n v="45"/>
    <x v="3"/>
    <s v="female"/>
    <n v="30.495000000000001"/>
    <n v="1"/>
    <x v="0"/>
    <x v="2"/>
    <n v="39725.518049999999"/>
    <n v="19862.759024999999"/>
    <x v="0"/>
    <n v="0.93700000000000006"/>
    <x v="1"/>
    <s v="High Risk"/>
    <s v="Tier 4"/>
    <x v="5"/>
  </r>
  <r>
    <n v="22"/>
    <x v="0"/>
    <s v="male"/>
    <n v="28.88"/>
    <n v="0"/>
    <x v="1"/>
    <x v="3"/>
    <n v="2250.8352"/>
    <n v="2250.8352"/>
    <x v="1"/>
    <n v="9.4E-2"/>
    <x v="0"/>
    <s v="Standard"/>
    <s v="Tier 2"/>
    <x v="3"/>
  </r>
  <r>
    <n v="19"/>
    <x v="0"/>
    <s v="male"/>
    <n v="27.265000000000001"/>
    <n v="2"/>
    <x v="1"/>
    <x v="2"/>
    <n v="22493.659640000002"/>
    <n v="7497.8865466666675"/>
    <x v="0"/>
    <n v="0.82699999999999996"/>
    <x v="0"/>
    <s v="Standard"/>
    <s v="Tier 4"/>
    <x v="3"/>
  </r>
  <r>
    <n v="35"/>
    <x v="1"/>
    <s v="female"/>
    <n v="28.024999999999999"/>
    <n v="0"/>
    <x v="0"/>
    <x v="2"/>
    <n v="20234.854749999999"/>
    <n v="20234.854749999999"/>
    <x v="0"/>
    <n v="0.79900000000000004"/>
    <x v="0"/>
    <s v="High Risk"/>
    <s v="Tier 4"/>
    <x v="0"/>
  </r>
  <r>
    <n v="18"/>
    <x v="0"/>
    <s v="male"/>
    <n v="23.085000000000001"/>
    <n v="0"/>
    <x v="1"/>
    <x v="3"/>
    <n v="1704.7001499999999"/>
    <n v="1704.7001499999999"/>
    <x v="1"/>
    <n v="3.6999999999999998E-2"/>
    <x v="2"/>
    <s v="Standard"/>
    <s v="Tier 2"/>
    <x v="2"/>
  </r>
  <r>
    <n v="20"/>
    <x v="0"/>
    <s v="male"/>
    <n v="30.684999999999999"/>
    <n v="0"/>
    <x v="0"/>
    <x v="3"/>
    <n v="33475.817150000003"/>
    <n v="33475.817150000003"/>
    <x v="0"/>
    <n v="0.88900000000000001"/>
    <x v="1"/>
    <s v="High Risk"/>
    <s v="Tier 2"/>
    <x v="5"/>
  </r>
  <r>
    <n v="28"/>
    <x v="1"/>
    <s v="female"/>
    <n v="25.8"/>
    <n v="0"/>
    <x v="1"/>
    <x v="0"/>
    <n v="3161.4540000000002"/>
    <n v="3161.4540000000002"/>
    <x v="1"/>
    <n v="0.14799999999999999"/>
    <x v="0"/>
    <s v="Standard"/>
    <s v="Tier 3"/>
    <x v="3"/>
  </r>
  <r>
    <n v="55"/>
    <x v="2"/>
    <s v="male"/>
    <n v="35.244999999999997"/>
    <n v="1"/>
    <x v="1"/>
    <x v="3"/>
    <n v="11394.065549999999"/>
    <n v="5697.0327749999997"/>
    <x v="1"/>
    <n v="0.59899999999999998"/>
    <x v="1"/>
    <s v="Standard"/>
    <s v="Tier 2"/>
    <x v="4"/>
  </r>
  <r>
    <n v="43"/>
    <x v="3"/>
    <s v="female"/>
    <n v="24.7"/>
    <n v="2"/>
    <x v="0"/>
    <x v="2"/>
    <n v="21880.82"/>
    <n v="7293.6066666666666"/>
    <x v="0"/>
    <n v="0.81899999999999995"/>
    <x v="2"/>
    <s v="High Risk"/>
    <s v="Tier 4"/>
    <x v="1"/>
  </r>
  <r>
    <n v="43"/>
    <x v="3"/>
    <s v="female"/>
    <n v="25.08"/>
    <n v="0"/>
    <x v="1"/>
    <x v="3"/>
    <n v="7325.0482000000002"/>
    <n v="7325.0482000000002"/>
    <x v="1"/>
    <n v="0.39500000000000002"/>
    <x v="0"/>
    <s v="Standard"/>
    <s v="Tier 2"/>
    <x v="3"/>
  </r>
  <r>
    <n v="22"/>
    <x v="0"/>
    <s v="male"/>
    <n v="52.58"/>
    <n v="1"/>
    <x v="0"/>
    <x v="1"/>
    <n v="44501.398200000003"/>
    <n v="22250.699100000002"/>
    <x v="0"/>
    <n v="0.97"/>
    <x v="1"/>
    <s v="High Risk"/>
    <s v="Tier 1"/>
    <x v="6"/>
  </r>
  <r>
    <n v="25"/>
    <x v="0"/>
    <s v="female"/>
    <n v="22.515000000000001"/>
    <n v="1"/>
    <x v="1"/>
    <x v="2"/>
    <n v="3594.17085"/>
    <n v="1797.085425"/>
    <x v="1"/>
    <n v="0.17899999999999999"/>
    <x v="2"/>
    <s v="Standard"/>
    <s v="Tier 4"/>
    <x v="2"/>
  </r>
  <r>
    <n v="49"/>
    <x v="2"/>
    <s v="male"/>
    <n v="30.9"/>
    <n v="0"/>
    <x v="0"/>
    <x v="0"/>
    <n v="39727.614000000001"/>
    <n v="39727.614000000001"/>
    <x v="0"/>
    <n v="0.93700000000000006"/>
    <x v="1"/>
    <s v="High Risk"/>
    <s v="Tier 3"/>
    <x v="5"/>
  </r>
  <r>
    <n v="44"/>
    <x v="3"/>
    <s v="female"/>
    <n v="36.954999999999998"/>
    <n v="1"/>
    <x v="1"/>
    <x v="2"/>
    <n v="8023.1354499999998"/>
    <n v="4011.5677249999999"/>
    <x v="1"/>
    <n v="0.42699999999999999"/>
    <x v="1"/>
    <s v="Standard"/>
    <s v="Tier 4"/>
    <x v="4"/>
  </r>
  <r>
    <n v="64"/>
    <x v="4"/>
    <s v="male"/>
    <n v="26.41"/>
    <n v="0"/>
    <x v="1"/>
    <x v="3"/>
    <n v="14394.5579"/>
    <n v="14394.5579"/>
    <x v="0"/>
    <n v="0.72099999999999997"/>
    <x v="0"/>
    <s v="Standard"/>
    <s v="Tier 2"/>
    <x v="3"/>
  </r>
  <r>
    <n v="49"/>
    <x v="2"/>
    <s v="male"/>
    <n v="29.83"/>
    <n v="1"/>
    <x v="1"/>
    <x v="3"/>
    <n v="9288.0267000000003"/>
    <n v="4644.0133500000002"/>
    <x v="1"/>
    <n v="0.495"/>
    <x v="0"/>
    <s v="Standard"/>
    <s v="Tier 2"/>
    <x v="3"/>
  </r>
  <r>
    <n v="47"/>
    <x v="2"/>
    <s v="male"/>
    <n v="29.8"/>
    <n v="3"/>
    <x v="0"/>
    <x v="0"/>
    <n v="25309.489000000001"/>
    <n v="6327.3722500000003"/>
    <x v="0"/>
    <n v="0.85099999999999998"/>
    <x v="0"/>
    <s v="High Risk"/>
    <s v="Tier 3"/>
    <x v="0"/>
  </r>
  <r>
    <n v="27"/>
    <x v="1"/>
    <s v="female"/>
    <n v="21.47"/>
    <n v="0"/>
    <x v="1"/>
    <x v="2"/>
    <n v="3353.4703"/>
    <n v="3353.4703"/>
    <x v="1"/>
    <n v="0.16300000000000001"/>
    <x v="2"/>
    <s v="Standard"/>
    <s v="Tier 4"/>
    <x v="2"/>
  </r>
  <r>
    <n v="55"/>
    <x v="2"/>
    <s v="male"/>
    <n v="27.645"/>
    <n v="0"/>
    <x v="1"/>
    <x v="2"/>
    <n v="10594.501550000001"/>
    <n v="10594.501550000001"/>
    <x v="1"/>
    <n v="0.55700000000000005"/>
    <x v="0"/>
    <s v="Standard"/>
    <s v="Tier 4"/>
    <x v="3"/>
  </r>
  <r>
    <n v="48"/>
    <x v="2"/>
    <s v="female"/>
    <n v="28.9"/>
    <n v="0"/>
    <x v="1"/>
    <x v="0"/>
    <n v="8277.5229999999992"/>
    <n v="8277.5229999999992"/>
    <x v="1"/>
    <n v="0.441"/>
    <x v="0"/>
    <s v="Standard"/>
    <s v="Tier 3"/>
    <x v="3"/>
  </r>
  <r>
    <n v="45"/>
    <x v="3"/>
    <s v="female"/>
    <n v="31.79"/>
    <n v="0"/>
    <x v="1"/>
    <x v="1"/>
    <n v="17929.303370000001"/>
    <n v="17929.303370000001"/>
    <x v="0"/>
    <n v="0.76500000000000001"/>
    <x v="1"/>
    <s v="Standard"/>
    <s v="Tier 1"/>
    <x v="1"/>
  </r>
  <r>
    <n v="24"/>
    <x v="0"/>
    <s v="female"/>
    <n v="39.49"/>
    <n v="0"/>
    <x v="1"/>
    <x v="1"/>
    <n v="2480.9791"/>
    <n v="2480.9791"/>
    <x v="1"/>
    <n v="0.109"/>
    <x v="1"/>
    <s v="Standard"/>
    <s v="Tier 1"/>
    <x v="1"/>
  </r>
  <r>
    <n v="32"/>
    <x v="1"/>
    <s v="male"/>
    <n v="33.82"/>
    <n v="1"/>
    <x v="1"/>
    <x v="2"/>
    <n v="4462.7218000000003"/>
    <n v="2231.3609000000001"/>
    <x v="1"/>
    <n v="0.23100000000000001"/>
    <x v="1"/>
    <s v="Standard"/>
    <s v="Tier 4"/>
    <x v="4"/>
  </r>
  <r>
    <n v="24"/>
    <x v="0"/>
    <s v="male"/>
    <n v="32.01"/>
    <n v="0"/>
    <x v="1"/>
    <x v="1"/>
    <n v="1981.5818999999999"/>
    <n v="1981.5818999999999"/>
    <x v="1"/>
    <n v="6.6000000000000003E-2"/>
    <x v="1"/>
    <s v="Standard"/>
    <s v="Tier 1"/>
    <x v="1"/>
  </r>
  <r>
    <n v="57"/>
    <x v="4"/>
    <s v="male"/>
    <n v="27.94"/>
    <n v="1"/>
    <x v="1"/>
    <x v="1"/>
    <n v="11554.223599999999"/>
    <n v="5777.1117999999997"/>
    <x v="1"/>
    <n v="0.60799999999999998"/>
    <x v="0"/>
    <s v="Standard"/>
    <s v="Tier 1"/>
    <x v="4"/>
  </r>
  <r>
    <n v="59"/>
    <x v="4"/>
    <s v="male"/>
    <n v="41.14"/>
    <n v="1"/>
    <x v="0"/>
    <x v="1"/>
    <n v="48970.247600000002"/>
    <n v="24485.123800000001"/>
    <x v="0"/>
    <n v="0.99399999999999999"/>
    <x v="1"/>
    <s v="High Risk"/>
    <s v="Tier 1"/>
    <x v="6"/>
  </r>
  <r>
    <n v="36"/>
    <x v="3"/>
    <s v="male"/>
    <n v="28.594999999999999"/>
    <n v="3"/>
    <x v="1"/>
    <x v="2"/>
    <n v="6548.1950500000003"/>
    <n v="1637.0487625000001"/>
    <x v="1"/>
    <n v="0.35"/>
    <x v="0"/>
    <s v="Standard"/>
    <s v="Tier 4"/>
    <x v="3"/>
  </r>
  <r>
    <n v="29"/>
    <x v="1"/>
    <s v="female"/>
    <n v="25.6"/>
    <n v="4"/>
    <x v="1"/>
    <x v="0"/>
    <n v="5708.8670000000002"/>
    <n v="1141.7734"/>
    <x v="1"/>
    <n v="0.307"/>
    <x v="0"/>
    <s v="Standard"/>
    <s v="Tier 3"/>
    <x v="3"/>
  </r>
  <r>
    <n v="42"/>
    <x v="3"/>
    <s v="female"/>
    <n v="25.3"/>
    <n v="1"/>
    <x v="1"/>
    <x v="0"/>
    <n v="7045.4989999999998"/>
    <n v="3522.7494999999999"/>
    <x v="1"/>
    <n v="0.375"/>
    <x v="0"/>
    <s v="Standard"/>
    <s v="Tier 3"/>
    <x v="3"/>
  </r>
  <r>
    <n v="48"/>
    <x v="2"/>
    <s v="male"/>
    <n v="37.29"/>
    <n v="2"/>
    <x v="1"/>
    <x v="1"/>
    <n v="8978.1851000000006"/>
    <n v="2992.7283666666667"/>
    <x v="1"/>
    <n v="0.48299999999999998"/>
    <x v="1"/>
    <s v="Standard"/>
    <s v="Tier 1"/>
    <x v="1"/>
  </r>
  <r>
    <n v="39"/>
    <x v="3"/>
    <s v="male"/>
    <n v="42.655000000000001"/>
    <n v="0"/>
    <x v="1"/>
    <x v="3"/>
    <n v="5757.41345"/>
    <n v="5757.41345"/>
    <x v="1"/>
    <n v="0.309"/>
    <x v="1"/>
    <s v="Standard"/>
    <s v="Tier 2"/>
    <x v="4"/>
  </r>
  <r>
    <n v="63"/>
    <x v="4"/>
    <s v="male"/>
    <n v="21.66"/>
    <n v="1"/>
    <x v="1"/>
    <x v="2"/>
    <n v="14349.8544"/>
    <n v="7174.9272000000001"/>
    <x v="0"/>
    <n v="0.71799999999999997"/>
    <x v="2"/>
    <s v="Standard"/>
    <s v="Tier 4"/>
    <x v="2"/>
  </r>
  <r>
    <n v="54"/>
    <x v="2"/>
    <s v="female"/>
    <n v="31.9"/>
    <n v="1"/>
    <x v="1"/>
    <x v="1"/>
    <n v="10928.849"/>
    <n v="5464.4245000000001"/>
    <x v="1"/>
    <n v="0.57099999999999995"/>
    <x v="1"/>
    <s v="Standard"/>
    <s v="Tier 1"/>
    <x v="1"/>
  </r>
  <r>
    <n v="37"/>
    <x v="3"/>
    <s v="male"/>
    <n v="37.07"/>
    <n v="1"/>
    <x v="0"/>
    <x v="1"/>
    <n v="39871.704299999998"/>
    <n v="19935.852149999999"/>
    <x v="0"/>
    <n v="0.94"/>
    <x v="1"/>
    <s v="High Risk"/>
    <s v="Tier 1"/>
    <x v="6"/>
  </r>
  <r>
    <n v="63"/>
    <x v="4"/>
    <s v="male"/>
    <n v="31.445"/>
    <n v="0"/>
    <x v="1"/>
    <x v="3"/>
    <n v="13974.455550000001"/>
    <n v="13974.455550000001"/>
    <x v="0"/>
    <n v="0.70699999999999996"/>
    <x v="1"/>
    <s v="Standard"/>
    <s v="Tier 2"/>
    <x v="4"/>
  </r>
  <r>
    <n v="21"/>
    <x v="0"/>
    <s v="male"/>
    <n v="31.254999999999999"/>
    <n v="0"/>
    <x v="1"/>
    <x v="2"/>
    <n v="1909.52745"/>
    <n v="1909.52745"/>
    <x v="1"/>
    <n v="0.06"/>
    <x v="1"/>
    <s v="Standard"/>
    <s v="Tier 4"/>
    <x v="4"/>
  </r>
  <r>
    <n v="54"/>
    <x v="2"/>
    <s v="female"/>
    <n v="28.88"/>
    <n v="2"/>
    <x v="1"/>
    <x v="3"/>
    <n v="12096.6512"/>
    <n v="4032.2170666666666"/>
    <x v="1"/>
    <n v="0.63500000000000001"/>
    <x v="0"/>
    <s v="Standard"/>
    <s v="Tier 2"/>
    <x v="3"/>
  </r>
  <r>
    <n v="60"/>
    <x v="4"/>
    <s v="female"/>
    <n v="18.335000000000001"/>
    <n v="0"/>
    <x v="1"/>
    <x v="3"/>
    <n v="13204.28565"/>
    <n v="13204.28565"/>
    <x v="1"/>
    <n v="0.68200000000000005"/>
    <x v="3"/>
    <s v="Standard"/>
    <s v="Tier 2"/>
    <x v="2"/>
  </r>
  <r>
    <n v="32"/>
    <x v="1"/>
    <s v="female"/>
    <n v="29.59"/>
    <n v="1"/>
    <x v="1"/>
    <x v="1"/>
    <n v="4562.8420999999998"/>
    <n v="2281.4210499999999"/>
    <x v="1"/>
    <n v="0.23899999999999999"/>
    <x v="0"/>
    <s v="Standard"/>
    <s v="Tier 1"/>
    <x v="4"/>
  </r>
  <r>
    <n v="47"/>
    <x v="2"/>
    <s v="female"/>
    <n v="32"/>
    <n v="1"/>
    <x v="1"/>
    <x v="0"/>
    <n v="8551.3469999999998"/>
    <n v="4275.6734999999999"/>
    <x v="1"/>
    <n v="0.45900000000000002"/>
    <x v="1"/>
    <s v="Standard"/>
    <s v="Tier 3"/>
    <x v="4"/>
  </r>
  <r>
    <n v="21"/>
    <x v="0"/>
    <s v="male"/>
    <n v="26.03"/>
    <n v="0"/>
    <x v="1"/>
    <x v="3"/>
    <n v="2102.2647000000002"/>
    <n v="2102.2647000000002"/>
    <x v="1"/>
    <n v="7.2999999999999995E-2"/>
    <x v="0"/>
    <s v="Standard"/>
    <s v="Tier 2"/>
    <x v="3"/>
  </r>
  <r>
    <n v="28"/>
    <x v="1"/>
    <s v="male"/>
    <n v="31.68"/>
    <n v="0"/>
    <x v="0"/>
    <x v="1"/>
    <n v="34672.147199999999"/>
    <n v="34672.147199999999"/>
    <x v="0"/>
    <n v="0.89700000000000002"/>
    <x v="1"/>
    <s v="High Risk"/>
    <s v="Tier 1"/>
    <x v="6"/>
  </r>
  <r>
    <n v="63"/>
    <x v="4"/>
    <s v="male"/>
    <n v="33.659999999999997"/>
    <n v="3"/>
    <x v="1"/>
    <x v="1"/>
    <n v="15161.5344"/>
    <n v="3790.3836000000001"/>
    <x v="0"/>
    <n v="0.73399999999999999"/>
    <x v="1"/>
    <s v="Standard"/>
    <s v="Tier 1"/>
    <x v="1"/>
  </r>
  <r>
    <n v="18"/>
    <x v="0"/>
    <s v="male"/>
    <n v="21.78"/>
    <n v="2"/>
    <x v="1"/>
    <x v="1"/>
    <n v="11884.048580000001"/>
    <n v="3961.3495266666669"/>
    <x v="1"/>
    <n v="0.627"/>
    <x v="2"/>
    <s v="Standard"/>
    <s v="Tier 1"/>
    <x v="3"/>
  </r>
  <r>
    <n v="32"/>
    <x v="1"/>
    <s v="male"/>
    <n v="27.835000000000001"/>
    <n v="1"/>
    <x v="1"/>
    <x v="2"/>
    <n v="4454.40265"/>
    <n v="2227.201325"/>
    <x v="1"/>
    <n v="0.23"/>
    <x v="0"/>
    <s v="Standard"/>
    <s v="Tier 4"/>
    <x v="3"/>
  </r>
  <r>
    <n v="38"/>
    <x v="3"/>
    <s v="male"/>
    <n v="19.95"/>
    <n v="1"/>
    <x v="1"/>
    <x v="2"/>
    <n v="5855.9025000000001"/>
    <n v="2927.9512500000001"/>
    <x v="1"/>
    <n v="0.311"/>
    <x v="2"/>
    <s v="Standard"/>
    <s v="Tier 4"/>
    <x v="2"/>
  </r>
  <r>
    <n v="32"/>
    <x v="1"/>
    <s v="male"/>
    <n v="31.5"/>
    <n v="1"/>
    <x v="1"/>
    <x v="0"/>
    <n v="4076.4969999999998"/>
    <n v="2038.2484999999999"/>
    <x v="1"/>
    <n v="0.20499999999999999"/>
    <x v="1"/>
    <s v="Standard"/>
    <s v="Tier 3"/>
    <x v="4"/>
  </r>
  <r>
    <n v="62"/>
    <x v="4"/>
    <s v="female"/>
    <n v="30.495000000000001"/>
    <n v="2"/>
    <x v="1"/>
    <x v="2"/>
    <n v="15019.760050000001"/>
    <n v="5006.5866833333339"/>
    <x v="0"/>
    <n v="0.73299999999999998"/>
    <x v="1"/>
    <s v="Standard"/>
    <s v="Tier 4"/>
    <x v="4"/>
  </r>
  <r>
    <n v="39"/>
    <x v="3"/>
    <s v="female"/>
    <n v="18.3"/>
    <n v="5"/>
    <x v="0"/>
    <x v="0"/>
    <n v="19023.259999999998"/>
    <n v="3170.5433333333331"/>
    <x v="0"/>
    <n v="0.78"/>
    <x v="3"/>
    <s v="High Risk"/>
    <s v="Tier 3"/>
    <x v="1"/>
  </r>
  <r>
    <n v="55"/>
    <x v="2"/>
    <s v="male"/>
    <n v="28.975000000000001"/>
    <n v="0"/>
    <x v="1"/>
    <x v="3"/>
    <n v="10796.35025"/>
    <n v="10796.35025"/>
    <x v="1"/>
    <n v="0.56599999999999995"/>
    <x v="0"/>
    <s v="Standard"/>
    <s v="Tier 2"/>
    <x v="3"/>
  </r>
  <r>
    <n v="57"/>
    <x v="4"/>
    <s v="male"/>
    <n v="31.54"/>
    <n v="0"/>
    <x v="1"/>
    <x v="2"/>
    <n v="11353.2276"/>
    <n v="11353.2276"/>
    <x v="1"/>
    <n v="0.59399999999999997"/>
    <x v="1"/>
    <s v="Standard"/>
    <s v="Tier 4"/>
    <x v="4"/>
  </r>
  <r>
    <n v="52"/>
    <x v="2"/>
    <s v="male"/>
    <n v="47.74"/>
    <n v="1"/>
    <x v="1"/>
    <x v="1"/>
    <n v="9748.9105999999992"/>
    <n v="4874.4552999999996"/>
    <x v="1"/>
    <n v="0.51900000000000002"/>
    <x v="1"/>
    <s v="Standard"/>
    <s v="Tier 1"/>
    <x v="1"/>
  </r>
  <r>
    <n v="56"/>
    <x v="4"/>
    <s v="male"/>
    <n v="22.1"/>
    <n v="0"/>
    <x v="1"/>
    <x v="0"/>
    <n v="10577.087"/>
    <n v="10577.087"/>
    <x v="1"/>
    <n v="0.55500000000000005"/>
    <x v="2"/>
    <s v="Standard"/>
    <s v="Tier 3"/>
    <x v="2"/>
  </r>
  <r>
    <n v="47"/>
    <x v="2"/>
    <s v="male"/>
    <n v="36.19"/>
    <n v="0"/>
    <x v="0"/>
    <x v="1"/>
    <n v="41676.081100000003"/>
    <n v="41676.081100000003"/>
    <x v="0"/>
    <n v="0.95099999999999996"/>
    <x v="1"/>
    <s v="High Risk"/>
    <s v="Tier 1"/>
    <x v="6"/>
  </r>
  <r>
    <n v="55"/>
    <x v="2"/>
    <s v="female"/>
    <n v="29.83"/>
    <n v="0"/>
    <x v="1"/>
    <x v="3"/>
    <n v="11286.538699999999"/>
    <n v="11286.538699999999"/>
    <x v="1"/>
    <n v="0.59"/>
    <x v="0"/>
    <s v="Standard"/>
    <s v="Tier 2"/>
    <x v="3"/>
  </r>
  <r>
    <n v="23"/>
    <x v="0"/>
    <s v="male"/>
    <n v="32.700000000000003"/>
    <n v="3"/>
    <x v="1"/>
    <x v="0"/>
    <n v="3591.48"/>
    <n v="897.87"/>
    <x v="1"/>
    <n v="0.17799999999999999"/>
    <x v="1"/>
    <s v="Standard"/>
    <s v="Tier 3"/>
    <x v="4"/>
  </r>
  <r>
    <n v="22"/>
    <x v="0"/>
    <s v="female"/>
    <n v="30.4"/>
    <n v="0"/>
    <x v="0"/>
    <x v="2"/>
    <n v="33907.548000000003"/>
    <n v="33907.548000000003"/>
    <x v="0"/>
    <n v="0.89200000000000002"/>
    <x v="1"/>
    <s v="High Risk"/>
    <s v="Tier 4"/>
    <x v="5"/>
  </r>
  <r>
    <n v="50"/>
    <x v="2"/>
    <s v="female"/>
    <n v="33.700000000000003"/>
    <n v="4"/>
    <x v="1"/>
    <x v="0"/>
    <n v="11299.343000000001"/>
    <n v="2259.8686000000002"/>
    <x v="1"/>
    <n v="0.59099999999999997"/>
    <x v="1"/>
    <s v="Standard"/>
    <s v="Tier 3"/>
    <x v="4"/>
  </r>
  <r>
    <n v="18"/>
    <x v="0"/>
    <s v="female"/>
    <n v="31.35"/>
    <n v="4"/>
    <x v="1"/>
    <x v="3"/>
    <n v="4561.1885000000002"/>
    <n v="912.23770000000002"/>
    <x v="1"/>
    <n v="0.23799999999999999"/>
    <x v="1"/>
    <s v="Standard"/>
    <s v="Tier 2"/>
    <x v="4"/>
  </r>
  <r>
    <n v="51"/>
    <x v="2"/>
    <s v="female"/>
    <n v="34.96"/>
    <n v="2"/>
    <x v="0"/>
    <x v="3"/>
    <n v="44641.197399999997"/>
    <n v="14880.399133333332"/>
    <x v="0"/>
    <n v="0.97099999999999997"/>
    <x v="1"/>
    <s v="High Risk"/>
    <s v="Tier 2"/>
    <x v="5"/>
  </r>
  <r>
    <n v="22"/>
    <x v="0"/>
    <s v="male"/>
    <n v="33.770000000000003"/>
    <n v="0"/>
    <x v="1"/>
    <x v="1"/>
    <n v="1674.6323"/>
    <n v="1674.6323"/>
    <x v="1"/>
    <n v="3.3000000000000002E-2"/>
    <x v="1"/>
    <s v="Standard"/>
    <s v="Tier 1"/>
    <x v="1"/>
  </r>
  <r>
    <n v="52"/>
    <x v="2"/>
    <s v="female"/>
    <n v="30.875"/>
    <n v="0"/>
    <x v="1"/>
    <x v="3"/>
    <n v="23045.566159999998"/>
    <n v="23045.566159999998"/>
    <x v="0"/>
    <n v="0.82799999999999996"/>
    <x v="1"/>
    <s v="Standard"/>
    <s v="Tier 2"/>
    <x v="4"/>
  </r>
  <r>
    <n v="25"/>
    <x v="0"/>
    <s v="female"/>
    <n v="33.99"/>
    <n v="1"/>
    <x v="1"/>
    <x v="1"/>
    <n v="3227.1210999999998"/>
    <n v="1613.5605499999999"/>
    <x v="1"/>
    <n v="0.156"/>
    <x v="1"/>
    <s v="Standard"/>
    <s v="Tier 1"/>
    <x v="1"/>
  </r>
  <r>
    <n v="33"/>
    <x v="1"/>
    <s v="female"/>
    <n v="19.094999999999999"/>
    <n v="2"/>
    <x v="0"/>
    <x v="3"/>
    <n v="16776.304049999999"/>
    <n v="5592.1013499999999"/>
    <x v="0"/>
    <n v="0.75"/>
    <x v="2"/>
    <s v="High Risk"/>
    <s v="Tier 2"/>
    <x v="1"/>
  </r>
  <r>
    <n v="53"/>
    <x v="2"/>
    <s v="male"/>
    <n v="28.6"/>
    <n v="3"/>
    <x v="1"/>
    <x v="0"/>
    <n v="11253.421"/>
    <n v="2813.3552500000001"/>
    <x v="1"/>
    <n v="0.58699999999999997"/>
    <x v="0"/>
    <s v="Standard"/>
    <s v="Tier 3"/>
    <x v="3"/>
  </r>
  <r>
    <n v="29"/>
    <x v="1"/>
    <s v="male"/>
    <n v="38.94"/>
    <n v="1"/>
    <x v="1"/>
    <x v="1"/>
    <n v="3471.4096"/>
    <n v="1735.7048"/>
    <x v="1"/>
    <n v="0.16900000000000001"/>
    <x v="1"/>
    <s v="Standard"/>
    <s v="Tier 1"/>
    <x v="1"/>
  </r>
  <r>
    <n v="58"/>
    <x v="4"/>
    <s v="male"/>
    <n v="36.08"/>
    <n v="0"/>
    <x v="1"/>
    <x v="1"/>
    <n v="11363.2832"/>
    <n v="11363.2832"/>
    <x v="1"/>
    <n v="0.59599999999999997"/>
    <x v="1"/>
    <s v="Standard"/>
    <s v="Tier 1"/>
    <x v="1"/>
  </r>
  <r>
    <n v="37"/>
    <x v="3"/>
    <s v="male"/>
    <n v="29.8"/>
    <n v="0"/>
    <x v="1"/>
    <x v="0"/>
    <n v="20420.604650000001"/>
    <n v="20420.604650000001"/>
    <x v="0"/>
    <n v="0.80100000000000005"/>
    <x v="0"/>
    <s v="Standard"/>
    <s v="Tier 3"/>
    <x v="3"/>
  </r>
  <r>
    <n v="54"/>
    <x v="2"/>
    <s v="female"/>
    <n v="31.24"/>
    <n v="0"/>
    <x v="1"/>
    <x v="1"/>
    <n v="10338.9316"/>
    <n v="10338.9316"/>
    <x v="1"/>
    <n v="0.54500000000000004"/>
    <x v="1"/>
    <s v="Standard"/>
    <s v="Tier 1"/>
    <x v="1"/>
  </r>
  <r>
    <n v="49"/>
    <x v="2"/>
    <s v="female"/>
    <n v="29.925000000000001"/>
    <n v="0"/>
    <x v="1"/>
    <x v="2"/>
    <n v="8988.1587500000005"/>
    <n v="8988.1587500000005"/>
    <x v="1"/>
    <n v="0.48299999999999998"/>
    <x v="0"/>
    <s v="Standard"/>
    <s v="Tier 4"/>
    <x v="3"/>
  </r>
  <r>
    <n v="50"/>
    <x v="2"/>
    <s v="female"/>
    <n v="26.22"/>
    <n v="2"/>
    <x v="1"/>
    <x v="2"/>
    <n v="10493.9458"/>
    <n v="3497.981933333333"/>
    <x v="1"/>
    <n v="0.55300000000000005"/>
    <x v="0"/>
    <s v="Standard"/>
    <s v="Tier 4"/>
    <x v="3"/>
  </r>
  <r>
    <n v="26"/>
    <x v="1"/>
    <s v="male"/>
    <n v="30"/>
    <n v="1"/>
    <x v="1"/>
    <x v="0"/>
    <n v="2904.0880000000002"/>
    <n v="1452.0440000000001"/>
    <x v="1"/>
    <n v="0.13900000000000001"/>
    <x v="1"/>
    <s v="Standard"/>
    <s v="Tier 3"/>
    <x v="4"/>
  </r>
  <r>
    <n v="45"/>
    <x v="3"/>
    <s v="male"/>
    <n v="20.350000000000001"/>
    <n v="3"/>
    <x v="1"/>
    <x v="1"/>
    <n v="8605.3615000000009"/>
    <n v="2151.3403750000002"/>
    <x v="1"/>
    <n v="0.46500000000000002"/>
    <x v="2"/>
    <s v="Standard"/>
    <s v="Tier 1"/>
    <x v="3"/>
  </r>
  <r>
    <n v="54"/>
    <x v="2"/>
    <s v="female"/>
    <n v="32.299999999999997"/>
    <n v="1"/>
    <x v="1"/>
    <x v="3"/>
    <n v="11512.405000000001"/>
    <n v="5756.2025000000003"/>
    <x v="1"/>
    <n v="0.60499999999999998"/>
    <x v="1"/>
    <s v="Standard"/>
    <s v="Tier 2"/>
    <x v="4"/>
  </r>
  <r>
    <n v="38"/>
    <x v="3"/>
    <s v="male"/>
    <n v="38.39"/>
    <n v="3"/>
    <x v="0"/>
    <x v="1"/>
    <n v="41949.244100000004"/>
    <n v="10487.311025000001"/>
    <x v="0"/>
    <n v="0.95199999999999996"/>
    <x v="1"/>
    <s v="High Risk"/>
    <s v="Tier 1"/>
    <x v="6"/>
  </r>
  <r>
    <n v="48"/>
    <x v="2"/>
    <s v="female"/>
    <n v="25.85"/>
    <n v="3"/>
    <x v="0"/>
    <x v="1"/>
    <n v="24180.933499999999"/>
    <n v="6045.2333749999998"/>
    <x v="0"/>
    <n v="0.83899999999999997"/>
    <x v="0"/>
    <s v="High Risk"/>
    <s v="Tier 1"/>
    <x v="5"/>
  </r>
  <r>
    <n v="28"/>
    <x v="1"/>
    <s v="female"/>
    <n v="26.315000000000001"/>
    <n v="3"/>
    <x v="1"/>
    <x v="2"/>
    <n v="5312.1698500000002"/>
    <n v="1328.0424625000001"/>
    <x v="1"/>
    <n v="0.28499999999999998"/>
    <x v="0"/>
    <s v="Standard"/>
    <s v="Tier 4"/>
    <x v="3"/>
  </r>
  <r>
    <n v="23"/>
    <x v="0"/>
    <s v="male"/>
    <n v="24.51"/>
    <n v="0"/>
    <x v="1"/>
    <x v="3"/>
    <n v="2396.0958999999998"/>
    <n v="2396.0958999999998"/>
    <x v="1"/>
    <n v="0.10199999999999999"/>
    <x v="2"/>
    <s v="Standard"/>
    <s v="Tier 2"/>
    <x v="2"/>
  </r>
  <r>
    <n v="55"/>
    <x v="2"/>
    <s v="male"/>
    <n v="32.67"/>
    <n v="1"/>
    <x v="1"/>
    <x v="1"/>
    <n v="10807.4863"/>
    <n v="5403.7431500000002"/>
    <x v="1"/>
    <n v="0.56799999999999995"/>
    <x v="1"/>
    <s v="Standard"/>
    <s v="Tier 1"/>
    <x v="1"/>
  </r>
  <r>
    <n v="41"/>
    <x v="3"/>
    <s v="male"/>
    <n v="29.64"/>
    <n v="5"/>
    <x v="1"/>
    <x v="3"/>
    <n v="9222.4025999999994"/>
    <n v="1537.0671"/>
    <x v="1"/>
    <n v="0.49099999999999999"/>
    <x v="0"/>
    <s v="Standard"/>
    <s v="Tier 2"/>
    <x v="3"/>
  </r>
  <r>
    <n v="25"/>
    <x v="0"/>
    <s v="male"/>
    <n v="33.33"/>
    <n v="2"/>
    <x v="0"/>
    <x v="1"/>
    <n v="36124.573700000001"/>
    <n v="12041.524566666667"/>
    <x v="0"/>
    <n v="0.90700000000000003"/>
    <x v="1"/>
    <s v="High Risk"/>
    <s v="Tier 1"/>
    <x v="6"/>
  </r>
  <r>
    <n v="33"/>
    <x v="1"/>
    <s v="male"/>
    <n v="35.75"/>
    <n v="1"/>
    <x v="0"/>
    <x v="1"/>
    <n v="38282.749499999998"/>
    <n v="19141.374749999999"/>
    <x v="0"/>
    <n v="0.92500000000000004"/>
    <x v="1"/>
    <s v="High Risk"/>
    <s v="Tier 1"/>
    <x v="6"/>
  </r>
  <r>
    <n v="30"/>
    <x v="1"/>
    <s v="female"/>
    <n v="19.95"/>
    <n v="3"/>
    <x v="1"/>
    <x v="2"/>
    <n v="5693.4305000000004"/>
    <n v="1423.3576250000001"/>
    <x v="1"/>
    <n v="0.30499999999999999"/>
    <x v="2"/>
    <s v="Standard"/>
    <s v="Tier 4"/>
    <x v="2"/>
  </r>
  <r>
    <n v="23"/>
    <x v="0"/>
    <s v="female"/>
    <n v="31.4"/>
    <n v="0"/>
    <x v="0"/>
    <x v="0"/>
    <n v="34166.273000000001"/>
    <n v="34166.273000000001"/>
    <x v="0"/>
    <n v="0.89300000000000002"/>
    <x v="1"/>
    <s v="High Risk"/>
    <s v="Tier 3"/>
    <x v="5"/>
  </r>
  <r>
    <n v="46"/>
    <x v="2"/>
    <s v="male"/>
    <n v="38.17"/>
    <n v="2"/>
    <x v="1"/>
    <x v="1"/>
    <n v="8347.1643000000004"/>
    <n v="2782.3881000000001"/>
    <x v="1"/>
    <n v="0.44700000000000001"/>
    <x v="1"/>
    <s v="Standard"/>
    <s v="Tier 1"/>
    <x v="1"/>
  </r>
  <r>
    <n v="53"/>
    <x v="2"/>
    <s v="female"/>
    <n v="36.86"/>
    <n v="3"/>
    <x v="0"/>
    <x v="2"/>
    <n v="46661.4424"/>
    <n v="11665.3606"/>
    <x v="0"/>
    <n v="0.97899999999999998"/>
    <x v="1"/>
    <s v="High Risk"/>
    <s v="Tier 4"/>
    <x v="5"/>
  </r>
  <r>
    <n v="27"/>
    <x v="1"/>
    <s v="female"/>
    <n v="32.395000000000003"/>
    <n v="1"/>
    <x v="1"/>
    <x v="3"/>
    <n v="18903.491409999999"/>
    <n v="9451.7457049999994"/>
    <x v="0"/>
    <n v="0.77700000000000002"/>
    <x v="1"/>
    <s v="Standard"/>
    <s v="Tier 2"/>
    <x v="4"/>
  </r>
  <r>
    <n v="23"/>
    <x v="0"/>
    <s v="female"/>
    <n v="42.75"/>
    <n v="1"/>
    <x v="0"/>
    <x v="3"/>
    <n v="40904.199500000002"/>
    <n v="20452.099750000001"/>
    <x v="0"/>
    <n v="0.94599999999999995"/>
    <x v="1"/>
    <s v="High Risk"/>
    <s v="Tier 2"/>
    <x v="5"/>
  </r>
  <r>
    <n v="63"/>
    <x v="4"/>
    <s v="female"/>
    <n v="25.08"/>
    <n v="0"/>
    <x v="1"/>
    <x v="2"/>
    <n v="14254.608200000001"/>
    <n v="14254.608200000001"/>
    <x v="0"/>
    <n v="0.71499999999999997"/>
    <x v="0"/>
    <s v="Standard"/>
    <s v="Tier 4"/>
    <x v="3"/>
  </r>
  <r>
    <n v="55"/>
    <x v="2"/>
    <s v="male"/>
    <n v="29.9"/>
    <n v="0"/>
    <x v="1"/>
    <x v="0"/>
    <n v="10214.636"/>
    <n v="10214.636"/>
    <x v="1"/>
    <n v="0.54100000000000004"/>
    <x v="0"/>
    <s v="Standard"/>
    <s v="Tier 3"/>
    <x v="3"/>
  </r>
  <r>
    <n v="35"/>
    <x v="1"/>
    <s v="female"/>
    <n v="35.86"/>
    <n v="2"/>
    <x v="1"/>
    <x v="1"/>
    <n v="5836.5204000000003"/>
    <n v="1945.5068000000001"/>
    <x v="1"/>
    <n v="0.31"/>
    <x v="1"/>
    <s v="Standard"/>
    <s v="Tier 1"/>
    <x v="1"/>
  </r>
  <r>
    <n v="34"/>
    <x v="1"/>
    <s v="male"/>
    <n v="32.799999999999997"/>
    <n v="1"/>
    <x v="1"/>
    <x v="0"/>
    <n v="14358.364369999999"/>
    <n v="7179.1821849999997"/>
    <x v="0"/>
    <n v="0.71899999999999997"/>
    <x v="1"/>
    <s v="Standard"/>
    <s v="Tier 3"/>
    <x v="4"/>
  </r>
  <r>
    <n v="19"/>
    <x v="0"/>
    <s v="female"/>
    <n v="18.600000000000001"/>
    <n v="0"/>
    <x v="1"/>
    <x v="0"/>
    <n v="1728.8969999999999"/>
    <n v="1728.8969999999999"/>
    <x v="1"/>
    <n v="4.4999999999999998E-2"/>
    <x v="2"/>
    <s v="Standard"/>
    <s v="Tier 3"/>
    <x v="2"/>
  </r>
  <r>
    <n v="39"/>
    <x v="3"/>
    <s v="female"/>
    <n v="23.87"/>
    <n v="5"/>
    <x v="1"/>
    <x v="1"/>
    <n v="8582.3022999999994"/>
    <n v="1430.3837166666665"/>
    <x v="1"/>
    <n v="0.46100000000000002"/>
    <x v="2"/>
    <s v="Standard"/>
    <s v="Tier 1"/>
    <x v="3"/>
  </r>
  <r>
    <n v="27"/>
    <x v="1"/>
    <s v="male"/>
    <n v="45.9"/>
    <n v="2"/>
    <x v="1"/>
    <x v="0"/>
    <n v="3693.4279999999999"/>
    <n v="1231.1426666666666"/>
    <x v="1"/>
    <n v="0.182"/>
    <x v="1"/>
    <s v="Standard"/>
    <s v="Tier 3"/>
    <x v="4"/>
  </r>
  <r>
    <n v="57"/>
    <x v="4"/>
    <s v="male"/>
    <n v="40.28"/>
    <n v="0"/>
    <x v="1"/>
    <x v="3"/>
    <n v="20709.020339999999"/>
    <n v="20709.020339999999"/>
    <x v="0"/>
    <n v="0.80400000000000005"/>
    <x v="1"/>
    <s v="Standard"/>
    <s v="Tier 2"/>
    <x v="4"/>
  </r>
  <r>
    <n v="52"/>
    <x v="2"/>
    <s v="female"/>
    <n v="18.335000000000001"/>
    <n v="0"/>
    <x v="1"/>
    <x v="2"/>
    <n v="9991.0376500000002"/>
    <n v="9991.0376500000002"/>
    <x v="1"/>
    <n v="0.53100000000000003"/>
    <x v="3"/>
    <s v="Standard"/>
    <s v="Tier 4"/>
    <x v="2"/>
  </r>
  <r>
    <n v="28"/>
    <x v="1"/>
    <s v="male"/>
    <n v="33.82"/>
    <n v="0"/>
    <x v="1"/>
    <x v="2"/>
    <n v="19673.335729999999"/>
    <n v="19673.335729999999"/>
    <x v="0"/>
    <n v="0.79200000000000004"/>
    <x v="1"/>
    <s v="Standard"/>
    <s v="Tier 4"/>
    <x v="4"/>
  </r>
  <r>
    <n v="50"/>
    <x v="2"/>
    <s v="female"/>
    <n v="28.12"/>
    <n v="3"/>
    <x v="1"/>
    <x v="2"/>
    <n v="11085.586799999999"/>
    <n v="2771.3966999999998"/>
    <x v="1"/>
    <n v="0.58099999999999996"/>
    <x v="0"/>
    <s v="Standard"/>
    <s v="Tier 4"/>
    <x v="3"/>
  </r>
  <r>
    <n v="44"/>
    <x v="3"/>
    <s v="female"/>
    <n v="25"/>
    <n v="1"/>
    <x v="1"/>
    <x v="0"/>
    <n v="7623.518"/>
    <n v="3811.759"/>
    <x v="1"/>
    <n v="0.40899999999999997"/>
    <x v="0"/>
    <s v="Standard"/>
    <s v="Tier 3"/>
    <x v="3"/>
  </r>
  <r>
    <n v="26"/>
    <x v="1"/>
    <s v="female"/>
    <n v="22.23"/>
    <n v="0"/>
    <x v="1"/>
    <x v="2"/>
    <n v="3176.2876999999999"/>
    <n v="3176.2876999999999"/>
    <x v="1"/>
    <n v="0.151"/>
    <x v="2"/>
    <s v="Standard"/>
    <s v="Tier 4"/>
    <x v="2"/>
  </r>
  <r>
    <n v="33"/>
    <x v="1"/>
    <s v="male"/>
    <n v="30.25"/>
    <n v="0"/>
    <x v="1"/>
    <x v="1"/>
    <n v="3704.3544999999999"/>
    <n v="3704.3544999999999"/>
    <x v="1"/>
    <n v="0.183"/>
    <x v="1"/>
    <s v="Standard"/>
    <s v="Tier 1"/>
    <x v="1"/>
  </r>
  <r>
    <n v="19"/>
    <x v="0"/>
    <s v="female"/>
    <n v="32.49"/>
    <n v="0"/>
    <x v="0"/>
    <x v="2"/>
    <n v="36898.733079999998"/>
    <n v="36898.733079999998"/>
    <x v="0"/>
    <n v="0.91300000000000003"/>
    <x v="1"/>
    <s v="High Risk"/>
    <s v="Tier 4"/>
    <x v="5"/>
  </r>
  <r>
    <n v="50"/>
    <x v="2"/>
    <s v="male"/>
    <n v="37.07"/>
    <n v="1"/>
    <x v="1"/>
    <x v="1"/>
    <n v="9048.0272999999997"/>
    <n v="4524.0136499999999"/>
    <x v="1"/>
    <n v="0.48399999999999999"/>
    <x v="1"/>
    <s v="Standard"/>
    <s v="Tier 1"/>
    <x v="1"/>
  </r>
  <r>
    <n v="41"/>
    <x v="3"/>
    <s v="female"/>
    <n v="32.6"/>
    <n v="3"/>
    <x v="1"/>
    <x v="0"/>
    <n v="7954.5169999999998"/>
    <n v="1988.62925"/>
    <x v="1"/>
    <n v="0.42399999999999999"/>
    <x v="1"/>
    <s v="Standard"/>
    <s v="Tier 3"/>
    <x v="4"/>
  </r>
  <r>
    <n v="52"/>
    <x v="2"/>
    <s v="female"/>
    <n v="24.86"/>
    <n v="0"/>
    <x v="1"/>
    <x v="1"/>
    <n v="27117.993780000001"/>
    <n v="27117.993780000001"/>
    <x v="0"/>
    <n v="0.86299999999999999"/>
    <x v="2"/>
    <s v="Standard"/>
    <s v="Tier 1"/>
    <x v="3"/>
  </r>
  <r>
    <n v="39"/>
    <x v="3"/>
    <s v="male"/>
    <n v="32.340000000000003"/>
    <n v="2"/>
    <x v="1"/>
    <x v="1"/>
    <n v="6338.0756000000001"/>
    <n v="2112.6918666666666"/>
    <x v="1"/>
    <n v="0.33800000000000002"/>
    <x v="1"/>
    <s v="Standard"/>
    <s v="Tier 1"/>
    <x v="1"/>
  </r>
  <r>
    <n v="50"/>
    <x v="2"/>
    <s v="male"/>
    <n v="32.299999999999997"/>
    <n v="2"/>
    <x v="1"/>
    <x v="0"/>
    <n v="9630.3970000000008"/>
    <n v="3210.1323333333335"/>
    <x v="1"/>
    <n v="0.51300000000000001"/>
    <x v="1"/>
    <s v="Standard"/>
    <s v="Tier 3"/>
    <x v="4"/>
  </r>
  <r>
    <n v="52"/>
    <x v="2"/>
    <s v="male"/>
    <n v="32.774999999999999"/>
    <n v="3"/>
    <x v="1"/>
    <x v="2"/>
    <n v="11289.10925"/>
    <n v="2822.2773124999999"/>
    <x v="1"/>
    <n v="0.59"/>
    <x v="1"/>
    <s v="Standard"/>
    <s v="Tier 4"/>
    <x v="4"/>
  </r>
  <r>
    <n v="60"/>
    <x v="4"/>
    <s v="male"/>
    <n v="32.799999999999997"/>
    <n v="0"/>
    <x v="0"/>
    <x v="0"/>
    <n v="52590.829389999999"/>
    <n v="52590.829389999999"/>
    <x v="0"/>
    <n v="0.996"/>
    <x v="1"/>
    <s v="High Risk"/>
    <s v="Tier 3"/>
    <x v="5"/>
  </r>
  <r>
    <n v="20"/>
    <x v="0"/>
    <s v="female"/>
    <n v="31.92"/>
    <n v="0"/>
    <x v="1"/>
    <x v="2"/>
    <n v="2261.5688"/>
    <n v="2261.5688"/>
    <x v="1"/>
    <n v="9.6000000000000002E-2"/>
    <x v="1"/>
    <s v="Standard"/>
    <s v="Tier 4"/>
    <x v="4"/>
  </r>
  <r>
    <n v="55"/>
    <x v="2"/>
    <s v="male"/>
    <n v="21.5"/>
    <n v="1"/>
    <x v="1"/>
    <x v="0"/>
    <n v="10791.96"/>
    <n v="5395.98"/>
    <x v="1"/>
    <n v="0.56399999999999995"/>
    <x v="2"/>
    <s v="Standard"/>
    <s v="Tier 3"/>
    <x v="2"/>
  </r>
  <r>
    <n v="42"/>
    <x v="3"/>
    <s v="male"/>
    <n v="34.1"/>
    <n v="0"/>
    <x v="1"/>
    <x v="0"/>
    <n v="5979.7309999999998"/>
    <n v="5979.7309999999998"/>
    <x v="1"/>
    <n v="0.31900000000000001"/>
    <x v="1"/>
    <s v="Standard"/>
    <s v="Tier 3"/>
    <x v="4"/>
  </r>
  <r>
    <n v="18"/>
    <x v="0"/>
    <s v="female"/>
    <n v="30.305"/>
    <n v="0"/>
    <x v="1"/>
    <x v="3"/>
    <n v="2203.7359499999998"/>
    <n v="2203.7359499999998"/>
    <x v="1"/>
    <n v="8.7999999999999995E-2"/>
    <x v="1"/>
    <s v="Standard"/>
    <s v="Tier 2"/>
    <x v="4"/>
  </r>
  <r>
    <n v="58"/>
    <x v="4"/>
    <s v="female"/>
    <n v="36.479999999999997"/>
    <n v="0"/>
    <x v="1"/>
    <x v="2"/>
    <n v="12235.8392"/>
    <n v="12235.8392"/>
    <x v="1"/>
    <n v="0.64300000000000002"/>
    <x v="1"/>
    <s v="Standard"/>
    <s v="Tier 4"/>
    <x v="4"/>
  </r>
  <r>
    <n v="43"/>
    <x v="3"/>
    <s v="female"/>
    <n v="32.56"/>
    <n v="3"/>
    <x v="0"/>
    <x v="1"/>
    <n v="40941.285400000001"/>
    <n v="10235.32135"/>
    <x v="0"/>
    <n v="0.94699999999999995"/>
    <x v="1"/>
    <s v="High Risk"/>
    <s v="Tier 1"/>
    <x v="6"/>
  </r>
  <r>
    <n v="35"/>
    <x v="1"/>
    <s v="female"/>
    <n v="35.814999999999998"/>
    <n v="1"/>
    <x v="1"/>
    <x v="2"/>
    <n v="5630.4578499999998"/>
    <n v="2815.2289249999999"/>
    <x v="1"/>
    <n v="0.30299999999999999"/>
    <x v="1"/>
    <s v="Standard"/>
    <s v="Tier 4"/>
    <x v="4"/>
  </r>
  <r>
    <n v="48"/>
    <x v="2"/>
    <s v="female"/>
    <n v="27.93"/>
    <n v="4"/>
    <x v="1"/>
    <x v="2"/>
    <n v="11015.1747"/>
    <n v="2203.03494"/>
    <x v="1"/>
    <n v="0.57799999999999996"/>
    <x v="0"/>
    <s v="Standard"/>
    <s v="Tier 4"/>
    <x v="3"/>
  </r>
  <r>
    <n v="36"/>
    <x v="3"/>
    <s v="female"/>
    <n v="22.135000000000002"/>
    <n v="3"/>
    <x v="1"/>
    <x v="3"/>
    <n v="7228.2156500000001"/>
    <n v="1807.0539125"/>
    <x v="1"/>
    <n v="0.39"/>
    <x v="2"/>
    <s v="Standard"/>
    <s v="Tier 2"/>
    <x v="2"/>
  </r>
  <r>
    <n v="19"/>
    <x v="0"/>
    <s v="male"/>
    <n v="44.88"/>
    <n v="0"/>
    <x v="0"/>
    <x v="1"/>
    <n v="39722.746200000001"/>
    <n v="39722.746200000001"/>
    <x v="0"/>
    <n v="0.93600000000000005"/>
    <x v="1"/>
    <s v="High Risk"/>
    <s v="Tier 1"/>
    <x v="6"/>
  </r>
  <r>
    <n v="23"/>
    <x v="0"/>
    <s v="female"/>
    <n v="23.18"/>
    <n v="2"/>
    <x v="1"/>
    <x v="2"/>
    <n v="14426.073850000001"/>
    <n v="4808.6912833333336"/>
    <x v="0"/>
    <n v="0.72399999999999998"/>
    <x v="2"/>
    <s v="Standard"/>
    <s v="Tier 4"/>
    <x v="2"/>
  </r>
  <r>
    <n v="20"/>
    <x v="0"/>
    <s v="female"/>
    <n v="30.59"/>
    <n v="0"/>
    <x v="1"/>
    <x v="3"/>
    <n v="2459.7201"/>
    <n v="2459.7201"/>
    <x v="1"/>
    <n v="0.106"/>
    <x v="1"/>
    <s v="Standard"/>
    <s v="Tier 2"/>
    <x v="4"/>
  </r>
  <r>
    <n v="32"/>
    <x v="1"/>
    <s v="female"/>
    <n v="41.1"/>
    <n v="0"/>
    <x v="1"/>
    <x v="0"/>
    <n v="3989.8409999999999"/>
    <n v="3989.8409999999999"/>
    <x v="1"/>
    <n v="0.19900000000000001"/>
    <x v="1"/>
    <s v="Standard"/>
    <s v="Tier 3"/>
    <x v="4"/>
  </r>
  <r>
    <n v="43"/>
    <x v="3"/>
    <s v="female"/>
    <n v="34.58"/>
    <n v="1"/>
    <x v="1"/>
    <x v="2"/>
    <n v="7727.2532000000001"/>
    <n v="3863.6266000000001"/>
    <x v="1"/>
    <n v="0.41599999999999998"/>
    <x v="1"/>
    <s v="Standard"/>
    <s v="Tier 4"/>
    <x v="4"/>
  </r>
  <r>
    <n v="34"/>
    <x v="1"/>
    <s v="male"/>
    <n v="42.13"/>
    <n v="2"/>
    <x v="1"/>
    <x v="1"/>
    <n v="5124.1886999999997"/>
    <n v="1708.0628999999999"/>
    <x v="1"/>
    <n v="0.27300000000000002"/>
    <x v="1"/>
    <s v="Standard"/>
    <s v="Tier 1"/>
    <x v="1"/>
  </r>
  <r>
    <n v="30"/>
    <x v="1"/>
    <s v="male"/>
    <n v="38.83"/>
    <n v="1"/>
    <x v="1"/>
    <x v="1"/>
    <n v="18963.171920000001"/>
    <n v="9481.5859600000003"/>
    <x v="0"/>
    <n v="0.77900000000000003"/>
    <x v="1"/>
    <s v="Standard"/>
    <s v="Tier 1"/>
    <x v="1"/>
  </r>
  <r>
    <n v="18"/>
    <x v="0"/>
    <s v="female"/>
    <n v="28.215"/>
    <n v="0"/>
    <x v="1"/>
    <x v="3"/>
    <n v="2200.8308499999998"/>
    <n v="2200.8308499999998"/>
    <x v="1"/>
    <n v="8.5999999999999993E-2"/>
    <x v="0"/>
    <s v="Standard"/>
    <s v="Tier 2"/>
    <x v="3"/>
  </r>
  <r>
    <n v="41"/>
    <x v="3"/>
    <s v="female"/>
    <n v="28.31"/>
    <n v="1"/>
    <x v="1"/>
    <x v="2"/>
    <n v="7153.5538999999999"/>
    <n v="3576.7769499999999"/>
    <x v="1"/>
    <n v="0.38300000000000001"/>
    <x v="0"/>
    <s v="Standard"/>
    <s v="Tier 4"/>
    <x v="3"/>
  </r>
  <r>
    <n v="35"/>
    <x v="1"/>
    <s v="female"/>
    <n v="26.125"/>
    <n v="0"/>
    <x v="1"/>
    <x v="3"/>
    <n v="5227.9887500000004"/>
    <n v="5227.9887500000004"/>
    <x v="1"/>
    <n v="0.27800000000000002"/>
    <x v="0"/>
    <s v="Standard"/>
    <s v="Tier 2"/>
    <x v="3"/>
  </r>
  <r>
    <n v="57"/>
    <x v="4"/>
    <s v="male"/>
    <n v="40.369999999999997"/>
    <n v="0"/>
    <x v="1"/>
    <x v="1"/>
    <n v="10982.5013"/>
    <n v="10982.5013"/>
    <x v="1"/>
    <n v="0.57599999999999996"/>
    <x v="1"/>
    <s v="Standard"/>
    <s v="Tier 1"/>
    <x v="1"/>
  </r>
  <r>
    <n v="29"/>
    <x v="1"/>
    <s v="female"/>
    <n v="24.6"/>
    <n v="2"/>
    <x v="1"/>
    <x v="0"/>
    <n v="4529.4769999999999"/>
    <n v="1509.8256666666666"/>
    <x v="1"/>
    <n v="0.23599999999999999"/>
    <x v="2"/>
    <s v="Standard"/>
    <s v="Tier 3"/>
    <x v="2"/>
  </r>
  <r>
    <n v="32"/>
    <x v="1"/>
    <s v="male"/>
    <n v="35.200000000000003"/>
    <n v="2"/>
    <x v="1"/>
    <x v="0"/>
    <n v="4670.6400000000003"/>
    <n v="1556.88"/>
    <x v="1"/>
    <n v="0.24399999999999999"/>
    <x v="1"/>
    <s v="Standard"/>
    <s v="Tier 3"/>
    <x v="4"/>
  </r>
  <r>
    <n v="37"/>
    <x v="3"/>
    <s v="female"/>
    <n v="34.104999999999997"/>
    <n v="1"/>
    <x v="1"/>
    <x v="2"/>
    <n v="6112.3529500000004"/>
    <n v="3056.1764750000002"/>
    <x v="1"/>
    <n v="0.32300000000000001"/>
    <x v="1"/>
    <s v="Standard"/>
    <s v="Tier 4"/>
    <x v="4"/>
  </r>
  <r>
    <n v="18"/>
    <x v="0"/>
    <s v="male"/>
    <n v="27.36"/>
    <n v="1"/>
    <x v="0"/>
    <x v="3"/>
    <n v="17178.682400000002"/>
    <n v="8589.3412000000008"/>
    <x v="0"/>
    <n v="0.75600000000000001"/>
    <x v="0"/>
    <s v="High Risk"/>
    <s v="Tier 2"/>
    <x v="0"/>
  </r>
  <r>
    <n v="43"/>
    <x v="3"/>
    <s v="female"/>
    <n v="26.7"/>
    <n v="2"/>
    <x v="0"/>
    <x v="0"/>
    <n v="22478.6"/>
    <n v="7492.8666666666659"/>
    <x v="0"/>
    <n v="0.82699999999999996"/>
    <x v="0"/>
    <s v="High Risk"/>
    <s v="Tier 3"/>
    <x v="0"/>
  </r>
  <r>
    <n v="56"/>
    <x v="4"/>
    <s v="female"/>
    <n v="41.91"/>
    <n v="0"/>
    <x v="1"/>
    <x v="1"/>
    <n v="11093.6229"/>
    <n v="11093.6229"/>
    <x v="1"/>
    <n v="0.58299999999999996"/>
    <x v="1"/>
    <s v="Standard"/>
    <s v="Tier 1"/>
    <x v="1"/>
  </r>
  <r>
    <n v="38"/>
    <x v="3"/>
    <s v="male"/>
    <n v="29.26"/>
    <n v="2"/>
    <x v="1"/>
    <x v="2"/>
    <n v="6457.8433999999997"/>
    <n v="2152.6144666666664"/>
    <x v="1"/>
    <n v="0.34699999999999998"/>
    <x v="0"/>
    <s v="Standard"/>
    <s v="Tier 4"/>
    <x v="3"/>
  </r>
  <r>
    <n v="29"/>
    <x v="1"/>
    <s v="male"/>
    <n v="32.11"/>
    <n v="2"/>
    <x v="1"/>
    <x v="2"/>
    <n v="4433.9159"/>
    <n v="1477.9719666666667"/>
    <x v="1"/>
    <n v="0.22600000000000001"/>
    <x v="1"/>
    <s v="Standard"/>
    <s v="Tier 4"/>
    <x v="4"/>
  </r>
  <r>
    <n v="22"/>
    <x v="0"/>
    <s v="female"/>
    <n v="27.1"/>
    <n v="0"/>
    <x v="1"/>
    <x v="0"/>
    <n v="2154.3609999999999"/>
    <n v="2154.3609999999999"/>
    <x v="1"/>
    <n v="8.1000000000000003E-2"/>
    <x v="0"/>
    <s v="Standard"/>
    <s v="Tier 3"/>
    <x v="3"/>
  </r>
  <r>
    <n v="52"/>
    <x v="2"/>
    <s v="female"/>
    <n v="24.13"/>
    <n v="1"/>
    <x v="0"/>
    <x v="2"/>
    <n v="23887.662700000001"/>
    <n v="11943.83135"/>
    <x v="0"/>
    <n v="0.83599999999999997"/>
    <x v="2"/>
    <s v="High Risk"/>
    <s v="Tier 4"/>
    <x v="1"/>
  </r>
  <r>
    <n v="40"/>
    <x v="3"/>
    <s v="female"/>
    <n v="27.4"/>
    <n v="1"/>
    <x v="1"/>
    <x v="0"/>
    <n v="6496.8860000000004"/>
    <n v="3248.4430000000002"/>
    <x v="1"/>
    <n v="0.34799999999999998"/>
    <x v="0"/>
    <s v="Standard"/>
    <s v="Tier 3"/>
    <x v="3"/>
  </r>
  <r>
    <n v="23"/>
    <x v="0"/>
    <s v="female"/>
    <n v="34.865000000000002"/>
    <n v="0"/>
    <x v="1"/>
    <x v="3"/>
    <n v="2899.4893499999998"/>
    <n v="2899.4893499999998"/>
    <x v="1"/>
    <n v="0.13800000000000001"/>
    <x v="1"/>
    <s v="Standard"/>
    <s v="Tier 2"/>
    <x v="4"/>
  </r>
  <r>
    <n v="31"/>
    <x v="1"/>
    <s v="male"/>
    <n v="29.81"/>
    <n v="0"/>
    <x v="0"/>
    <x v="1"/>
    <n v="19350.368900000001"/>
    <n v="19350.368900000001"/>
    <x v="0"/>
    <n v="0.78500000000000003"/>
    <x v="0"/>
    <s v="High Risk"/>
    <s v="Tier 1"/>
    <x v="5"/>
  </r>
  <r>
    <n v="42"/>
    <x v="3"/>
    <s v="female"/>
    <n v="41.325000000000003"/>
    <n v="1"/>
    <x v="1"/>
    <x v="3"/>
    <n v="7650.7737500000003"/>
    <n v="3825.3868750000001"/>
    <x v="1"/>
    <n v="0.41399999999999998"/>
    <x v="1"/>
    <s v="Standard"/>
    <s v="Tier 2"/>
    <x v="4"/>
  </r>
  <r>
    <n v="24"/>
    <x v="0"/>
    <s v="female"/>
    <n v="29.925000000000001"/>
    <n v="0"/>
    <x v="1"/>
    <x v="2"/>
    <n v="2850.6837500000001"/>
    <n v="2850.6837500000001"/>
    <x v="1"/>
    <n v="0.13400000000000001"/>
    <x v="0"/>
    <s v="Standard"/>
    <s v="Tier 4"/>
    <x v="3"/>
  </r>
  <r>
    <n v="25"/>
    <x v="0"/>
    <s v="female"/>
    <n v="30.3"/>
    <n v="0"/>
    <x v="1"/>
    <x v="0"/>
    <n v="2632.9920000000002"/>
    <n v="2632.9920000000002"/>
    <x v="1"/>
    <n v="0.11799999999999999"/>
    <x v="1"/>
    <s v="Standard"/>
    <s v="Tier 3"/>
    <x v="4"/>
  </r>
  <r>
    <n v="48"/>
    <x v="2"/>
    <s v="female"/>
    <n v="27.36"/>
    <n v="1"/>
    <x v="1"/>
    <x v="3"/>
    <n v="9447.3824000000004"/>
    <n v="4723.6912000000002"/>
    <x v="1"/>
    <n v="0.504"/>
    <x v="0"/>
    <s v="Standard"/>
    <s v="Tier 2"/>
    <x v="3"/>
  </r>
  <r>
    <n v="23"/>
    <x v="0"/>
    <s v="female"/>
    <n v="28.49"/>
    <n v="1"/>
    <x v="0"/>
    <x v="1"/>
    <n v="18328.238099999999"/>
    <n v="9164.1190499999993"/>
    <x v="0"/>
    <n v="0.77100000000000002"/>
    <x v="0"/>
    <s v="High Risk"/>
    <s v="Tier 1"/>
    <x v="5"/>
  </r>
  <r>
    <n v="45"/>
    <x v="3"/>
    <s v="male"/>
    <n v="23.56"/>
    <n v="2"/>
    <x v="1"/>
    <x v="3"/>
    <n v="8603.8233999999993"/>
    <n v="2867.9411333333333"/>
    <x v="1"/>
    <n v="0.46300000000000002"/>
    <x v="2"/>
    <s v="Standard"/>
    <s v="Tier 2"/>
    <x v="2"/>
  </r>
  <r>
    <n v="20"/>
    <x v="0"/>
    <s v="male"/>
    <n v="35.625"/>
    <n v="3"/>
    <x v="0"/>
    <x v="2"/>
    <n v="37465.34375"/>
    <n v="9366.3359375"/>
    <x v="0"/>
    <n v="0.91900000000000004"/>
    <x v="1"/>
    <s v="High Risk"/>
    <s v="Tier 4"/>
    <x v="5"/>
  </r>
  <r>
    <n v="62"/>
    <x v="4"/>
    <s v="female"/>
    <n v="32.68"/>
    <n v="0"/>
    <x v="1"/>
    <x v="2"/>
    <n v="13844.797200000001"/>
    <n v="13844.797200000001"/>
    <x v="0"/>
    <n v="0.70299999999999996"/>
    <x v="1"/>
    <s v="Standard"/>
    <s v="Tier 4"/>
    <x v="4"/>
  </r>
  <r>
    <n v="43"/>
    <x v="3"/>
    <s v="female"/>
    <n v="25.27"/>
    <n v="1"/>
    <x v="0"/>
    <x v="3"/>
    <n v="21771.3423"/>
    <n v="10885.67115"/>
    <x v="0"/>
    <n v="0.81699999999999995"/>
    <x v="0"/>
    <s v="High Risk"/>
    <s v="Tier 2"/>
    <x v="0"/>
  </r>
  <r>
    <n v="23"/>
    <x v="0"/>
    <s v="female"/>
    <n v="28"/>
    <n v="0"/>
    <x v="1"/>
    <x v="0"/>
    <n v="13126.677449999999"/>
    <n v="13126.677449999999"/>
    <x v="1"/>
    <n v="0.67900000000000005"/>
    <x v="0"/>
    <s v="Standard"/>
    <s v="Tier 3"/>
    <x v="3"/>
  </r>
  <r>
    <n v="31"/>
    <x v="1"/>
    <s v="female"/>
    <n v="32.774999999999999"/>
    <n v="2"/>
    <x v="1"/>
    <x v="2"/>
    <n v="5327.4002499999997"/>
    <n v="1775.8000833333333"/>
    <x v="1"/>
    <n v="0.28699999999999998"/>
    <x v="1"/>
    <s v="Standard"/>
    <s v="Tier 4"/>
    <x v="4"/>
  </r>
  <r>
    <n v="41"/>
    <x v="3"/>
    <s v="female"/>
    <n v="21.754999999999999"/>
    <n v="1"/>
    <x v="1"/>
    <x v="3"/>
    <n v="13725.47184"/>
    <n v="6862.7359200000001"/>
    <x v="0"/>
    <n v="0.69799999999999995"/>
    <x v="2"/>
    <s v="Standard"/>
    <s v="Tier 2"/>
    <x v="2"/>
  </r>
  <r>
    <n v="58"/>
    <x v="4"/>
    <s v="female"/>
    <n v="32.395000000000003"/>
    <n v="1"/>
    <x v="1"/>
    <x v="3"/>
    <n v="13019.161050000001"/>
    <n v="6509.5805250000003"/>
    <x v="1"/>
    <n v="0.67600000000000005"/>
    <x v="1"/>
    <s v="Standard"/>
    <s v="Tier 2"/>
    <x v="4"/>
  </r>
  <r>
    <n v="48"/>
    <x v="2"/>
    <s v="female"/>
    <n v="36.575000000000003"/>
    <n v="0"/>
    <x v="1"/>
    <x v="2"/>
    <n v="8671.1912499999999"/>
    <n v="8671.1912499999999"/>
    <x v="1"/>
    <n v="0.46800000000000003"/>
    <x v="1"/>
    <s v="Standard"/>
    <s v="Tier 4"/>
    <x v="4"/>
  </r>
  <r>
    <n v="31"/>
    <x v="1"/>
    <s v="female"/>
    <n v="21.754999999999999"/>
    <n v="0"/>
    <x v="1"/>
    <x v="2"/>
    <n v="4134.0824499999999"/>
    <n v="4134.0824499999999"/>
    <x v="1"/>
    <n v="0.20699999999999999"/>
    <x v="2"/>
    <s v="Standard"/>
    <s v="Tier 4"/>
    <x v="2"/>
  </r>
  <r>
    <n v="19"/>
    <x v="0"/>
    <s v="female"/>
    <n v="27.93"/>
    <n v="3"/>
    <x v="1"/>
    <x v="2"/>
    <n v="18838.703659999999"/>
    <n v="4709.6759149999998"/>
    <x v="0"/>
    <n v="0.77700000000000002"/>
    <x v="0"/>
    <s v="Standard"/>
    <s v="Tier 4"/>
    <x v="3"/>
  </r>
  <r>
    <n v="19"/>
    <x v="0"/>
    <s v="female"/>
    <n v="30.02"/>
    <n v="0"/>
    <x v="0"/>
    <x v="2"/>
    <n v="33307.550799999997"/>
    <n v="33307.550799999997"/>
    <x v="0"/>
    <n v="0.88700000000000001"/>
    <x v="1"/>
    <s v="High Risk"/>
    <s v="Tier 4"/>
    <x v="5"/>
  </r>
  <r>
    <n v="41"/>
    <x v="3"/>
    <s v="male"/>
    <n v="33.549999999999997"/>
    <n v="0"/>
    <x v="1"/>
    <x v="1"/>
    <n v="5699.8374999999996"/>
    <n v="5699.8374999999996"/>
    <x v="1"/>
    <n v="0.30599999999999999"/>
    <x v="1"/>
    <s v="Standard"/>
    <s v="Tier 1"/>
    <x v="1"/>
  </r>
  <r>
    <n v="40"/>
    <x v="3"/>
    <s v="male"/>
    <n v="29.355"/>
    <n v="1"/>
    <x v="1"/>
    <x v="2"/>
    <n v="6393.6034499999996"/>
    <n v="3196.8017249999998"/>
    <x v="1"/>
    <n v="0.34200000000000003"/>
    <x v="0"/>
    <s v="Standard"/>
    <s v="Tier 4"/>
    <x v="3"/>
  </r>
  <r>
    <n v="31"/>
    <x v="1"/>
    <s v="female"/>
    <n v="25.8"/>
    <n v="2"/>
    <x v="1"/>
    <x v="0"/>
    <n v="4934.7049999999999"/>
    <n v="1644.9016666666666"/>
    <x v="1"/>
    <n v="0.26600000000000001"/>
    <x v="0"/>
    <s v="Standard"/>
    <s v="Tier 3"/>
    <x v="3"/>
  </r>
  <r>
    <n v="37"/>
    <x v="3"/>
    <s v="male"/>
    <n v="24.32"/>
    <n v="2"/>
    <x v="1"/>
    <x v="2"/>
    <n v="6198.7518"/>
    <n v="2066.2505999999998"/>
    <x v="1"/>
    <n v="0.33"/>
    <x v="2"/>
    <s v="Standard"/>
    <s v="Tier 4"/>
    <x v="2"/>
  </r>
  <r>
    <n v="46"/>
    <x v="2"/>
    <s v="male"/>
    <n v="40.375"/>
    <n v="2"/>
    <x v="1"/>
    <x v="2"/>
    <n v="8733.2292500000003"/>
    <n v="2911.0764166666668"/>
    <x v="1"/>
    <n v="0.47"/>
    <x v="1"/>
    <s v="Standard"/>
    <s v="Tier 4"/>
    <x v="4"/>
  </r>
  <r>
    <n v="22"/>
    <x v="0"/>
    <s v="male"/>
    <n v="32.11"/>
    <n v="0"/>
    <x v="1"/>
    <x v="2"/>
    <n v="2055.3249000000001"/>
    <n v="2055.3249000000001"/>
    <x v="1"/>
    <n v="7.1999999999999995E-2"/>
    <x v="1"/>
    <s v="Standard"/>
    <s v="Tier 4"/>
    <x v="4"/>
  </r>
  <r>
    <n v="51"/>
    <x v="2"/>
    <s v="male"/>
    <n v="32.299999999999997"/>
    <n v="1"/>
    <x v="1"/>
    <x v="3"/>
    <n v="9964.06"/>
    <n v="4982.03"/>
    <x v="1"/>
    <n v="0.53100000000000003"/>
    <x v="1"/>
    <s v="Standard"/>
    <s v="Tier 2"/>
    <x v="4"/>
  </r>
  <r>
    <n v="18"/>
    <x v="0"/>
    <s v="female"/>
    <n v="27.28"/>
    <n v="3"/>
    <x v="0"/>
    <x v="1"/>
    <n v="18223.4512"/>
    <n v="4555.8627999999999"/>
    <x v="0"/>
    <n v="0.76800000000000002"/>
    <x v="0"/>
    <s v="High Risk"/>
    <s v="Tier 1"/>
    <x v="5"/>
  </r>
  <r>
    <n v="35"/>
    <x v="1"/>
    <s v="male"/>
    <n v="17.86"/>
    <n v="1"/>
    <x v="1"/>
    <x v="2"/>
    <n v="5116.5003999999999"/>
    <n v="2558.2501999999999"/>
    <x v="1"/>
    <n v="0.27200000000000002"/>
    <x v="3"/>
    <s v="Standard"/>
    <s v="Tier 4"/>
    <x v="2"/>
  </r>
  <r>
    <n v="59"/>
    <x v="4"/>
    <s v="female"/>
    <n v="34.799999999999997"/>
    <n v="2"/>
    <x v="1"/>
    <x v="0"/>
    <n v="36910.608030000003"/>
    <n v="12303.536010000002"/>
    <x v="0"/>
    <n v="0.91400000000000003"/>
    <x v="1"/>
    <s v="Standard"/>
    <s v="Tier 3"/>
    <x v="4"/>
  </r>
  <r>
    <n v="36"/>
    <x v="3"/>
    <s v="male"/>
    <n v="33.4"/>
    <n v="2"/>
    <x v="0"/>
    <x v="0"/>
    <n v="38415.474000000002"/>
    <n v="12805.158000000001"/>
    <x v="0"/>
    <n v="0.92600000000000005"/>
    <x v="1"/>
    <s v="High Risk"/>
    <s v="Tier 3"/>
    <x v="5"/>
  </r>
  <r>
    <n v="37"/>
    <x v="3"/>
    <s v="female"/>
    <n v="25.555"/>
    <n v="1"/>
    <x v="0"/>
    <x v="3"/>
    <n v="20296.863450000001"/>
    <n v="10148.431725"/>
    <x v="0"/>
    <n v="0.80100000000000005"/>
    <x v="0"/>
    <s v="High Risk"/>
    <s v="Tier 2"/>
    <x v="0"/>
  </r>
  <r>
    <n v="59"/>
    <x v="4"/>
    <s v="male"/>
    <n v="37.1"/>
    <n v="1"/>
    <x v="1"/>
    <x v="0"/>
    <n v="12347.172"/>
    <n v="6173.5860000000002"/>
    <x v="1"/>
    <n v="0.64800000000000002"/>
    <x v="1"/>
    <s v="Standard"/>
    <s v="Tier 3"/>
    <x v="4"/>
  </r>
  <r>
    <n v="36"/>
    <x v="3"/>
    <s v="male"/>
    <n v="30.875"/>
    <n v="1"/>
    <x v="1"/>
    <x v="2"/>
    <n v="5373.3642499999996"/>
    <n v="2686.6821249999998"/>
    <x v="1"/>
    <n v="0.28799999999999998"/>
    <x v="1"/>
    <s v="Standard"/>
    <s v="Tier 4"/>
    <x v="4"/>
  </r>
  <r>
    <n v="39"/>
    <x v="3"/>
    <s v="male"/>
    <n v="34.1"/>
    <n v="2"/>
    <x v="1"/>
    <x v="1"/>
    <n v="23563.016179999999"/>
    <n v="7854.3387266666659"/>
    <x v="0"/>
    <n v="0.83399999999999996"/>
    <x v="1"/>
    <s v="Standard"/>
    <s v="Tier 1"/>
    <x v="1"/>
  </r>
  <r>
    <n v="18"/>
    <x v="0"/>
    <s v="male"/>
    <n v="21.47"/>
    <n v="0"/>
    <x v="1"/>
    <x v="3"/>
    <n v="1702.4553000000001"/>
    <n v="1702.4553000000001"/>
    <x v="1"/>
    <n v="3.5000000000000003E-2"/>
    <x v="2"/>
    <s v="Standard"/>
    <s v="Tier 2"/>
    <x v="2"/>
  </r>
  <r>
    <n v="52"/>
    <x v="2"/>
    <s v="female"/>
    <n v="33.299999999999997"/>
    <n v="2"/>
    <x v="1"/>
    <x v="0"/>
    <n v="10806.839"/>
    <n v="3602.2796666666668"/>
    <x v="1"/>
    <n v="0.56699999999999995"/>
    <x v="1"/>
    <s v="Standard"/>
    <s v="Tier 3"/>
    <x v="4"/>
  </r>
  <r>
    <n v="27"/>
    <x v="1"/>
    <s v="female"/>
    <n v="31.254999999999999"/>
    <n v="1"/>
    <x v="1"/>
    <x v="2"/>
    <n v="3956.0714499999999"/>
    <n v="1978.035725"/>
    <x v="1"/>
    <n v="0.19600000000000001"/>
    <x v="1"/>
    <s v="Standard"/>
    <s v="Tier 4"/>
    <x v="4"/>
  </r>
  <r>
    <n v="18"/>
    <x v="0"/>
    <s v="male"/>
    <n v="39.14"/>
    <n v="0"/>
    <x v="1"/>
    <x v="3"/>
    <n v="12890.057650000001"/>
    <n v="12890.057650000001"/>
    <x v="1"/>
    <n v="0.66700000000000004"/>
    <x v="1"/>
    <s v="Standard"/>
    <s v="Tier 2"/>
    <x v="4"/>
  </r>
  <r>
    <n v="40"/>
    <x v="3"/>
    <s v="male"/>
    <n v="25.08"/>
    <n v="0"/>
    <x v="1"/>
    <x v="1"/>
    <n v="5415.6611999999996"/>
    <n v="5415.6611999999996"/>
    <x v="1"/>
    <n v="0.29299999999999998"/>
    <x v="0"/>
    <s v="Standard"/>
    <s v="Tier 1"/>
    <x v="4"/>
  </r>
  <r>
    <n v="29"/>
    <x v="1"/>
    <s v="male"/>
    <n v="37.29"/>
    <n v="2"/>
    <x v="1"/>
    <x v="1"/>
    <n v="4058.1161000000002"/>
    <n v="1352.7053666666668"/>
    <x v="1"/>
    <n v="0.20300000000000001"/>
    <x v="1"/>
    <s v="Standard"/>
    <s v="Tier 1"/>
    <x v="1"/>
  </r>
  <r>
    <n v="46"/>
    <x v="2"/>
    <s v="female"/>
    <n v="34.6"/>
    <n v="1"/>
    <x v="0"/>
    <x v="0"/>
    <n v="41661.601999999999"/>
    <n v="20830.800999999999"/>
    <x v="0"/>
    <n v="0.95"/>
    <x v="1"/>
    <s v="High Risk"/>
    <s v="Tier 3"/>
    <x v="5"/>
  </r>
  <r>
    <n v="38"/>
    <x v="3"/>
    <s v="female"/>
    <n v="30.21"/>
    <n v="3"/>
    <x v="1"/>
    <x v="2"/>
    <n v="7537.1638999999996"/>
    <n v="1884.2909749999999"/>
    <x v="1"/>
    <n v="0.40899999999999997"/>
    <x v="1"/>
    <s v="Standard"/>
    <s v="Tier 4"/>
    <x v="4"/>
  </r>
  <r>
    <n v="30"/>
    <x v="1"/>
    <s v="female"/>
    <n v="21.945"/>
    <n v="1"/>
    <x v="1"/>
    <x v="3"/>
    <n v="4718.2035500000002"/>
    <n v="2359.1017750000001"/>
    <x v="1"/>
    <n v="0.247"/>
    <x v="2"/>
    <s v="Standard"/>
    <s v="Tier 2"/>
    <x v="2"/>
  </r>
  <r>
    <n v="40"/>
    <x v="3"/>
    <s v="male"/>
    <n v="24.97"/>
    <n v="2"/>
    <x v="1"/>
    <x v="1"/>
    <n v="6593.5083000000004"/>
    <n v="2197.8361"/>
    <x v="1"/>
    <n v="0.35299999999999998"/>
    <x v="2"/>
    <s v="Standard"/>
    <s v="Tier 1"/>
    <x v="3"/>
  </r>
  <r>
    <n v="50"/>
    <x v="2"/>
    <s v="male"/>
    <n v="25.3"/>
    <n v="0"/>
    <x v="1"/>
    <x v="1"/>
    <n v="8442.6669999999995"/>
    <n v="8442.6669999999995"/>
    <x v="1"/>
    <n v="0.45"/>
    <x v="0"/>
    <s v="Standard"/>
    <s v="Tier 1"/>
    <x v="4"/>
  </r>
  <r>
    <n v="20"/>
    <x v="0"/>
    <s v="female"/>
    <n v="24.42"/>
    <n v="0"/>
    <x v="0"/>
    <x v="1"/>
    <n v="26125.674770000001"/>
    <n v="26125.674770000001"/>
    <x v="0"/>
    <n v="0.85699999999999998"/>
    <x v="2"/>
    <s v="High Risk"/>
    <s v="Tier 1"/>
    <x v="0"/>
  </r>
  <r>
    <n v="41"/>
    <x v="3"/>
    <s v="male"/>
    <n v="23.94"/>
    <n v="1"/>
    <x v="1"/>
    <x v="3"/>
    <n v="6858.4795999999997"/>
    <n v="3429.2397999999998"/>
    <x v="1"/>
    <n v="0.36899999999999999"/>
    <x v="2"/>
    <s v="Standard"/>
    <s v="Tier 2"/>
    <x v="2"/>
  </r>
  <r>
    <n v="33"/>
    <x v="1"/>
    <s v="female"/>
    <n v="39.82"/>
    <n v="1"/>
    <x v="1"/>
    <x v="1"/>
    <n v="4795.6567999999997"/>
    <n v="2397.8283999999999"/>
    <x v="1"/>
    <n v="0.255"/>
    <x v="1"/>
    <s v="Standard"/>
    <s v="Tier 1"/>
    <x v="1"/>
  </r>
  <r>
    <n v="38"/>
    <x v="3"/>
    <s v="male"/>
    <n v="16.815000000000001"/>
    <n v="2"/>
    <x v="1"/>
    <x v="3"/>
    <n v="6640.5448500000002"/>
    <n v="2213.5149500000002"/>
    <x v="1"/>
    <n v="0.35599999999999998"/>
    <x v="3"/>
    <s v="Standard"/>
    <s v="Tier 2"/>
    <x v="2"/>
  </r>
  <r>
    <n v="42"/>
    <x v="3"/>
    <s v="male"/>
    <n v="37.18"/>
    <n v="2"/>
    <x v="1"/>
    <x v="1"/>
    <n v="7162.0122000000001"/>
    <n v="2387.3373999999999"/>
    <x v="1"/>
    <n v="0.38500000000000001"/>
    <x v="1"/>
    <s v="Standard"/>
    <s v="Tier 1"/>
    <x v="1"/>
  </r>
  <r>
    <n v="56"/>
    <x v="4"/>
    <s v="male"/>
    <n v="34.43"/>
    <n v="0"/>
    <x v="1"/>
    <x v="1"/>
    <n v="10594.225700000001"/>
    <n v="10594.225700000001"/>
    <x v="1"/>
    <n v="0.55700000000000005"/>
    <x v="1"/>
    <s v="Standard"/>
    <s v="Tier 1"/>
    <x v="1"/>
  </r>
  <r>
    <n v="58"/>
    <x v="4"/>
    <s v="male"/>
    <n v="30.305"/>
    <n v="0"/>
    <x v="1"/>
    <x v="3"/>
    <n v="11938.255950000001"/>
    <n v="11938.255950000001"/>
    <x v="1"/>
    <n v="0.629"/>
    <x v="1"/>
    <s v="Standard"/>
    <s v="Tier 2"/>
    <x v="4"/>
  </r>
  <r>
    <n v="52"/>
    <x v="2"/>
    <s v="male"/>
    <n v="34.484999999999999"/>
    <n v="3"/>
    <x v="0"/>
    <x v="2"/>
    <n v="60021.398970000002"/>
    <n v="15005.349742500001"/>
    <x v="0"/>
    <n v="0.998"/>
    <x v="1"/>
    <s v="High Risk"/>
    <s v="Tier 4"/>
    <x v="5"/>
  </r>
  <r>
    <n v="20"/>
    <x v="0"/>
    <s v="female"/>
    <n v="21.8"/>
    <n v="0"/>
    <x v="0"/>
    <x v="0"/>
    <n v="20167.336029999999"/>
    <n v="20167.336029999999"/>
    <x v="0"/>
    <n v="0.79800000000000004"/>
    <x v="2"/>
    <s v="High Risk"/>
    <s v="Tier 3"/>
    <x v="1"/>
  </r>
  <r>
    <n v="54"/>
    <x v="2"/>
    <s v="female"/>
    <n v="24.605"/>
    <n v="3"/>
    <x v="1"/>
    <x v="2"/>
    <n v="12479.70895"/>
    <n v="3119.9272375"/>
    <x v="1"/>
    <n v="0.65200000000000002"/>
    <x v="2"/>
    <s v="Standard"/>
    <s v="Tier 4"/>
    <x v="2"/>
  </r>
  <r>
    <n v="58"/>
    <x v="4"/>
    <s v="male"/>
    <n v="23.3"/>
    <n v="0"/>
    <x v="1"/>
    <x v="0"/>
    <n v="11345.519"/>
    <n v="11345.519"/>
    <x v="1"/>
    <n v="0.59299999999999997"/>
    <x v="2"/>
    <s v="Standard"/>
    <s v="Tier 3"/>
    <x v="2"/>
  </r>
  <r>
    <n v="45"/>
    <x v="3"/>
    <s v="female"/>
    <n v="27.83"/>
    <n v="2"/>
    <x v="1"/>
    <x v="1"/>
    <n v="8515.7587000000003"/>
    <n v="2838.5862333333334"/>
    <x v="1"/>
    <n v="0.45200000000000001"/>
    <x v="0"/>
    <s v="Standard"/>
    <s v="Tier 1"/>
    <x v="4"/>
  </r>
  <r>
    <n v="26"/>
    <x v="1"/>
    <s v="male"/>
    <n v="31.065000000000001"/>
    <n v="0"/>
    <x v="1"/>
    <x v="2"/>
    <n v="2699.56835"/>
    <n v="2699.56835"/>
    <x v="1"/>
    <n v="0.122"/>
    <x v="1"/>
    <s v="Standard"/>
    <s v="Tier 4"/>
    <x v="4"/>
  </r>
  <r>
    <n v="63"/>
    <x v="4"/>
    <s v="female"/>
    <n v="21.66"/>
    <n v="0"/>
    <x v="1"/>
    <x v="3"/>
    <n v="14449.8544"/>
    <n v="14449.8544"/>
    <x v="0"/>
    <n v="0.72399999999999998"/>
    <x v="2"/>
    <s v="Standard"/>
    <s v="Tier 2"/>
    <x v="2"/>
  </r>
  <r>
    <n v="58"/>
    <x v="4"/>
    <s v="female"/>
    <n v="28.215"/>
    <n v="0"/>
    <x v="1"/>
    <x v="2"/>
    <n v="12224.350850000001"/>
    <n v="12224.350850000001"/>
    <x v="1"/>
    <n v="0.64"/>
    <x v="0"/>
    <s v="Standard"/>
    <s v="Tier 4"/>
    <x v="3"/>
  </r>
  <r>
    <n v="37"/>
    <x v="3"/>
    <s v="male"/>
    <n v="22.704999999999998"/>
    <n v="3"/>
    <x v="1"/>
    <x v="3"/>
    <n v="6985.50695"/>
    <n v="1746.3767375"/>
    <x v="1"/>
    <n v="0.373"/>
    <x v="2"/>
    <s v="Standard"/>
    <s v="Tier 2"/>
    <x v="2"/>
  </r>
  <r>
    <n v="25"/>
    <x v="0"/>
    <s v="female"/>
    <n v="42.13"/>
    <n v="1"/>
    <x v="1"/>
    <x v="1"/>
    <n v="3238.4357"/>
    <n v="1619.21785"/>
    <x v="1"/>
    <n v="0.157"/>
    <x v="1"/>
    <s v="Standard"/>
    <s v="Tier 1"/>
    <x v="1"/>
  </r>
  <r>
    <n v="52"/>
    <x v="2"/>
    <s v="male"/>
    <n v="41.8"/>
    <n v="2"/>
    <x v="0"/>
    <x v="1"/>
    <n v="47269.853999999999"/>
    <n v="15756.618"/>
    <x v="0"/>
    <n v="0.98199999999999998"/>
    <x v="1"/>
    <s v="High Risk"/>
    <s v="Tier 1"/>
    <x v="6"/>
  </r>
  <r>
    <n v="64"/>
    <x v="4"/>
    <s v="male"/>
    <n v="36.96"/>
    <n v="2"/>
    <x v="0"/>
    <x v="1"/>
    <n v="49577.662400000001"/>
    <n v="16525.887466666667"/>
    <x v="0"/>
    <n v="0.99399999999999999"/>
    <x v="1"/>
    <s v="High Risk"/>
    <s v="Tier 1"/>
    <x v="6"/>
  </r>
  <r>
    <n v="22"/>
    <x v="0"/>
    <s v="female"/>
    <n v="21.28"/>
    <n v="3"/>
    <x v="1"/>
    <x v="2"/>
    <n v="4296.2712000000001"/>
    <n v="1074.0678"/>
    <x v="1"/>
    <n v="0.216"/>
    <x v="2"/>
    <s v="Standard"/>
    <s v="Tier 4"/>
    <x v="2"/>
  </r>
  <r>
    <n v="28"/>
    <x v="1"/>
    <s v="female"/>
    <n v="33.11"/>
    <n v="0"/>
    <x v="1"/>
    <x v="1"/>
    <n v="3171.6149"/>
    <n v="3171.6149"/>
    <x v="1"/>
    <n v="0.14899999999999999"/>
    <x v="1"/>
    <s v="Standard"/>
    <s v="Tier 1"/>
    <x v="1"/>
  </r>
  <r>
    <n v="18"/>
    <x v="0"/>
    <s v="male"/>
    <n v="33.33"/>
    <n v="0"/>
    <x v="1"/>
    <x v="1"/>
    <n v="1135.9407000000001"/>
    <n v="1135.9407000000001"/>
    <x v="1"/>
    <n v="1E-3"/>
    <x v="1"/>
    <s v="Standard"/>
    <s v="Tier 1"/>
    <x v="1"/>
  </r>
  <r>
    <n v="28"/>
    <x v="1"/>
    <s v="male"/>
    <n v="24.3"/>
    <n v="5"/>
    <x v="1"/>
    <x v="0"/>
    <n v="5615.3689999999997"/>
    <n v="935.89483333333328"/>
    <x v="1"/>
    <n v="0.30199999999999999"/>
    <x v="2"/>
    <s v="Standard"/>
    <s v="Tier 3"/>
    <x v="2"/>
  </r>
  <r>
    <n v="45"/>
    <x v="3"/>
    <s v="female"/>
    <n v="25.7"/>
    <n v="3"/>
    <x v="1"/>
    <x v="0"/>
    <n v="9101.7980000000007"/>
    <n v="2275.4495000000002"/>
    <x v="1"/>
    <n v="0.48599999999999999"/>
    <x v="0"/>
    <s v="Standard"/>
    <s v="Tier 3"/>
    <x v="3"/>
  </r>
  <r>
    <n v="33"/>
    <x v="1"/>
    <s v="male"/>
    <n v="29.4"/>
    <n v="4"/>
    <x v="1"/>
    <x v="0"/>
    <n v="6059.1729999999998"/>
    <n v="1211.8345999999999"/>
    <x v="1"/>
    <n v="0.32"/>
    <x v="0"/>
    <s v="Standard"/>
    <s v="Tier 3"/>
    <x v="3"/>
  </r>
  <r>
    <n v="18"/>
    <x v="0"/>
    <s v="female"/>
    <n v="39.82"/>
    <n v="0"/>
    <x v="1"/>
    <x v="1"/>
    <n v="1633.9618"/>
    <n v="1633.9618"/>
    <x v="1"/>
    <n v="2.8000000000000001E-2"/>
    <x v="1"/>
    <s v="Standard"/>
    <s v="Tier 1"/>
    <x v="1"/>
  </r>
  <r>
    <n v="32"/>
    <x v="1"/>
    <s v="male"/>
    <n v="33.630000000000003"/>
    <n v="1"/>
    <x v="0"/>
    <x v="3"/>
    <n v="37607.527699999999"/>
    <n v="18803.763849999999"/>
    <x v="0"/>
    <n v="0.92"/>
    <x v="1"/>
    <s v="High Risk"/>
    <s v="Tier 2"/>
    <x v="5"/>
  </r>
  <r>
    <n v="24"/>
    <x v="0"/>
    <s v="male"/>
    <n v="29.83"/>
    <n v="0"/>
    <x v="0"/>
    <x v="3"/>
    <n v="18648.421699999999"/>
    <n v="18648.421699999999"/>
    <x v="0"/>
    <n v="0.77300000000000002"/>
    <x v="0"/>
    <s v="High Risk"/>
    <s v="Tier 2"/>
    <x v="0"/>
  </r>
  <r>
    <n v="19"/>
    <x v="0"/>
    <s v="male"/>
    <n v="19.8"/>
    <n v="0"/>
    <x v="1"/>
    <x v="0"/>
    <n v="1241.5650000000001"/>
    <n v="1241.5650000000001"/>
    <x v="1"/>
    <n v="7.0000000000000001E-3"/>
    <x v="2"/>
    <s v="Standard"/>
    <s v="Tier 3"/>
    <x v="2"/>
  </r>
  <r>
    <n v="20"/>
    <x v="0"/>
    <s v="male"/>
    <n v="27.3"/>
    <n v="0"/>
    <x v="0"/>
    <x v="0"/>
    <n v="16232.847"/>
    <n v="16232.847"/>
    <x v="0"/>
    <n v="0.74399999999999999"/>
    <x v="0"/>
    <s v="High Risk"/>
    <s v="Tier 3"/>
    <x v="0"/>
  </r>
  <r>
    <n v="40"/>
    <x v="3"/>
    <s v="female"/>
    <n v="29.3"/>
    <n v="4"/>
    <x v="1"/>
    <x v="0"/>
    <n v="15828.82173"/>
    <n v="3165.7643459999999"/>
    <x v="0"/>
    <n v="0.74099999999999999"/>
    <x v="0"/>
    <s v="Standard"/>
    <s v="Tier 3"/>
    <x v="3"/>
  </r>
  <r>
    <n v="34"/>
    <x v="1"/>
    <s v="female"/>
    <n v="27.72"/>
    <n v="0"/>
    <x v="1"/>
    <x v="1"/>
    <n v="4415.1588000000002"/>
    <n v="4415.1588000000002"/>
    <x v="1"/>
    <n v="0.224"/>
    <x v="0"/>
    <s v="Standard"/>
    <s v="Tier 1"/>
    <x v="4"/>
  </r>
  <r>
    <n v="42"/>
    <x v="3"/>
    <s v="female"/>
    <n v="37.9"/>
    <n v="0"/>
    <x v="1"/>
    <x v="0"/>
    <n v="6474.0129999999999"/>
    <n v="6474.0129999999999"/>
    <x v="1"/>
    <n v="0.34699999999999998"/>
    <x v="1"/>
    <s v="Standard"/>
    <s v="Tier 3"/>
    <x v="4"/>
  </r>
  <r>
    <n v="51"/>
    <x v="2"/>
    <s v="female"/>
    <n v="36.384999999999998"/>
    <n v="3"/>
    <x v="1"/>
    <x v="2"/>
    <n v="11436.738149999999"/>
    <n v="2859.1845374999998"/>
    <x v="1"/>
    <n v="0.60099999999999998"/>
    <x v="1"/>
    <s v="Standard"/>
    <s v="Tier 4"/>
    <x v="4"/>
  </r>
  <r>
    <n v="54"/>
    <x v="2"/>
    <s v="female"/>
    <n v="27.645"/>
    <n v="1"/>
    <x v="1"/>
    <x v="2"/>
    <n v="11305.93455"/>
    <n v="5652.967275"/>
    <x v="1"/>
    <n v="0.59199999999999997"/>
    <x v="0"/>
    <s v="Standard"/>
    <s v="Tier 4"/>
    <x v="3"/>
  </r>
  <r>
    <n v="55"/>
    <x v="2"/>
    <s v="male"/>
    <n v="37.715000000000003"/>
    <n v="3"/>
    <x v="1"/>
    <x v="2"/>
    <n v="30063.580549999999"/>
    <n v="7515.8951374999997"/>
    <x v="0"/>
    <n v="0.879"/>
    <x v="1"/>
    <s v="Standard"/>
    <s v="Tier 4"/>
    <x v="4"/>
  </r>
  <r>
    <n v="52"/>
    <x v="2"/>
    <s v="female"/>
    <n v="23.18"/>
    <n v="0"/>
    <x v="1"/>
    <x v="3"/>
    <n v="10197.772199999999"/>
    <n v="10197.772199999999"/>
    <x v="1"/>
    <n v="0.54"/>
    <x v="2"/>
    <s v="Standard"/>
    <s v="Tier 2"/>
    <x v="2"/>
  </r>
  <r>
    <n v="32"/>
    <x v="1"/>
    <s v="female"/>
    <n v="20.52"/>
    <n v="0"/>
    <x v="1"/>
    <x v="3"/>
    <n v="4544.2348000000002"/>
    <n v="4544.2348000000002"/>
    <x v="1"/>
    <n v="0.23699999999999999"/>
    <x v="2"/>
    <s v="Standard"/>
    <s v="Tier 2"/>
    <x v="2"/>
  </r>
  <r>
    <n v="28"/>
    <x v="1"/>
    <s v="male"/>
    <n v="37.1"/>
    <n v="1"/>
    <x v="1"/>
    <x v="0"/>
    <n v="3277.1610000000001"/>
    <n v="1638.5805"/>
    <x v="1"/>
    <n v="0.159"/>
    <x v="1"/>
    <s v="Standard"/>
    <s v="Tier 3"/>
    <x v="4"/>
  </r>
  <r>
    <n v="41"/>
    <x v="3"/>
    <s v="female"/>
    <n v="28.05"/>
    <n v="1"/>
    <x v="1"/>
    <x v="1"/>
    <n v="6770.1925000000001"/>
    <n v="3385.0962500000001"/>
    <x v="1"/>
    <n v="0.36399999999999999"/>
    <x v="0"/>
    <s v="Standard"/>
    <s v="Tier 1"/>
    <x v="4"/>
  </r>
  <r>
    <n v="43"/>
    <x v="3"/>
    <s v="female"/>
    <n v="29.9"/>
    <n v="1"/>
    <x v="1"/>
    <x v="0"/>
    <n v="7337.7479999999996"/>
    <n v="3668.8739999999998"/>
    <x v="1"/>
    <n v="0.39600000000000002"/>
    <x v="0"/>
    <s v="Standard"/>
    <s v="Tier 3"/>
    <x v="3"/>
  </r>
  <r>
    <n v="49"/>
    <x v="2"/>
    <s v="female"/>
    <n v="33.344999999999999"/>
    <n v="2"/>
    <x v="1"/>
    <x v="3"/>
    <n v="10370.912549999999"/>
    <n v="3456.9708499999997"/>
    <x v="1"/>
    <n v="0.54700000000000004"/>
    <x v="1"/>
    <s v="Standard"/>
    <s v="Tier 2"/>
    <x v="4"/>
  </r>
  <r>
    <n v="64"/>
    <x v="4"/>
    <s v="male"/>
    <n v="23.76"/>
    <n v="0"/>
    <x v="0"/>
    <x v="1"/>
    <n v="26926.5144"/>
    <n v="26926.5144"/>
    <x v="0"/>
    <n v="0.86099999999999999"/>
    <x v="2"/>
    <s v="High Risk"/>
    <s v="Tier 1"/>
    <x v="0"/>
  </r>
  <r>
    <n v="55"/>
    <x v="2"/>
    <s v="female"/>
    <n v="30.5"/>
    <n v="0"/>
    <x v="1"/>
    <x v="0"/>
    <n v="10704.47"/>
    <n v="10704.47"/>
    <x v="1"/>
    <n v="0.56200000000000006"/>
    <x v="1"/>
    <s v="Standard"/>
    <s v="Tier 3"/>
    <x v="4"/>
  </r>
  <r>
    <n v="24"/>
    <x v="0"/>
    <s v="male"/>
    <n v="31.065000000000001"/>
    <n v="0"/>
    <x v="0"/>
    <x v="3"/>
    <n v="34254.053350000002"/>
    <n v="34254.053350000002"/>
    <x v="0"/>
    <n v="0.89300000000000002"/>
    <x v="1"/>
    <s v="High Risk"/>
    <s v="Tier 2"/>
    <x v="5"/>
  </r>
  <r>
    <n v="20"/>
    <x v="0"/>
    <s v="female"/>
    <n v="33.299999999999997"/>
    <n v="0"/>
    <x v="1"/>
    <x v="0"/>
    <n v="1880.4870000000001"/>
    <n v="1880.4870000000001"/>
    <x v="1"/>
    <n v="5.8999999999999997E-2"/>
    <x v="1"/>
    <s v="Standard"/>
    <s v="Tier 3"/>
    <x v="4"/>
  </r>
  <r>
    <n v="45"/>
    <x v="3"/>
    <s v="male"/>
    <n v="27.5"/>
    <n v="3"/>
    <x v="1"/>
    <x v="0"/>
    <n v="8615.2999999999993"/>
    <n v="2153.8249999999998"/>
    <x v="1"/>
    <n v="0.46600000000000003"/>
    <x v="0"/>
    <s v="Standard"/>
    <s v="Tier 3"/>
    <x v="3"/>
  </r>
  <r>
    <n v="26"/>
    <x v="1"/>
    <s v="male"/>
    <n v="33.914999999999999"/>
    <n v="1"/>
    <x v="1"/>
    <x v="2"/>
    <n v="3292.5298499999999"/>
    <n v="1646.2649249999999"/>
    <x v="1"/>
    <n v="0.16"/>
    <x v="1"/>
    <s v="Standard"/>
    <s v="Tier 4"/>
    <x v="4"/>
  </r>
  <r>
    <n v="25"/>
    <x v="0"/>
    <s v="female"/>
    <n v="34.484999999999999"/>
    <n v="0"/>
    <x v="1"/>
    <x v="2"/>
    <n v="3021.80915"/>
    <n v="3021.80915"/>
    <x v="1"/>
    <n v="0.14199999999999999"/>
    <x v="1"/>
    <s v="Standard"/>
    <s v="Tier 4"/>
    <x v="4"/>
  </r>
  <r>
    <n v="43"/>
    <x v="3"/>
    <s v="male"/>
    <n v="25.52"/>
    <n v="5"/>
    <x v="1"/>
    <x v="1"/>
    <n v="14478.33015"/>
    <n v="2413.0550250000001"/>
    <x v="0"/>
    <n v="0.72699999999999998"/>
    <x v="0"/>
    <s v="Standard"/>
    <s v="Tier 1"/>
    <x v="4"/>
  </r>
  <r>
    <n v="35"/>
    <x v="1"/>
    <s v="male"/>
    <n v="27.61"/>
    <n v="1"/>
    <x v="1"/>
    <x v="1"/>
    <n v="4747.0528999999997"/>
    <n v="2373.5264499999998"/>
    <x v="1"/>
    <n v="0.251"/>
    <x v="0"/>
    <s v="Standard"/>
    <s v="Tier 1"/>
    <x v="4"/>
  </r>
  <r>
    <n v="26"/>
    <x v="1"/>
    <s v="male"/>
    <n v="27.06"/>
    <n v="0"/>
    <x v="0"/>
    <x v="1"/>
    <n v="17043.341400000001"/>
    <n v="17043.341400000001"/>
    <x v="0"/>
    <n v="0.753"/>
    <x v="0"/>
    <s v="High Risk"/>
    <s v="Tier 1"/>
    <x v="5"/>
  </r>
  <r>
    <n v="57"/>
    <x v="4"/>
    <s v="male"/>
    <n v="23.7"/>
    <n v="0"/>
    <x v="1"/>
    <x v="0"/>
    <n v="10959.33"/>
    <n v="10959.33"/>
    <x v="1"/>
    <n v="0.57199999999999995"/>
    <x v="2"/>
    <s v="Standard"/>
    <s v="Tier 3"/>
    <x v="2"/>
  </r>
  <r>
    <n v="22"/>
    <x v="0"/>
    <s v="female"/>
    <n v="30.4"/>
    <n v="0"/>
    <x v="1"/>
    <x v="3"/>
    <n v="2741.9479999999999"/>
    <n v="2741.9479999999999"/>
    <x v="1"/>
    <n v="0.129"/>
    <x v="1"/>
    <s v="Standard"/>
    <s v="Tier 2"/>
    <x v="4"/>
  </r>
  <r>
    <n v="32"/>
    <x v="1"/>
    <s v="female"/>
    <n v="29.734999999999999"/>
    <n v="0"/>
    <x v="1"/>
    <x v="2"/>
    <n v="4357.0436499999996"/>
    <n v="4357.0436499999996"/>
    <x v="1"/>
    <n v="0.221"/>
    <x v="0"/>
    <s v="Standard"/>
    <s v="Tier 4"/>
    <x v="3"/>
  </r>
  <r>
    <n v="39"/>
    <x v="3"/>
    <s v="male"/>
    <n v="29.925000000000001"/>
    <n v="1"/>
    <x v="0"/>
    <x v="3"/>
    <n v="22462.043750000001"/>
    <n v="11231.021875"/>
    <x v="0"/>
    <n v="0.82599999999999996"/>
    <x v="0"/>
    <s v="High Risk"/>
    <s v="Tier 2"/>
    <x v="0"/>
  </r>
  <r>
    <n v="25"/>
    <x v="0"/>
    <s v="female"/>
    <n v="26.79"/>
    <n v="2"/>
    <x v="1"/>
    <x v="2"/>
    <n v="4189.1130999999996"/>
    <n v="1396.3710333333331"/>
    <x v="1"/>
    <n v="0.21"/>
    <x v="0"/>
    <s v="Standard"/>
    <s v="Tier 4"/>
    <x v="3"/>
  </r>
  <r>
    <n v="48"/>
    <x v="2"/>
    <s v="female"/>
    <n v="33.33"/>
    <n v="0"/>
    <x v="1"/>
    <x v="1"/>
    <n v="8283.6807000000008"/>
    <n v="8283.6807000000008"/>
    <x v="1"/>
    <n v="0.442"/>
    <x v="1"/>
    <s v="Standard"/>
    <s v="Tier 1"/>
    <x v="1"/>
  </r>
  <r>
    <n v="47"/>
    <x v="2"/>
    <s v="female"/>
    <n v="27.645"/>
    <n v="2"/>
    <x v="0"/>
    <x v="2"/>
    <n v="24535.698550000001"/>
    <n v="8178.5661833333334"/>
    <x v="0"/>
    <n v="0.84399999999999997"/>
    <x v="0"/>
    <s v="High Risk"/>
    <s v="Tier 4"/>
    <x v="0"/>
  </r>
  <r>
    <n v="18"/>
    <x v="0"/>
    <s v="female"/>
    <n v="21.66"/>
    <n v="0"/>
    <x v="0"/>
    <x v="3"/>
    <n v="14283.4594"/>
    <n v="14283.4594"/>
    <x v="0"/>
    <n v="0.71599999999999997"/>
    <x v="2"/>
    <s v="High Risk"/>
    <s v="Tier 2"/>
    <x v="1"/>
  </r>
  <r>
    <n v="18"/>
    <x v="0"/>
    <s v="male"/>
    <n v="30.03"/>
    <n v="1"/>
    <x v="1"/>
    <x v="1"/>
    <n v="1720.3536999999999"/>
    <n v="860.17684999999994"/>
    <x v="1"/>
    <n v="4.2000000000000003E-2"/>
    <x v="1"/>
    <s v="Standard"/>
    <s v="Tier 1"/>
    <x v="1"/>
  </r>
  <r>
    <n v="61"/>
    <x v="4"/>
    <s v="male"/>
    <n v="36.299999999999997"/>
    <n v="1"/>
    <x v="0"/>
    <x v="0"/>
    <n v="47403.88"/>
    <n v="23701.94"/>
    <x v="0"/>
    <n v="0.98499999999999999"/>
    <x v="1"/>
    <s v="High Risk"/>
    <s v="Tier 3"/>
    <x v="5"/>
  </r>
  <r>
    <n v="47"/>
    <x v="2"/>
    <s v="female"/>
    <n v="24.32"/>
    <n v="0"/>
    <x v="1"/>
    <x v="3"/>
    <n v="8534.6718000000001"/>
    <n v="8534.6718000000001"/>
    <x v="1"/>
    <n v="0.45600000000000002"/>
    <x v="2"/>
    <s v="Standard"/>
    <s v="Tier 2"/>
    <x v="2"/>
  </r>
  <r>
    <n v="28"/>
    <x v="1"/>
    <s v="female"/>
    <n v="17.29"/>
    <n v="0"/>
    <x v="1"/>
    <x v="3"/>
    <n v="3732.6251000000002"/>
    <n v="3732.6251000000002"/>
    <x v="1"/>
    <n v="0.183"/>
    <x v="3"/>
    <s v="Standard"/>
    <s v="Tier 2"/>
    <x v="2"/>
  </r>
  <r>
    <n v="36"/>
    <x v="3"/>
    <s v="female"/>
    <n v="25.9"/>
    <n v="1"/>
    <x v="1"/>
    <x v="0"/>
    <n v="5472.4489999999996"/>
    <n v="2736.2244999999998"/>
    <x v="1"/>
    <n v="0.29799999999999999"/>
    <x v="0"/>
    <s v="Standard"/>
    <s v="Tier 3"/>
    <x v="3"/>
  </r>
  <r>
    <n v="20"/>
    <x v="0"/>
    <s v="male"/>
    <n v="39.4"/>
    <n v="2"/>
    <x v="0"/>
    <x v="0"/>
    <n v="38344.565999999999"/>
    <n v="12781.521999999999"/>
    <x v="0"/>
    <n v="0.92500000000000004"/>
    <x v="1"/>
    <s v="High Risk"/>
    <s v="Tier 3"/>
    <x v="5"/>
  </r>
  <r>
    <n v="44"/>
    <x v="3"/>
    <s v="male"/>
    <n v="34.32"/>
    <n v="1"/>
    <x v="1"/>
    <x v="1"/>
    <n v="7147.4727999999996"/>
    <n v="3573.7363999999998"/>
    <x v="1"/>
    <n v="0.38100000000000001"/>
    <x v="1"/>
    <s v="Standard"/>
    <s v="Tier 1"/>
    <x v="1"/>
  </r>
  <r>
    <n v="38"/>
    <x v="3"/>
    <s v="female"/>
    <n v="19.95"/>
    <n v="2"/>
    <x v="1"/>
    <x v="3"/>
    <n v="7133.9025000000001"/>
    <n v="2377.9675000000002"/>
    <x v="1"/>
    <n v="0.379"/>
    <x v="2"/>
    <s v="Standard"/>
    <s v="Tier 2"/>
    <x v="2"/>
  </r>
  <r>
    <n v="19"/>
    <x v="0"/>
    <s v="male"/>
    <n v="34.9"/>
    <n v="0"/>
    <x v="0"/>
    <x v="0"/>
    <n v="34828.654000000002"/>
    <n v="34828.654000000002"/>
    <x v="0"/>
    <n v="0.89900000000000002"/>
    <x v="1"/>
    <s v="High Risk"/>
    <s v="Tier 3"/>
    <x v="5"/>
  </r>
  <r>
    <n v="21"/>
    <x v="0"/>
    <s v="male"/>
    <n v="23.21"/>
    <n v="0"/>
    <x v="1"/>
    <x v="1"/>
    <n v="1515.3449000000001"/>
    <n v="1515.3449000000001"/>
    <x v="1"/>
    <n v="1.4E-2"/>
    <x v="2"/>
    <s v="Standard"/>
    <s v="Tier 1"/>
    <x v="3"/>
  </r>
  <r>
    <n v="46"/>
    <x v="2"/>
    <s v="male"/>
    <n v="25.745000000000001"/>
    <n v="3"/>
    <x v="1"/>
    <x v="2"/>
    <n v="9301.8935500000007"/>
    <n v="2325.4733875000002"/>
    <x v="1"/>
    <n v="0.497"/>
    <x v="0"/>
    <s v="Standard"/>
    <s v="Tier 4"/>
    <x v="3"/>
  </r>
  <r>
    <n v="58"/>
    <x v="4"/>
    <s v="male"/>
    <n v="25.175000000000001"/>
    <n v="0"/>
    <x v="1"/>
    <x v="3"/>
    <n v="11931.125249999999"/>
    <n v="11931.125249999999"/>
    <x v="1"/>
    <n v="0.628"/>
    <x v="0"/>
    <s v="Standard"/>
    <s v="Tier 2"/>
    <x v="3"/>
  </r>
  <r>
    <n v="20"/>
    <x v="0"/>
    <s v="male"/>
    <n v="22"/>
    <n v="1"/>
    <x v="1"/>
    <x v="0"/>
    <n v="1964.78"/>
    <n v="982.39"/>
    <x v="1"/>
    <n v="6.2E-2"/>
    <x v="2"/>
    <s v="Standard"/>
    <s v="Tier 3"/>
    <x v="2"/>
  </r>
  <r>
    <n v="18"/>
    <x v="0"/>
    <s v="male"/>
    <n v="26.125"/>
    <n v="0"/>
    <x v="1"/>
    <x v="3"/>
    <n v="1708.9257500000001"/>
    <n v="1708.9257500000001"/>
    <x v="1"/>
    <n v="3.9E-2"/>
    <x v="0"/>
    <s v="Standard"/>
    <s v="Tier 2"/>
    <x v="3"/>
  </r>
  <r>
    <n v="28"/>
    <x v="1"/>
    <s v="female"/>
    <n v="26.51"/>
    <n v="2"/>
    <x v="1"/>
    <x v="1"/>
    <n v="4340.4408999999996"/>
    <n v="1446.8136333333332"/>
    <x v="1"/>
    <n v="0.218"/>
    <x v="0"/>
    <s v="Standard"/>
    <s v="Tier 1"/>
    <x v="4"/>
  </r>
  <r>
    <n v="33"/>
    <x v="1"/>
    <s v="male"/>
    <n v="27.454999999999998"/>
    <n v="2"/>
    <x v="1"/>
    <x v="2"/>
    <n v="5261.4694499999996"/>
    <n v="1753.8231499999999"/>
    <x v="1"/>
    <n v="0.28199999999999997"/>
    <x v="0"/>
    <s v="Standard"/>
    <s v="Tier 4"/>
    <x v="3"/>
  </r>
  <r>
    <n v="19"/>
    <x v="0"/>
    <s v="female"/>
    <n v="25.745000000000001"/>
    <n v="1"/>
    <x v="1"/>
    <x v="2"/>
    <n v="2710.8285500000002"/>
    <n v="1355.4142750000001"/>
    <x v="1"/>
    <n v="0.124"/>
    <x v="0"/>
    <s v="Standard"/>
    <s v="Tier 4"/>
    <x v="3"/>
  </r>
  <r>
    <n v="45"/>
    <x v="3"/>
    <s v="male"/>
    <n v="30.36"/>
    <n v="0"/>
    <x v="0"/>
    <x v="1"/>
    <n v="62592.873090000001"/>
    <n v="62592.873090000001"/>
    <x v="0"/>
    <n v="0.999"/>
    <x v="1"/>
    <s v="High Risk"/>
    <s v="Tier 1"/>
    <x v="6"/>
  </r>
  <r>
    <n v="62"/>
    <x v="4"/>
    <s v="male"/>
    <n v="30.875"/>
    <n v="3"/>
    <x v="0"/>
    <x v="2"/>
    <n v="46718.163249999998"/>
    <n v="11679.540812499999"/>
    <x v="0"/>
    <n v="0.98"/>
    <x v="1"/>
    <s v="High Risk"/>
    <s v="Tier 4"/>
    <x v="5"/>
  </r>
  <r>
    <n v="25"/>
    <x v="0"/>
    <s v="female"/>
    <n v="20.8"/>
    <n v="1"/>
    <x v="1"/>
    <x v="0"/>
    <n v="3208.7869999999998"/>
    <n v="1604.3934999999999"/>
    <x v="1"/>
    <n v="0.154"/>
    <x v="2"/>
    <s v="Standard"/>
    <s v="Tier 3"/>
    <x v="2"/>
  </r>
  <r>
    <n v="43"/>
    <x v="3"/>
    <s v="male"/>
    <n v="27.8"/>
    <n v="0"/>
    <x v="0"/>
    <x v="0"/>
    <n v="37829.724199999997"/>
    <n v="37829.724199999997"/>
    <x v="0"/>
    <n v="0.92200000000000004"/>
    <x v="0"/>
    <s v="High Risk"/>
    <s v="Tier 3"/>
    <x v="0"/>
  </r>
  <r>
    <n v="42"/>
    <x v="3"/>
    <s v="male"/>
    <n v="24.605"/>
    <n v="2"/>
    <x v="0"/>
    <x v="3"/>
    <n v="21259.377949999998"/>
    <n v="7086.4593166666664"/>
    <x v="0"/>
    <n v="0.81200000000000006"/>
    <x v="2"/>
    <s v="High Risk"/>
    <s v="Tier 2"/>
    <x v="1"/>
  </r>
  <r>
    <n v="24"/>
    <x v="0"/>
    <s v="female"/>
    <n v="27.72"/>
    <n v="0"/>
    <x v="1"/>
    <x v="1"/>
    <n v="2464.6188000000002"/>
    <n v="2464.6188000000002"/>
    <x v="1"/>
    <n v="0.107"/>
    <x v="0"/>
    <s v="Standard"/>
    <s v="Tier 1"/>
    <x v="4"/>
  </r>
  <r>
    <n v="29"/>
    <x v="1"/>
    <s v="female"/>
    <n v="21.85"/>
    <n v="0"/>
    <x v="0"/>
    <x v="3"/>
    <n v="16115.3045"/>
    <n v="16115.3045"/>
    <x v="0"/>
    <n v="0.74299999999999999"/>
    <x v="2"/>
    <s v="High Risk"/>
    <s v="Tier 2"/>
    <x v="1"/>
  </r>
  <r>
    <n v="32"/>
    <x v="1"/>
    <s v="male"/>
    <n v="28.12"/>
    <n v="4"/>
    <x v="0"/>
    <x v="2"/>
    <n v="21472.478800000001"/>
    <n v="4294.4957599999998"/>
    <x v="0"/>
    <n v="0.81399999999999995"/>
    <x v="0"/>
    <s v="High Risk"/>
    <s v="Tier 4"/>
    <x v="0"/>
  </r>
  <r>
    <n v="25"/>
    <x v="0"/>
    <s v="female"/>
    <n v="30.2"/>
    <n v="0"/>
    <x v="0"/>
    <x v="0"/>
    <n v="33900.652999999998"/>
    <n v="33900.652999999998"/>
    <x v="0"/>
    <n v="0.89100000000000001"/>
    <x v="1"/>
    <s v="High Risk"/>
    <s v="Tier 3"/>
    <x v="5"/>
  </r>
  <r>
    <n v="41"/>
    <x v="3"/>
    <s v="male"/>
    <n v="32.200000000000003"/>
    <n v="2"/>
    <x v="1"/>
    <x v="0"/>
    <n v="6875.9610000000002"/>
    <n v="2291.9870000000001"/>
    <x v="1"/>
    <n v="0.37"/>
    <x v="1"/>
    <s v="Standard"/>
    <s v="Tier 3"/>
    <x v="4"/>
  </r>
  <r>
    <n v="42"/>
    <x v="3"/>
    <s v="male"/>
    <n v="26.315000000000001"/>
    <n v="1"/>
    <x v="1"/>
    <x v="2"/>
    <n v="6940.90985"/>
    <n v="3470.454925"/>
    <x v="1"/>
    <n v="0.372"/>
    <x v="0"/>
    <s v="Standard"/>
    <s v="Tier 4"/>
    <x v="3"/>
  </r>
  <r>
    <n v="33"/>
    <x v="1"/>
    <s v="female"/>
    <n v="26.695"/>
    <n v="0"/>
    <x v="1"/>
    <x v="2"/>
    <n v="4571.4130500000001"/>
    <n v="4571.4130500000001"/>
    <x v="1"/>
    <n v="0.24"/>
    <x v="0"/>
    <s v="Standard"/>
    <s v="Tier 4"/>
    <x v="3"/>
  </r>
  <r>
    <n v="34"/>
    <x v="1"/>
    <s v="male"/>
    <n v="42.9"/>
    <n v="1"/>
    <x v="1"/>
    <x v="0"/>
    <n v="4536.259"/>
    <n v="2268.1295"/>
    <x v="1"/>
    <n v="0.23699999999999999"/>
    <x v="1"/>
    <s v="Standard"/>
    <s v="Tier 3"/>
    <x v="4"/>
  </r>
  <r>
    <n v="19"/>
    <x v="0"/>
    <s v="female"/>
    <n v="34.700000000000003"/>
    <n v="2"/>
    <x v="0"/>
    <x v="0"/>
    <n v="36397.576000000001"/>
    <n v="12132.525333333333"/>
    <x v="0"/>
    <n v="0.91100000000000003"/>
    <x v="1"/>
    <s v="High Risk"/>
    <s v="Tier 3"/>
    <x v="5"/>
  </r>
  <r>
    <n v="30"/>
    <x v="1"/>
    <s v="female"/>
    <n v="23.655000000000001"/>
    <n v="3"/>
    <x v="0"/>
    <x v="2"/>
    <n v="18765.87545"/>
    <n v="4691.4688624999999"/>
    <x v="0"/>
    <n v="0.77400000000000002"/>
    <x v="2"/>
    <s v="High Risk"/>
    <s v="Tier 4"/>
    <x v="1"/>
  </r>
  <r>
    <n v="18"/>
    <x v="0"/>
    <s v="male"/>
    <n v="28.31"/>
    <n v="1"/>
    <x v="1"/>
    <x v="3"/>
    <n v="11272.331389999999"/>
    <n v="5636.1656949999997"/>
    <x v="1"/>
    <n v="0.58899999999999997"/>
    <x v="0"/>
    <s v="Standard"/>
    <s v="Tier 2"/>
    <x v="3"/>
  </r>
  <r>
    <n v="19"/>
    <x v="0"/>
    <s v="female"/>
    <n v="20.6"/>
    <n v="0"/>
    <x v="1"/>
    <x v="0"/>
    <n v="1731.6769999999999"/>
    <n v="1731.6769999999999"/>
    <x v="1"/>
    <n v="4.5999999999999999E-2"/>
    <x v="2"/>
    <s v="Standard"/>
    <s v="Tier 3"/>
    <x v="2"/>
  </r>
  <r>
    <n v="18"/>
    <x v="0"/>
    <s v="male"/>
    <n v="53.13"/>
    <n v="0"/>
    <x v="1"/>
    <x v="1"/>
    <n v="1163.4627"/>
    <n v="1163.4627"/>
    <x v="1"/>
    <n v="6.0000000000000001E-3"/>
    <x v="1"/>
    <s v="Standard"/>
    <s v="Tier 1"/>
    <x v="1"/>
  </r>
  <r>
    <n v="35"/>
    <x v="1"/>
    <s v="male"/>
    <n v="39.71"/>
    <n v="4"/>
    <x v="1"/>
    <x v="3"/>
    <n v="19496.71917"/>
    <n v="3899.3438340000002"/>
    <x v="0"/>
    <n v="0.78800000000000003"/>
    <x v="1"/>
    <s v="Standard"/>
    <s v="Tier 2"/>
    <x v="4"/>
  </r>
  <r>
    <n v="39"/>
    <x v="3"/>
    <s v="female"/>
    <n v="26.315000000000001"/>
    <n v="2"/>
    <x v="1"/>
    <x v="2"/>
    <n v="7201.7008500000002"/>
    <n v="2400.5669499999999"/>
    <x v="1"/>
    <n v="0.38800000000000001"/>
    <x v="0"/>
    <s v="Standard"/>
    <s v="Tier 4"/>
    <x v="3"/>
  </r>
  <r>
    <n v="31"/>
    <x v="1"/>
    <s v="male"/>
    <n v="31.065000000000001"/>
    <n v="3"/>
    <x v="1"/>
    <x v="2"/>
    <n v="5425.0233500000004"/>
    <n v="1356.2558375000001"/>
    <x v="1"/>
    <n v="0.29399999999999998"/>
    <x v="1"/>
    <s v="Standard"/>
    <s v="Tier 4"/>
    <x v="4"/>
  </r>
  <r>
    <n v="62"/>
    <x v="4"/>
    <s v="male"/>
    <n v="26.695"/>
    <n v="0"/>
    <x v="0"/>
    <x v="3"/>
    <n v="28101.333050000001"/>
    <n v="28101.333050000001"/>
    <x v="0"/>
    <n v="0.87"/>
    <x v="0"/>
    <s v="High Risk"/>
    <s v="Tier 2"/>
    <x v="0"/>
  </r>
  <r>
    <n v="62"/>
    <x v="4"/>
    <s v="male"/>
    <n v="38.83"/>
    <n v="0"/>
    <x v="1"/>
    <x v="1"/>
    <n v="12981.3457"/>
    <n v="12981.3457"/>
    <x v="1"/>
    <n v="0.67300000000000004"/>
    <x v="1"/>
    <s v="Standard"/>
    <s v="Tier 1"/>
    <x v="1"/>
  </r>
  <r>
    <n v="42"/>
    <x v="3"/>
    <s v="female"/>
    <n v="40.369999999999997"/>
    <n v="2"/>
    <x v="0"/>
    <x v="1"/>
    <n v="43896.376300000004"/>
    <n v="14632.125433333335"/>
    <x v="0"/>
    <n v="0.96399999999999997"/>
    <x v="1"/>
    <s v="High Risk"/>
    <s v="Tier 1"/>
    <x v="6"/>
  </r>
  <r>
    <n v="31"/>
    <x v="1"/>
    <s v="male"/>
    <n v="25.934999999999999"/>
    <n v="1"/>
    <x v="1"/>
    <x v="2"/>
    <n v="4239.8926499999998"/>
    <n v="2119.9463249999999"/>
    <x v="1"/>
    <n v="0.21299999999999999"/>
    <x v="0"/>
    <s v="Standard"/>
    <s v="Tier 4"/>
    <x v="3"/>
  </r>
  <r>
    <n v="61"/>
    <x v="4"/>
    <s v="male"/>
    <n v="33.534999999999997"/>
    <n v="0"/>
    <x v="1"/>
    <x v="3"/>
    <n v="13143.336649999999"/>
    <n v="13143.336649999999"/>
    <x v="1"/>
    <n v="0.68100000000000005"/>
    <x v="1"/>
    <s v="Standard"/>
    <s v="Tier 2"/>
    <x v="4"/>
  </r>
  <r>
    <n v="42"/>
    <x v="3"/>
    <s v="female"/>
    <n v="32.869999999999997"/>
    <n v="0"/>
    <x v="1"/>
    <x v="3"/>
    <n v="7050.0213000000003"/>
    <n v="7050.0213000000003"/>
    <x v="1"/>
    <n v="0.376"/>
    <x v="1"/>
    <s v="Standard"/>
    <s v="Tier 2"/>
    <x v="4"/>
  </r>
  <r>
    <n v="51"/>
    <x v="2"/>
    <s v="male"/>
    <n v="30.03"/>
    <n v="1"/>
    <x v="1"/>
    <x v="1"/>
    <n v="9377.9046999999991"/>
    <n v="4688.9523499999996"/>
    <x v="1"/>
    <n v="0.499"/>
    <x v="1"/>
    <s v="Standard"/>
    <s v="Tier 1"/>
    <x v="1"/>
  </r>
  <r>
    <n v="23"/>
    <x v="0"/>
    <s v="female"/>
    <n v="24.225000000000001"/>
    <n v="2"/>
    <x v="1"/>
    <x v="3"/>
    <n v="22395.74424"/>
    <n v="7465.2480800000003"/>
    <x v="0"/>
    <n v="0.82399999999999995"/>
    <x v="2"/>
    <s v="Standard"/>
    <s v="Tier 2"/>
    <x v="2"/>
  </r>
  <r>
    <n v="52"/>
    <x v="2"/>
    <s v="male"/>
    <n v="38.6"/>
    <n v="2"/>
    <x v="1"/>
    <x v="0"/>
    <n v="10325.206"/>
    <n v="3441.7353333333335"/>
    <x v="1"/>
    <n v="0.54500000000000004"/>
    <x v="1"/>
    <s v="Standard"/>
    <s v="Tier 3"/>
    <x v="4"/>
  </r>
  <r>
    <n v="57"/>
    <x v="4"/>
    <s v="female"/>
    <n v="25.74"/>
    <n v="2"/>
    <x v="1"/>
    <x v="1"/>
    <n v="12629.1656"/>
    <n v="4209.7218666666668"/>
    <x v="1"/>
    <n v="0.65800000000000003"/>
    <x v="0"/>
    <s v="Standard"/>
    <s v="Tier 1"/>
    <x v="4"/>
  </r>
  <r>
    <n v="23"/>
    <x v="0"/>
    <s v="female"/>
    <n v="33.4"/>
    <n v="0"/>
    <x v="1"/>
    <x v="0"/>
    <n v="10795.937330000001"/>
    <n v="10795.937330000001"/>
    <x v="1"/>
    <n v="0.56499999999999995"/>
    <x v="1"/>
    <s v="Standard"/>
    <s v="Tier 3"/>
    <x v="4"/>
  </r>
  <r>
    <n v="52"/>
    <x v="2"/>
    <s v="female"/>
    <n v="44.7"/>
    <n v="3"/>
    <x v="1"/>
    <x v="0"/>
    <n v="11411.684999999999"/>
    <n v="2852.9212499999999"/>
    <x v="1"/>
    <n v="0.6"/>
    <x v="1"/>
    <s v="Standard"/>
    <s v="Tier 3"/>
    <x v="4"/>
  </r>
  <r>
    <n v="50"/>
    <x v="2"/>
    <s v="male"/>
    <n v="30.97"/>
    <n v="3"/>
    <x v="1"/>
    <x v="2"/>
    <n v="10600.5483"/>
    <n v="2650.1370750000001"/>
    <x v="1"/>
    <n v="0.55800000000000005"/>
    <x v="1"/>
    <s v="Standard"/>
    <s v="Tier 4"/>
    <x v="4"/>
  </r>
  <r>
    <n v="18"/>
    <x v="0"/>
    <s v="female"/>
    <n v="31.92"/>
    <n v="0"/>
    <x v="1"/>
    <x v="3"/>
    <n v="2205.9807999999998"/>
    <n v="2205.9807999999998"/>
    <x v="1"/>
    <n v="8.8999999999999996E-2"/>
    <x v="1"/>
    <s v="Standard"/>
    <s v="Tier 2"/>
    <x v="4"/>
  </r>
  <r>
    <n v="18"/>
    <x v="0"/>
    <s v="female"/>
    <n v="36.85"/>
    <n v="0"/>
    <x v="1"/>
    <x v="1"/>
    <n v="1629.8335"/>
    <n v="1629.8335"/>
    <x v="1"/>
    <n v="2.3E-2"/>
    <x v="1"/>
    <s v="Standard"/>
    <s v="Tier 1"/>
    <x v="1"/>
  </r>
  <r>
    <n v="21"/>
    <x v="0"/>
    <s v="female"/>
    <n v="25.8"/>
    <n v="0"/>
    <x v="1"/>
    <x v="0"/>
    <n v="2007.9449999999999"/>
    <n v="2007.9449999999999"/>
    <x v="1"/>
    <n v="6.8000000000000005E-2"/>
    <x v="0"/>
    <s v="Standard"/>
    <s v="Tier 3"/>
    <x v="3"/>
  </r>
  <r>
    <n v="61"/>
    <x v="4"/>
    <s v="female"/>
    <n v="29.07"/>
    <n v="0"/>
    <x v="0"/>
    <x v="2"/>
    <n v="29141.3603"/>
    <n v="29141.3603"/>
    <x v="0"/>
    <n v="0.876"/>
    <x v="0"/>
    <s v="High Risk"/>
    <s v="Tier 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DA673D-4DB4-C645-844B-1A8E223AE9E3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Avg Claim Cost" colHeaderCaption="Region">
  <location ref="A16:F22" firstHeaderRow="1" firstDataRow="2" firstDataCol="1"/>
  <pivotFields count="15"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x="2"/>
        <item x="1"/>
        <item x="0"/>
        <item t="default"/>
      </items>
    </pivotField>
    <pivotField dataField="1" numFmtId="44" showAll="0"/>
    <pivotField numFmtId="44" showAll="0"/>
    <pivotField showAll="0"/>
    <pivotField numFmtId="9"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BMI Category _x000a_" fld="7" subtotal="average" baseField="0" baseItem="0" numFmtId="44"/>
  </dataFields>
  <chartFormats count="4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CF4E7-D7FC-7F40-B6A2-AF3724CDDE3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Age Group" colHeaderCaption="Smoker Status">
  <location ref="K2:N9" firstHeaderRow="1" firstDataRow="2" firstDataCol="1"/>
  <pivotFields count="15"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axis="axisCol" showAll="0">
      <items count="3">
        <item n="Non_smoker" x="1"/>
        <item n="Smoker" x="0"/>
        <item t="default"/>
      </items>
    </pivotField>
    <pivotField showAll="0"/>
    <pivotField dataField="1" numFmtId="44" showAll="0"/>
    <pivotField numFmtId="44" showAll="0"/>
    <pivotField showAll="0"/>
    <pivotField numFmtId="9"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Age Group_x000a_Avg Claim Cost" fld="7" subtotal="average" baseField="0" baseItem="0" numFmtId="44"/>
  </dataFields>
  <chartFormats count="2"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B9B7A-ABF4-6E4D-B190-E224A16D1B3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Risk Score">
  <location ref="F2:I10" firstHeaderRow="0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dataField="1" numFmtId="44" showAll="0"/>
    <pivotField numFmtId="44" showAll="0"/>
    <pivotField showAll="0"/>
    <pivotField dataField="1" numFmtId="9" showAll="0"/>
    <pivotField showAll="0"/>
    <pivotField showAll="0"/>
    <pivotField showAll="0"/>
    <pivotField axis="axisRow" showAll="0">
      <items count="8">
        <item x="2"/>
        <item x="3"/>
        <item x="4"/>
        <item x="1"/>
        <item x="0"/>
        <item x="5"/>
        <item x="6"/>
        <item t="default"/>
      </items>
    </pivotField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 Claim Cost" fld="7" subtotal="average" baseField="0" baseItem="0" numFmtId="44"/>
    <dataField name="# of Members" fld="0" subtotal="count" baseField="0" baseItem="0"/>
    <dataField name="Avg Percentile" fld="10" subtotal="average" baseField="0" baseItem="0" numFmtId="9"/>
  </dataFields>
  <chartFormats count="3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00F6AA-2E32-E641-9E47-739C17AEF1F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Age Group">
  <location ref="A2:D8" firstHeaderRow="0" firstDataRow="1" firstDataCol="1"/>
  <pivotFields count="15">
    <pivotField dataField="1"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dataField="1" numFmtId="44" showAll="0"/>
    <pivotField dataField="1" numFmtId="44" showAll="0"/>
    <pivotField showAll="0"/>
    <pivotField numFmtId="9"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 Claim Cost" fld="7" subtotal="average" baseField="0" baseItem="0" numFmtId="44"/>
    <dataField name="Avg Cost per Dependent" fld="8" subtotal="average" baseField="0" baseItem="0" numFmtId="44"/>
    <dataField name="# of Members" fld="0" subtotal="count" baseField="0" baseItem="0"/>
  </dataFields>
  <chartFormats count="3"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36B121-8726-4B49-A5DF-BBE82E5542AB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igh Claimant">
  <location ref="H16:L19" firstHeaderRow="0" firstDataRow="1" firstDataCol="1"/>
  <pivotFields count="15"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numFmtId="44" showAll="0"/>
    <pivotField numFmtId="44" showAll="0"/>
    <pivotField axis="axisRow" showAll="0">
      <items count="3">
        <item x="0"/>
        <item x="1"/>
        <item t="default"/>
      </items>
    </pivotField>
    <pivotField numFmtId="9"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g BMI" fld="3" subtotal="average" baseField="0" baseItem="0"/>
    <dataField name="Avg Age" fld="0" subtotal="average" baseField="0" baseItem="0"/>
    <dataField name="Avg Claim Cost" fld="7" subtotal="average" baseField="0" baseItem="0" numFmtId="44"/>
    <dataField name="Avg Dependents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D6135C3-188D-F540-B6F6-2B7BD138E767}" autoFormatId="16" applyNumberFormats="0" applyBorderFormats="0" applyFontFormats="0" applyPatternFormats="0" applyAlignmentFormats="0" applyWidthHeightFormats="0">
  <queryTableRefresh nextId="21" unboundColumnsRight="7">
    <queryTableFields count="15">
      <queryTableField id="1" name="age" tableColumnId="1"/>
      <queryTableField id="9" dataBound="0" tableColumnId="9"/>
      <queryTableField id="2" name="sex" tableColumnId="2"/>
      <queryTableField id="3" name="bmi" tableColumnId="3"/>
      <queryTableField id="4" name="children" tableColumnId="4"/>
      <queryTableField id="5" name="smoker" tableColumnId="5"/>
      <queryTableField id="6" name="region" tableColumnId="6"/>
      <queryTableField id="7" name="charges" tableColumnId="7"/>
      <queryTableField id="13" dataBound="0" tableColumnId="12"/>
      <queryTableField id="14" dataBound="0" tableColumnId="13"/>
      <queryTableField id="15" dataBound="0" tableColumnId="14"/>
      <queryTableField id="16" dataBound="0" tableColumnId="15"/>
      <queryTableField id="17" dataBound="0" tableColumnId="16"/>
      <queryTableField id="18" dataBound="0" tableColumnId="8"/>
      <queryTableField id="20" dataBound="0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85FA03-81AB-614E-9EBA-3DACADF0AAFC}" autoFormatId="16" applyNumberFormats="0" applyBorderFormats="0" applyFontFormats="0" applyPatternFormats="0" applyAlignmentFormats="0" applyWidthHeightFormats="0">
  <queryTableRefresh nextId="8">
    <queryTableFields count="7">
      <queryTableField id="1" name="age" tableColumnId="1"/>
      <queryTableField id="2" name="sex" tableColumnId="2"/>
      <queryTableField id="3" name="bmi" tableColumnId="3"/>
      <queryTableField id="4" name="children" tableColumnId="4"/>
      <queryTableField id="5" name="smoker" tableColumnId="5"/>
      <queryTableField id="6" name="region" tableColumnId="6"/>
      <queryTableField id="7" name="charge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66D19E-A685-ED4B-B4C8-62BE484D77BD}" name="insurance3" displayName="insurance3" ref="A1:O1339" tableType="queryTable" totalsRowShown="0">
  <autoFilter ref="A1:O1339" xr:uid="{B7C5B524-C70C-704C-9E5E-443989CA1E59}"/>
  <tableColumns count="15">
    <tableColumn id="1" xr3:uid="{647619B0-C566-3541-B6ED-9FCF0B16211D}" uniqueName="1" name="Age" queryTableFieldId="1"/>
    <tableColumn id="9" xr3:uid="{96984911-501B-544A-9351-8A81B3E5F1FC}" uniqueName="9" name="Age Group" queryTableFieldId="9" dataDxfId="11">
      <calculatedColumnFormula array="1">_xlfn.IFS(A2&lt;=25,"18-25", A2&lt;=35,"26-35", A2&lt;=45,"36-45", A2&lt;=55,"46-55", A2&lt;=64,"56-64")</calculatedColumnFormula>
    </tableColumn>
    <tableColumn id="2" xr3:uid="{6A5DC40E-C6B5-7347-A16E-F5B3FAB186C1}" uniqueName="2" name="Sex" queryTableFieldId="2" dataDxfId="10"/>
    <tableColumn id="3" xr3:uid="{41E27D50-7D75-634C-B50A-7394A9C97DDB}" uniqueName="3" name="BMI" queryTableFieldId="3"/>
    <tableColumn id="4" xr3:uid="{BDC7AFBA-443A-DB44-BEC9-531E30A0D113}" uniqueName="4" name="Dependents" queryTableFieldId="4"/>
    <tableColumn id="5" xr3:uid="{C439F203-6178-DB4E-9A9D-ECF72E3C3F48}" uniqueName="5" name="Smoker Status" queryTableFieldId="5" dataDxfId="9"/>
    <tableColumn id="6" xr3:uid="{A7AAC138-DC55-404A-A3DE-46F64F1F1E10}" uniqueName="6" name="Region" queryTableFieldId="6" dataDxfId="8"/>
    <tableColumn id="7" xr3:uid="{40D6A2AF-FDAA-334E-9C78-5C50F2EFC3C1}" uniqueName="7" name="Annual Charges" queryTableFieldId="7" dataCellStyle="Currency"/>
    <tableColumn id="12" xr3:uid="{C70A7640-9497-0548-9D17-0D47E31A75FE}" uniqueName="12" name="Cost per Dependent" queryTableFieldId="13" dataCellStyle="Currency">
      <calculatedColumnFormula>H2/(E2+1)</calculatedColumnFormula>
    </tableColumn>
    <tableColumn id="13" xr3:uid="{FBE15074-6991-0148-965D-7700EA05E5DA}" uniqueName="13" name="High Claimant Flag" queryTableFieldId="14" dataDxfId="7">
      <calculatedColumnFormula>IF(H2&gt;AVERAGE($H$2:$H$1339),"High","Low")</calculatedColumnFormula>
    </tableColumn>
    <tableColumn id="14" xr3:uid="{4F835A7F-F918-AC4D-98E5-89B2D5E8ADCF}" uniqueName="14" name="Cost Percentile Rank" queryTableFieldId="15" dataCellStyle="Percent">
      <calculatedColumnFormula>PERCENTRANK($H$2:$H$1339,H2)</calculatedColumnFormula>
    </tableColumn>
    <tableColumn id="15" xr3:uid="{C36C093E-0288-D141-94B1-6BF80A31E3D9}" uniqueName="15" name="BMI Risk" queryTableFieldId="16" dataDxfId="6">
      <calculatedColumnFormula>IF(D2&lt;18.5,"Underweight",IF(D2&lt;25,"Normal",IF(D2&lt;30,"Overweight","Obese")))</calculatedColumnFormula>
    </tableColumn>
    <tableColumn id="16" xr3:uid="{376E69CA-A266-9647-BA2E-99E942CF34CD}" uniqueName="16" name="Smoker Risk Flag" queryTableFieldId="17" dataDxfId="5">
      <calculatedColumnFormula>IF(F2="yes","High Risk","Standard")</calculatedColumnFormula>
    </tableColumn>
    <tableColumn id="8" xr3:uid="{B94DC10A-3971-9349-ADAE-9286A12BC224}" uniqueName="8" name="Region Risk Tier" queryTableFieldId="18" dataDxfId="4">
      <calculatedColumnFormula>IF(G2="southeast","Tier 1",IF(G2="northeast","Tier 2",IF(G2="southwest","Tier 3","Tier 4")))</calculatedColumnFormula>
    </tableColumn>
    <tableColumn id="11" xr3:uid="{669D5838-EB32-C54B-A5FF-F6EE9D9FDE91}" uniqueName="11" name="Combined Risk Score" queryTableFieldId="20" dataDxfId="3">
      <calculatedColumnFormula>IF(F2="yes",3,0)+IF(D2&gt;=30,2,IF(D2&gt;=25,1,0))+IF(G2="southeast",1,0)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C5B524-C70C-704C-9E5E-443989CA1E59}" name="insurance" displayName="insurance" ref="A1:G1339" tableType="queryTable" totalsRowShown="0">
  <autoFilter ref="A1:G1339" xr:uid="{B7C5B524-C70C-704C-9E5E-443989CA1E59}"/>
  <tableColumns count="7">
    <tableColumn id="1" xr3:uid="{F12DB8CA-3B1F-CE40-9460-831198B3F1BC}" uniqueName="1" name="age" queryTableFieldId="1"/>
    <tableColumn id="2" xr3:uid="{F97BA10A-C039-BE49-ACAB-3BF608D5C895}" uniqueName="2" name="sex" queryTableFieldId="2" dataDxfId="2"/>
    <tableColumn id="3" xr3:uid="{792C8760-4701-394C-A5C4-51C03432E4E0}" uniqueName="3" name="bmi" queryTableFieldId="3"/>
    <tableColumn id="4" xr3:uid="{036740AD-373D-6A46-9929-77EAEF93E3BB}" uniqueName="4" name="children" queryTableFieldId="4"/>
    <tableColumn id="5" xr3:uid="{D52E3FB1-46F3-3A43-90A1-D9EDCF1A3041}" uniqueName="5" name="smoker" queryTableFieldId="5" dataDxfId="1"/>
    <tableColumn id="6" xr3:uid="{6AA493CB-5B75-7249-B39D-A8B23C85616E}" uniqueName="6" name="region" queryTableFieldId="6" dataDxfId="0"/>
    <tableColumn id="7" xr3:uid="{0DAAFDDD-D4A8-F547-84AF-DB8A68CF7EFB}" uniqueName="7" name="charges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EA447-672E-FD45-89EB-A94AF24E4198}">
  <dimension ref="B2:L33"/>
  <sheetViews>
    <sheetView showGridLines="0" tabSelected="1" workbookViewId="0">
      <selection activeCell="O12" sqref="O12"/>
    </sheetView>
  </sheetViews>
  <sheetFormatPr baseColWidth="10" defaultRowHeight="16" x14ac:dyDescent="0.2"/>
  <cols>
    <col min="3" max="3" width="12" customWidth="1"/>
    <col min="4" max="4" width="12.5" customWidth="1"/>
    <col min="5" max="5" width="15.1640625" customWidth="1"/>
  </cols>
  <sheetData>
    <row r="2" spans="2:12" ht="27" x14ac:dyDescent="0.35">
      <c r="B2" s="9" t="s">
        <v>65</v>
      </c>
    </row>
    <row r="3" spans="2:12" x14ac:dyDescent="0.2">
      <c r="B3" t="s">
        <v>63</v>
      </c>
    </row>
    <row r="5" spans="2:12" ht="18" x14ac:dyDescent="0.25">
      <c r="B5" s="17" t="s">
        <v>64</v>
      </c>
      <c r="C5" s="17"/>
      <c r="D5" s="17"/>
      <c r="E5" s="17"/>
      <c r="F5" s="17"/>
      <c r="G5" s="17"/>
      <c r="H5" s="17"/>
      <c r="I5" s="17"/>
      <c r="J5" s="17"/>
      <c r="K5" s="17"/>
      <c r="L5" s="17"/>
    </row>
    <row r="6" spans="2:12" ht="16" customHeight="1" x14ac:dyDescent="0.2"/>
    <row r="7" spans="2:12" ht="37" customHeight="1" x14ac:dyDescent="0.2">
      <c r="B7" s="20" t="s">
        <v>66</v>
      </c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2:12" ht="6" customHeight="1" x14ac:dyDescent="0.2"/>
    <row r="9" spans="2:12" ht="5" customHeight="1" x14ac:dyDescent="0.2"/>
    <row r="10" spans="2:12" ht="18" x14ac:dyDescent="0.25">
      <c r="B10" s="17" t="s">
        <v>67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2" spans="2:12" ht="35" customHeight="1" x14ac:dyDescent="0.2">
      <c r="B12" s="19" t="s">
        <v>68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2:12" x14ac:dyDescent="0.2">
      <c r="B13" s="19" t="s">
        <v>82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</row>
    <row r="14" spans="2:12" x14ac:dyDescent="0.2">
      <c r="B14" s="19" t="s">
        <v>70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</row>
    <row r="15" spans="2:12" ht="6" customHeight="1" x14ac:dyDescent="0.2"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6" spans="2:12" x14ac:dyDescent="0.2">
      <c r="B16" s="18" t="s">
        <v>71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2:12" x14ac:dyDescent="0.2">
      <c r="B17" s="19" t="s">
        <v>72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</row>
    <row r="18" spans="2:12" x14ac:dyDescent="0.2"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19" spans="2:12" ht="9" customHeight="1" x14ac:dyDescent="0.2"/>
    <row r="20" spans="2:12" ht="18" x14ac:dyDescent="0.25">
      <c r="B20" s="17" t="s">
        <v>69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2" spans="2:12" x14ac:dyDescent="0.2">
      <c r="B22" s="18" t="s">
        <v>83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pans="2:12" x14ac:dyDescent="0.2">
      <c r="B23" s="18" t="s">
        <v>73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</row>
    <row r="24" spans="2:12" x14ac:dyDescent="0.2">
      <c r="B24" s="18" t="s">
        <v>84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2:12" x14ac:dyDescent="0.2">
      <c r="B25" s="18" t="s">
        <v>85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</row>
    <row r="26" spans="2:12" x14ac:dyDescent="0.2">
      <c r="B26" s="18" t="s">
        <v>74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</row>
    <row r="27" spans="2:12" ht="10" customHeight="1" x14ac:dyDescent="0.2"/>
    <row r="28" spans="2:12" ht="7" customHeight="1" x14ac:dyDescent="0.2"/>
    <row r="29" spans="2:12" ht="18" x14ac:dyDescent="0.25">
      <c r="B29" s="17" t="s">
        <v>75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1" spans="2:12" x14ac:dyDescent="0.2">
      <c r="B31" s="10" t="s">
        <v>76</v>
      </c>
      <c r="C31" s="10" t="s">
        <v>77</v>
      </c>
      <c r="D31" s="10" t="s">
        <v>37</v>
      </c>
      <c r="E31" s="10" t="s">
        <v>36</v>
      </c>
    </row>
    <row r="32" spans="2:12" x14ac:dyDescent="0.2">
      <c r="B32" s="11" t="s">
        <v>78</v>
      </c>
      <c r="C32" s="11" t="s">
        <v>80</v>
      </c>
      <c r="D32" s="12">
        <v>1105</v>
      </c>
      <c r="E32" s="13">
        <v>9000</v>
      </c>
    </row>
    <row r="33" spans="2:5" x14ac:dyDescent="0.2">
      <c r="B33" s="14" t="s">
        <v>79</v>
      </c>
      <c r="C33" s="16" t="s">
        <v>81</v>
      </c>
      <c r="D33" s="14">
        <v>233</v>
      </c>
      <c r="E33" s="15">
        <v>34000</v>
      </c>
    </row>
  </sheetData>
  <mergeCells count="15">
    <mergeCell ref="B16:L16"/>
    <mergeCell ref="B17:L18"/>
    <mergeCell ref="B20:L20"/>
    <mergeCell ref="B14:L15"/>
    <mergeCell ref="B5:L5"/>
    <mergeCell ref="B7:L7"/>
    <mergeCell ref="B10:L10"/>
    <mergeCell ref="B12:L12"/>
    <mergeCell ref="B13:L13"/>
    <mergeCell ref="B29:L29"/>
    <mergeCell ref="B22:L22"/>
    <mergeCell ref="B23:L23"/>
    <mergeCell ref="B24:L24"/>
    <mergeCell ref="B25:L25"/>
    <mergeCell ref="B26:L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1CD5-2268-B34C-9E3F-4583909D7077}">
  <sheetPr>
    <tabColor theme="9"/>
  </sheetPr>
  <dimension ref="B2:L6"/>
  <sheetViews>
    <sheetView showGridLines="0" zoomScale="76" workbookViewId="0">
      <selection activeCell="G28" sqref="G28"/>
    </sheetView>
  </sheetViews>
  <sheetFormatPr baseColWidth="10" defaultRowHeight="16" x14ac:dyDescent="0.2"/>
  <sheetData>
    <row r="2" spans="2:12" ht="27" x14ac:dyDescent="0.35">
      <c r="B2" s="7" t="s">
        <v>58</v>
      </c>
      <c r="D2" s="8"/>
    </row>
    <row r="3" spans="2:12" ht="17" thickBot="1" x14ac:dyDescent="0.25">
      <c r="B3" s="37" t="s">
        <v>59</v>
      </c>
      <c r="C3" s="37"/>
      <c r="E3" s="37" t="s">
        <v>36</v>
      </c>
      <c r="F3" s="37"/>
      <c r="H3" s="37" t="s">
        <v>60</v>
      </c>
      <c r="I3" s="37"/>
      <c r="K3" s="37" t="s">
        <v>61</v>
      </c>
      <c r="L3" s="37"/>
    </row>
    <row r="4" spans="2:12" ht="32" customHeight="1" x14ac:dyDescent="0.2">
      <c r="B4" s="21">
        <v>1338</v>
      </c>
      <c r="C4" s="22"/>
      <c r="E4" s="25">
        <v>13270</v>
      </c>
      <c r="F4" s="26"/>
      <c r="H4" s="29">
        <f>COUNTIF(Cleaned_Data!J:J,"High")/1338</f>
        <v>0.31390134529147984</v>
      </c>
      <c r="I4" s="30"/>
      <c r="K4" s="33">
        <f>AVERAGE(Cleaned_Data!O:O)</f>
        <v>2.2316890881913305</v>
      </c>
      <c r="L4" s="34"/>
    </row>
    <row r="5" spans="2:12" ht="28" customHeight="1" thickBot="1" x14ac:dyDescent="0.25">
      <c r="B5" s="23"/>
      <c r="C5" s="24"/>
      <c r="E5" s="27"/>
      <c r="F5" s="28"/>
      <c r="H5" s="31"/>
      <c r="I5" s="32"/>
      <c r="K5" s="35"/>
      <c r="L5" s="36"/>
    </row>
    <row r="6" spans="2:12" ht="16" customHeight="1" x14ac:dyDescent="0.2"/>
  </sheetData>
  <mergeCells count="8">
    <mergeCell ref="B4:C5"/>
    <mergeCell ref="E4:F5"/>
    <mergeCell ref="H4:I5"/>
    <mergeCell ref="K4:L5"/>
    <mergeCell ref="B3:C3"/>
    <mergeCell ref="E3:F3"/>
    <mergeCell ref="H3:I3"/>
    <mergeCell ref="K3:L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42CCD-6051-9940-AB13-D89D1859F39F}">
  <dimension ref="A2:N22"/>
  <sheetViews>
    <sheetView workbookViewId="0">
      <selection activeCell="C19" sqref="C19"/>
    </sheetView>
  </sheetViews>
  <sheetFormatPr baseColWidth="10" defaultRowHeight="16" x14ac:dyDescent="0.2"/>
  <cols>
    <col min="1" max="1" width="12.1640625" bestFit="1" customWidth="1"/>
    <col min="2" max="2" width="13.83203125" bestFit="1" customWidth="1"/>
    <col min="3" max="3" width="21" bestFit="1" customWidth="1"/>
    <col min="4" max="4" width="12.33203125" bestFit="1" customWidth="1"/>
    <col min="5" max="5" width="11.5" bestFit="1" customWidth="1"/>
    <col min="6" max="6" width="12.33203125" bestFit="1" customWidth="1"/>
    <col min="7" max="7" width="13.83203125" bestFit="1" customWidth="1"/>
    <col min="8" max="8" width="13" bestFit="1" customWidth="1"/>
    <col min="9" max="10" width="13.33203125" bestFit="1" customWidth="1"/>
    <col min="11" max="11" width="23.5" bestFit="1" customWidth="1"/>
    <col min="12" max="12" width="20.33203125" bestFit="1" customWidth="1"/>
    <col min="13" max="14" width="11.5" bestFit="1" customWidth="1"/>
  </cols>
  <sheetData>
    <row r="2" spans="1:14" x14ac:dyDescent="0.2">
      <c r="A2" s="3" t="s">
        <v>22</v>
      </c>
      <c r="B2" t="s">
        <v>36</v>
      </c>
      <c r="C2" t="s">
        <v>38</v>
      </c>
      <c r="D2" t="s">
        <v>37</v>
      </c>
      <c r="F2" s="3" t="s">
        <v>41</v>
      </c>
      <c r="G2" t="s">
        <v>36</v>
      </c>
      <c r="H2" t="s">
        <v>37</v>
      </c>
      <c r="I2" t="s">
        <v>42</v>
      </c>
      <c r="K2" s="3" t="s">
        <v>45</v>
      </c>
      <c r="L2" s="3" t="s">
        <v>25</v>
      </c>
    </row>
    <row r="3" spans="1:14" x14ac:dyDescent="0.2">
      <c r="A3" s="4" t="s">
        <v>30</v>
      </c>
      <c r="B3" s="5">
        <v>9087.0158069248355</v>
      </c>
      <c r="C3" s="5">
        <v>6660.1659686546827</v>
      </c>
      <c r="D3">
        <v>306</v>
      </c>
      <c r="F3" s="4">
        <v>0</v>
      </c>
      <c r="G3" s="5">
        <v>7278.5358419018421</v>
      </c>
      <c r="H3">
        <v>163</v>
      </c>
      <c r="I3" s="6">
        <v>0.35050920245398776</v>
      </c>
      <c r="K3" s="3" t="s">
        <v>22</v>
      </c>
      <c r="L3" t="s">
        <v>43</v>
      </c>
      <c r="M3" t="s">
        <v>44</v>
      </c>
      <c r="N3" t="s">
        <v>35</v>
      </c>
    </row>
    <row r="4" spans="1:14" x14ac:dyDescent="0.2">
      <c r="A4" s="4" t="s">
        <v>31</v>
      </c>
      <c r="B4" s="5">
        <v>10495.163046902982</v>
      </c>
      <c r="C4" s="5">
        <v>5884.5025758470156</v>
      </c>
      <c r="D4">
        <v>268</v>
      </c>
      <c r="F4" s="4">
        <v>1</v>
      </c>
      <c r="G4" s="5">
        <v>8534.5857911834501</v>
      </c>
      <c r="H4">
        <v>278</v>
      </c>
      <c r="I4" s="6">
        <v>0.40433453237410055</v>
      </c>
      <c r="K4" s="4" t="s">
        <v>30</v>
      </c>
      <c r="L4" s="5">
        <v>4003.9239230663907</v>
      </c>
      <c r="M4" s="5">
        <v>27933.556484000004</v>
      </c>
      <c r="N4" s="5">
        <v>9087.0158069248355</v>
      </c>
    </row>
    <row r="5" spans="1:14" x14ac:dyDescent="0.2">
      <c r="A5" s="4" t="s">
        <v>32</v>
      </c>
      <c r="B5" s="5">
        <v>13493.485246780301</v>
      </c>
      <c r="C5" s="5">
        <v>7099.2453771944456</v>
      </c>
      <c r="D5">
        <v>264</v>
      </c>
      <c r="F5" s="4">
        <v>2</v>
      </c>
      <c r="G5" s="5">
        <v>8925.3109553652903</v>
      </c>
      <c r="H5">
        <v>438</v>
      </c>
      <c r="I5" s="6">
        <v>0.42913470319634711</v>
      </c>
      <c r="K5" s="4" t="s">
        <v>31</v>
      </c>
      <c r="L5" s="5">
        <v>5796.8447539622648</v>
      </c>
      <c r="M5" s="5">
        <v>28281.653727321416</v>
      </c>
      <c r="N5" s="5">
        <v>10495.16304690299</v>
      </c>
    </row>
    <row r="6" spans="1:14" x14ac:dyDescent="0.2">
      <c r="A6" s="4" t="s">
        <v>33</v>
      </c>
      <c r="B6" s="5">
        <v>15986.900309542252</v>
      </c>
      <c r="C6" s="5">
        <v>8882.9349776613817</v>
      </c>
      <c r="D6">
        <v>284</v>
      </c>
      <c r="F6" s="4">
        <v>3</v>
      </c>
      <c r="G6" s="5">
        <v>10178.924307477881</v>
      </c>
      <c r="H6">
        <v>226</v>
      </c>
      <c r="I6" s="6">
        <v>0.45320796460176999</v>
      </c>
      <c r="K6" s="4" t="s">
        <v>32</v>
      </c>
      <c r="L6" s="5">
        <v>7822.872646650244</v>
      </c>
      <c r="M6" s="5">
        <v>32364.540293114755</v>
      </c>
      <c r="N6" s="5">
        <v>13493.485246780303</v>
      </c>
    </row>
    <row r="7" spans="1:14" x14ac:dyDescent="0.2">
      <c r="A7" s="4" t="s">
        <v>34</v>
      </c>
      <c r="B7" s="5">
        <v>18795.993815787024</v>
      </c>
      <c r="C7" s="5">
        <v>14132.873953728396</v>
      </c>
      <c r="D7">
        <v>216</v>
      </c>
      <c r="F7" s="4">
        <v>4</v>
      </c>
      <c r="G7" s="5">
        <v>22284.289325942031</v>
      </c>
      <c r="H7">
        <v>69</v>
      </c>
      <c r="I7" s="6">
        <v>0.81304347826086942</v>
      </c>
      <c r="K7" s="4" t="s">
        <v>33</v>
      </c>
      <c r="L7" s="5">
        <v>11692.787747543098</v>
      </c>
      <c r="M7" s="5">
        <v>35145.248663076934</v>
      </c>
      <c r="N7" s="5">
        <v>15986.900309542252</v>
      </c>
    </row>
    <row r="8" spans="1:14" x14ac:dyDescent="0.2">
      <c r="A8" s="4" t="s">
        <v>35</v>
      </c>
      <c r="B8" s="5">
        <v>13270.422265141257</v>
      </c>
      <c r="C8" s="5">
        <v>8269.5908549894157</v>
      </c>
      <c r="D8">
        <v>1338</v>
      </c>
      <c r="F8" s="4">
        <v>5</v>
      </c>
      <c r="G8" s="5">
        <v>37722.818305094348</v>
      </c>
      <c r="H8">
        <v>106</v>
      </c>
      <c r="I8" s="6">
        <v>0.91782075471698066</v>
      </c>
      <c r="K8" s="4" t="s">
        <v>34</v>
      </c>
      <c r="L8" s="5">
        <v>14087.584152954541</v>
      </c>
      <c r="M8" s="5">
        <v>39512.996332249997</v>
      </c>
      <c r="N8" s="5">
        <v>18795.993815787038</v>
      </c>
    </row>
    <row r="9" spans="1:14" x14ac:dyDescent="0.2">
      <c r="F9" s="4">
        <v>6</v>
      </c>
      <c r="G9" s="5">
        <v>42256.051772586201</v>
      </c>
      <c r="H9">
        <v>58</v>
      </c>
      <c r="I9" s="6">
        <v>0.94858620689655171</v>
      </c>
      <c r="K9" s="4" t="s">
        <v>35</v>
      </c>
      <c r="L9" s="5">
        <v>8434.2682978562043</v>
      </c>
      <c r="M9" s="5">
        <v>32050.231831532863</v>
      </c>
      <c r="N9" s="5">
        <v>13270.422265141257</v>
      </c>
    </row>
    <row r="10" spans="1:14" x14ac:dyDescent="0.2">
      <c r="F10" s="4" t="s">
        <v>35</v>
      </c>
      <c r="G10" s="5">
        <v>13270.422265141242</v>
      </c>
      <c r="H10">
        <v>1338</v>
      </c>
      <c r="I10" s="6">
        <v>0.49950000000000011</v>
      </c>
    </row>
    <row r="16" spans="1:14" x14ac:dyDescent="0.2">
      <c r="A16" s="3" t="s">
        <v>50</v>
      </c>
      <c r="B16" s="3" t="s">
        <v>26</v>
      </c>
      <c r="H16" s="3" t="s">
        <v>57</v>
      </c>
      <c r="I16" t="s">
        <v>55</v>
      </c>
      <c r="J16" t="s">
        <v>62</v>
      </c>
      <c r="K16" t="s">
        <v>36</v>
      </c>
      <c r="L16" t="s">
        <v>56</v>
      </c>
    </row>
    <row r="17" spans="1:12" x14ac:dyDescent="0.2">
      <c r="A17" s="3" t="s">
        <v>36</v>
      </c>
      <c r="B17" t="s">
        <v>53</v>
      </c>
      <c r="C17" t="s">
        <v>54</v>
      </c>
      <c r="D17" t="s">
        <v>51</v>
      </c>
      <c r="E17" t="s">
        <v>52</v>
      </c>
      <c r="F17" t="s">
        <v>35</v>
      </c>
      <c r="H17" s="4" t="s">
        <v>39</v>
      </c>
      <c r="I17">
        <v>31.039249999999992</v>
      </c>
      <c r="J17">
        <v>42.464285714285715</v>
      </c>
      <c r="K17" s="5">
        <v>27751.288176523809</v>
      </c>
      <c r="L17">
        <v>1.138095238095238</v>
      </c>
    </row>
    <row r="18" spans="1:12" x14ac:dyDescent="0.2">
      <c r="A18" s="4" t="s">
        <v>46</v>
      </c>
      <c r="B18" s="5">
        <v>11317.394238493152</v>
      </c>
      <c r="C18" s="5">
        <v>10000.515592380947</v>
      </c>
      <c r="D18" s="5">
        <v>13123.557043658539</v>
      </c>
      <c r="E18" s="5">
        <v>7246.5184166666695</v>
      </c>
      <c r="F18" s="5">
        <v>10409.337708977779</v>
      </c>
      <c r="H18" s="4" t="s">
        <v>40</v>
      </c>
      <c r="I18">
        <v>30.491437908496721</v>
      </c>
      <c r="J18">
        <v>37.716775599128539</v>
      </c>
      <c r="K18" s="5">
        <v>6645.1894952276634</v>
      </c>
      <c r="L18">
        <v>1.0751633986928104</v>
      </c>
    </row>
    <row r="19" spans="1:12" x14ac:dyDescent="0.2">
      <c r="A19" s="4" t="s">
        <v>47</v>
      </c>
      <c r="B19" s="5">
        <v>16565.81692335664</v>
      </c>
      <c r="C19" s="5">
        <v>14309.985293243244</v>
      </c>
      <c r="D19" s="5">
        <v>16282.346012757196</v>
      </c>
      <c r="E19" s="5">
        <v>14752.031514161854</v>
      </c>
      <c r="F19" s="5">
        <v>15552.335468868463</v>
      </c>
      <c r="H19" s="4" t="s">
        <v>35</v>
      </c>
      <c r="I19">
        <v>30.663396860986559</v>
      </c>
      <c r="J19">
        <v>39.207025411061288</v>
      </c>
      <c r="K19" s="5">
        <v>13270.422265141273</v>
      </c>
      <c r="L19">
        <v>1.0949177877428999</v>
      </c>
    </row>
    <row r="20" spans="1:12" x14ac:dyDescent="0.2">
      <c r="A20" s="4" t="s">
        <v>48</v>
      </c>
      <c r="B20" s="5">
        <v>10810.640251622452</v>
      </c>
      <c r="C20" s="5">
        <v>11432.133012336444</v>
      </c>
      <c r="D20" s="5">
        <v>10862.673042500004</v>
      </c>
      <c r="E20" s="5">
        <v>10786.970273960398</v>
      </c>
      <c r="F20" s="5">
        <v>10987.509891318654</v>
      </c>
    </row>
    <row r="21" spans="1:12" x14ac:dyDescent="0.2">
      <c r="A21" s="4" t="s">
        <v>49</v>
      </c>
      <c r="B21" s="5">
        <v>8914.4239200000011</v>
      </c>
      <c r="C21" s="5">
        <v>9223.3512142857144</v>
      </c>
      <c r="D21" s="5"/>
      <c r="E21" s="5">
        <v>7778.7713333333331</v>
      </c>
      <c r="F21" s="5">
        <v>8852.2005850000023</v>
      </c>
    </row>
    <row r="22" spans="1:12" x14ac:dyDescent="0.2">
      <c r="A22" s="4" t="s">
        <v>35</v>
      </c>
      <c r="B22" s="5">
        <v>13406.384516385804</v>
      </c>
      <c r="C22" s="5">
        <v>12417.575373969232</v>
      </c>
      <c r="D22" s="5">
        <v>14735.411437609882</v>
      </c>
      <c r="E22" s="5">
        <v>12346.937377292308</v>
      </c>
      <c r="F22" s="5">
        <v>13270.422265141258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B57C-CDAE-8C4B-B7D9-18043014C3B8}">
  <dimension ref="A1:O1339"/>
  <sheetViews>
    <sheetView workbookViewId="0">
      <selection activeCell="B2" sqref="B2"/>
    </sheetView>
  </sheetViews>
  <sheetFormatPr baseColWidth="10" defaultRowHeight="16" x14ac:dyDescent="0.2"/>
  <cols>
    <col min="1" max="1" width="6.6640625" bestFit="1" customWidth="1"/>
    <col min="3" max="3" width="6.6640625" bestFit="1" customWidth="1"/>
    <col min="4" max="4" width="7.1640625" bestFit="1" customWidth="1"/>
    <col min="5" max="5" width="13.5" customWidth="1"/>
    <col min="6" max="6" width="15.5" customWidth="1"/>
    <col min="7" max="7" width="9.5" bestFit="1" customWidth="1"/>
    <col min="8" max="8" width="12.1640625" style="2" bestFit="1" customWidth="1"/>
    <col min="9" max="9" width="20.33203125" style="2" customWidth="1"/>
    <col min="10" max="10" width="18.83203125" customWidth="1"/>
    <col min="11" max="11" width="20.1640625" style="1" customWidth="1"/>
    <col min="13" max="13" width="14.83203125" customWidth="1"/>
    <col min="14" max="14" width="13.83203125" customWidth="1"/>
    <col min="15" max="15" width="22.33203125" customWidth="1"/>
  </cols>
  <sheetData>
    <row r="1" spans="1:15" x14ac:dyDescent="0.2">
      <c r="A1" t="s">
        <v>21</v>
      </c>
      <c r="B1" t="s">
        <v>22</v>
      </c>
      <c r="C1" t="s">
        <v>23</v>
      </c>
      <c r="D1" t="s">
        <v>24</v>
      </c>
      <c r="E1" t="s">
        <v>29</v>
      </c>
      <c r="F1" t="s">
        <v>25</v>
      </c>
      <c r="G1" t="s">
        <v>26</v>
      </c>
      <c r="H1" s="2" t="s">
        <v>27</v>
      </c>
      <c r="I1" s="2" t="s">
        <v>15</v>
      </c>
      <c r="J1" t="s">
        <v>16</v>
      </c>
      <c r="K1" s="1" t="s">
        <v>28</v>
      </c>
      <c r="L1" t="s">
        <v>17</v>
      </c>
      <c r="M1" t="s">
        <v>18</v>
      </c>
      <c r="N1" t="s">
        <v>19</v>
      </c>
      <c r="O1" t="s">
        <v>20</v>
      </c>
    </row>
    <row r="2" spans="1:15" x14ac:dyDescent="0.2">
      <c r="A2">
        <v>19</v>
      </c>
      <c r="B2" t="str" cm="1">
        <f t="array" ref="B2">_xlfn.IFS(A2&lt;=25,"18-25", A2&lt;=35,"26-35", A2&lt;=45,"36-45", A2&lt;=55,"46-55", A2&lt;=64,"56-64")</f>
        <v>18-25</v>
      </c>
      <c r="C2" t="s">
        <v>7</v>
      </c>
      <c r="D2">
        <v>27.9</v>
      </c>
      <c r="E2">
        <v>0</v>
      </c>
      <c r="F2" t="s">
        <v>8</v>
      </c>
      <c r="G2" t="s">
        <v>52</v>
      </c>
      <c r="H2" s="2">
        <v>16884.923999999999</v>
      </c>
      <c r="I2" s="2">
        <f t="shared" ref="I2:I65" si="0">H2/(E2+1)</f>
        <v>16884.923999999999</v>
      </c>
      <c r="J2" t="str">
        <f t="shared" ref="J2:J65" si="1">IF(H2&gt;AVERAGE($H$2:$H$1339),"High","Low")</f>
        <v>High</v>
      </c>
      <c r="K2" s="1">
        <f t="shared" ref="K2:K65" si="2">PERCENTRANK($H$2:$H$1339,H2)</f>
        <v>0.752</v>
      </c>
      <c r="L2" t="str">
        <f t="shared" ref="L2:L65" si="3">IF(D2&lt;18.5,"Underweight",IF(D2&lt;25,"Normal",IF(D2&lt;30,"Overweight","Obese")))</f>
        <v>Overweight</v>
      </c>
      <c r="M2" t="str">
        <f t="shared" ref="M2:M65" si="4">IF(F2="yes","High Risk","Standard")</f>
        <v>High Risk</v>
      </c>
      <c r="N2" t="str">
        <f t="shared" ref="N2:N65" si="5">IF(G2="southeast","Tier 1",IF(G2="northeast","Tier 2",IF(G2="southwest","Tier 3","Tier 4")))</f>
        <v>Tier 3</v>
      </c>
      <c r="O2">
        <f t="shared" ref="O2:O65" si="6">IF(F2="yes",3,0)+IF(D2&gt;=30,2,IF(D2&gt;=25,1,0))+IF(G2="southeast",1,0)</f>
        <v>4</v>
      </c>
    </row>
    <row r="3" spans="1:15" x14ac:dyDescent="0.2">
      <c r="A3">
        <v>18</v>
      </c>
      <c r="B3" t="str" cm="1">
        <f t="array" ref="B3">_xlfn.IFS(A3&lt;=25,"18-25", A3&lt;=35,"26-35", A3&lt;=45,"36-45", A3&lt;=55,"46-55", A3&lt;=64,"56-64")</f>
        <v>18-25</v>
      </c>
      <c r="C3" t="s">
        <v>10</v>
      </c>
      <c r="D3">
        <v>33.770000000000003</v>
      </c>
      <c r="E3">
        <v>1</v>
      </c>
      <c r="F3" t="s">
        <v>11</v>
      </c>
      <c r="G3" t="s">
        <v>51</v>
      </c>
      <c r="H3" s="2">
        <v>1725.5523000000001</v>
      </c>
      <c r="I3" s="2">
        <f t="shared" si="0"/>
        <v>862.77615000000003</v>
      </c>
      <c r="J3" t="str">
        <f t="shared" si="1"/>
        <v>Low</v>
      </c>
      <c r="K3" s="1">
        <f t="shared" si="2"/>
        <v>4.2999999999999997E-2</v>
      </c>
      <c r="L3" t="str">
        <f t="shared" si="3"/>
        <v>Obese</v>
      </c>
      <c r="M3" t="str">
        <f t="shared" si="4"/>
        <v>Standard</v>
      </c>
      <c r="N3" t="str">
        <f t="shared" si="5"/>
        <v>Tier 1</v>
      </c>
      <c r="O3">
        <f t="shared" si="6"/>
        <v>3</v>
      </c>
    </row>
    <row r="4" spans="1:15" x14ac:dyDescent="0.2">
      <c r="A4">
        <v>28</v>
      </c>
      <c r="B4" t="str" cm="1">
        <f t="array" ref="B4">_xlfn.IFS(A4&lt;=25,"18-25", A4&lt;=35,"26-35", A4&lt;=45,"36-45", A4&lt;=55,"46-55", A4&lt;=64,"56-64")</f>
        <v>26-35</v>
      </c>
      <c r="C4" t="s">
        <v>10</v>
      </c>
      <c r="D4">
        <v>33</v>
      </c>
      <c r="E4">
        <v>3</v>
      </c>
      <c r="F4" t="s">
        <v>11</v>
      </c>
      <c r="G4" t="s">
        <v>51</v>
      </c>
      <c r="H4" s="2">
        <v>4449.4620000000004</v>
      </c>
      <c r="I4" s="2">
        <f t="shared" si="0"/>
        <v>1112.3655000000001</v>
      </c>
      <c r="J4" t="str">
        <f t="shared" si="1"/>
        <v>Low</v>
      </c>
      <c r="K4" s="1">
        <f t="shared" si="2"/>
        <v>0.22900000000000001</v>
      </c>
      <c r="L4" t="str">
        <f t="shared" si="3"/>
        <v>Obese</v>
      </c>
      <c r="M4" t="str">
        <f t="shared" si="4"/>
        <v>Standard</v>
      </c>
      <c r="N4" t="str">
        <f t="shared" si="5"/>
        <v>Tier 1</v>
      </c>
      <c r="O4">
        <f t="shared" si="6"/>
        <v>3</v>
      </c>
    </row>
    <row r="5" spans="1:15" x14ac:dyDescent="0.2">
      <c r="A5">
        <v>33</v>
      </c>
      <c r="B5" t="str" cm="1">
        <f t="array" ref="B5">_xlfn.IFS(A5&lt;=25,"18-25", A5&lt;=35,"26-35", A5&lt;=45,"36-45", A5&lt;=55,"46-55", A5&lt;=64,"56-64")</f>
        <v>26-35</v>
      </c>
      <c r="C5" t="s">
        <v>10</v>
      </c>
      <c r="D5">
        <v>22.704999999999998</v>
      </c>
      <c r="E5">
        <v>0</v>
      </c>
      <c r="F5" t="s">
        <v>11</v>
      </c>
      <c r="G5" t="s">
        <v>54</v>
      </c>
      <c r="H5" s="2">
        <v>21984.47061</v>
      </c>
      <c r="I5" s="2">
        <f t="shared" si="0"/>
        <v>21984.47061</v>
      </c>
      <c r="J5" t="str">
        <f t="shared" si="1"/>
        <v>High</v>
      </c>
      <c r="K5" s="1">
        <f t="shared" si="2"/>
        <v>0.82099999999999995</v>
      </c>
      <c r="L5" t="str">
        <f t="shared" si="3"/>
        <v>Normal</v>
      </c>
      <c r="M5" t="str">
        <f t="shared" si="4"/>
        <v>Standard</v>
      </c>
      <c r="N5" t="str">
        <f t="shared" si="5"/>
        <v>Tier 4</v>
      </c>
      <c r="O5">
        <f t="shared" si="6"/>
        <v>0</v>
      </c>
    </row>
    <row r="6" spans="1:15" x14ac:dyDescent="0.2">
      <c r="A6">
        <v>32</v>
      </c>
      <c r="B6" t="str" cm="1">
        <f t="array" ref="B6">_xlfn.IFS(A6&lt;=25,"18-25", A6&lt;=35,"26-35", A6&lt;=45,"36-45", A6&lt;=55,"46-55", A6&lt;=64,"56-64")</f>
        <v>26-35</v>
      </c>
      <c r="C6" t="s">
        <v>10</v>
      </c>
      <c r="D6">
        <v>28.88</v>
      </c>
      <c r="E6">
        <v>0</v>
      </c>
      <c r="F6" t="s">
        <v>11</v>
      </c>
      <c r="G6" t="s">
        <v>54</v>
      </c>
      <c r="H6" s="2">
        <v>3866.8552</v>
      </c>
      <c r="I6" s="2">
        <f t="shared" si="0"/>
        <v>3866.8552</v>
      </c>
      <c r="J6" t="str">
        <f t="shared" si="1"/>
        <v>Low</v>
      </c>
      <c r="K6" s="1">
        <f t="shared" si="2"/>
        <v>0.19</v>
      </c>
      <c r="L6" t="str">
        <f t="shared" si="3"/>
        <v>Overweight</v>
      </c>
      <c r="M6" t="str">
        <f t="shared" si="4"/>
        <v>Standard</v>
      </c>
      <c r="N6" t="str">
        <f t="shared" si="5"/>
        <v>Tier 4</v>
      </c>
      <c r="O6">
        <f t="shared" si="6"/>
        <v>1</v>
      </c>
    </row>
    <row r="7" spans="1:15" x14ac:dyDescent="0.2">
      <c r="A7">
        <v>31</v>
      </c>
      <c r="B7" t="str" cm="1">
        <f t="array" ref="B7">_xlfn.IFS(A7&lt;=25,"18-25", A7&lt;=35,"26-35", A7&lt;=45,"36-45", A7&lt;=55,"46-55", A7&lt;=64,"56-64")</f>
        <v>26-35</v>
      </c>
      <c r="C7" t="s">
        <v>7</v>
      </c>
      <c r="D7">
        <v>25.74</v>
      </c>
      <c r="E7">
        <v>0</v>
      </c>
      <c r="F7" t="s">
        <v>11</v>
      </c>
      <c r="G7" t="s">
        <v>51</v>
      </c>
      <c r="H7" s="2">
        <v>3756.6215999999999</v>
      </c>
      <c r="I7" s="2">
        <f t="shared" si="0"/>
        <v>3756.6215999999999</v>
      </c>
      <c r="J7" t="str">
        <f t="shared" si="1"/>
        <v>Low</v>
      </c>
      <c r="K7" s="1">
        <f t="shared" si="2"/>
        <v>0.185</v>
      </c>
      <c r="L7" t="str">
        <f t="shared" si="3"/>
        <v>Overweight</v>
      </c>
      <c r="M7" t="str">
        <f t="shared" si="4"/>
        <v>Standard</v>
      </c>
      <c r="N7" t="str">
        <f t="shared" si="5"/>
        <v>Tier 1</v>
      </c>
      <c r="O7">
        <f t="shared" si="6"/>
        <v>2</v>
      </c>
    </row>
    <row r="8" spans="1:15" x14ac:dyDescent="0.2">
      <c r="A8">
        <v>46</v>
      </c>
      <c r="B8" t="str" cm="1">
        <f t="array" ref="B8">_xlfn.IFS(A8&lt;=25,"18-25", A8&lt;=35,"26-35", A8&lt;=45,"36-45", A8&lt;=55,"46-55", A8&lt;=64,"56-64")</f>
        <v>46-55</v>
      </c>
      <c r="C8" t="s">
        <v>7</v>
      </c>
      <c r="D8">
        <v>33.44</v>
      </c>
      <c r="E8">
        <v>1</v>
      </c>
      <c r="F8" t="s">
        <v>11</v>
      </c>
      <c r="G8" t="s">
        <v>51</v>
      </c>
      <c r="H8" s="2">
        <v>8240.5895999999993</v>
      </c>
      <c r="I8" s="2">
        <f t="shared" si="0"/>
        <v>4120.2947999999997</v>
      </c>
      <c r="J8" t="str">
        <f t="shared" si="1"/>
        <v>Low</v>
      </c>
      <c r="K8" s="1">
        <f t="shared" si="2"/>
        <v>0.439</v>
      </c>
      <c r="L8" t="str">
        <f t="shared" si="3"/>
        <v>Obese</v>
      </c>
      <c r="M8" t="str">
        <f t="shared" si="4"/>
        <v>Standard</v>
      </c>
      <c r="N8" t="str">
        <f t="shared" si="5"/>
        <v>Tier 1</v>
      </c>
      <c r="O8">
        <f t="shared" si="6"/>
        <v>3</v>
      </c>
    </row>
    <row r="9" spans="1:15" x14ac:dyDescent="0.2">
      <c r="A9">
        <v>37</v>
      </c>
      <c r="B9" t="str" cm="1">
        <f t="array" ref="B9">_xlfn.IFS(A9&lt;=25,"18-25", A9&lt;=35,"26-35", A9&lt;=45,"36-45", A9&lt;=55,"46-55", A9&lt;=64,"56-64")</f>
        <v>36-45</v>
      </c>
      <c r="C9" t="s">
        <v>7</v>
      </c>
      <c r="D9">
        <v>27.74</v>
      </c>
      <c r="E9">
        <v>3</v>
      </c>
      <c r="F9" t="s">
        <v>11</v>
      </c>
      <c r="G9" t="s">
        <v>54</v>
      </c>
      <c r="H9" s="2">
        <v>7281.5056000000004</v>
      </c>
      <c r="I9" s="2">
        <f t="shared" si="0"/>
        <v>1820.3764000000001</v>
      </c>
      <c r="J9" t="str">
        <f t="shared" si="1"/>
        <v>Low</v>
      </c>
      <c r="K9" s="1">
        <f t="shared" si="2"/>
        <v>0.39400000000000002</v>
      </c>
      <c r="L9" t="str">
        <f t="shared" si="3"/>
        <v>Overweight</v>
      </c>
      <c r="M9" t="str">
        <f t="shared" si="4"/>
        <v>Standard</v>
      </c>
      <c r="N9" t="str">
        <f t="shared" si="5"/>
        <v>Tier 4</v>
      </c>
      <c r="O9">
        <f t="shared" si="6"/>
        <v>1</v>
      </c>
    </row>
    <row r="10" spans="1:15" x14ac:dyDescent="0.2">
      <c r="A10">
        <v>37</v>
      </c>
      <c r="B10" t="str" cm="1">
        <f t="array" ref="B10">_xlfn.IFS(A10&lt;=25,"18-25", A10&lt;=35,"26-35", A10&lt;=45,"36-45", A10&lt;=55,"46-55", A10&lt;=64,"56-64")</f>
        <v>36-45</v>
      </c>
      <c r="C10" t="s">
        <v>10</v>
      </c>
      <c r="D10">
        <v>29.83</v>
      </c>
      <c r="E10">
        <v>2</v>
      </c>
      <c r="F10" t="s">
        <v>11</v>
      </c>
      <c r="G10" t="s">
        <v>53</v>
      </c>
      <c r="H10" s="2">
        <v>6406.4107000000004</v>
      </c>
      <c r="I10" s="2">
        <f t="shared" si="0"/>
        <v>2135.4702333333335</v>
      </c>
      <c r="J10" t="str">
        <f t="shared" si="1"/>
        <v>Low</v>
      </c>
      <c r="K10" s="1">
        <f t="shared" si="2"/>
        <v>0.34399999999999997</v>
      </c>
      <c r="L10" t="str">
        <f t="shared" si="3"/>
        <v>Overweight</v>
      </c>
      <c r="M10" t="str">
        <f t="shared" si="4"/>
        <v>Standard</v>
      </c>
      <c r="N10" t="str">
        <f t="shared" si="5"/>
        <v>Tier 2</v>
      </c>
      <c r="O10">
        <f t="shared" si="6"/>
        <v>1</v>
      </c>
    </row>
    <row r="11" spans="1:15" x14ac:dyDescent="0.2">
      <c r="A11">
        <v>60</v>
      </c>
      <c r="B11" t="str" cm="1">
        <f t="array" ref="B11">_xlfn.IFS(A11&lt;=25,"18-25", A11&lt;=35,"26-35", A11&lt;=45,"36-45", A11&lt;=55,"46-55", A11&lt;=64,"56-64")</f>
        <v>56-64</v>
      </c>
      <c r="C11" t="s">
        <v>7</v>
      </c>
      <c r="D11">
        <v>25.84</v>
      </c>
      <c r="E11">
        <v>0</v>
      </c>
      <c r="F11" t="s">
        <v>11</v>
      </c>
      <c r="G11" t="s">
        <v>54</v>
      </c>
      <c r="H11" s="2">
        <v>28923.136920000001</v>
      </c>
      <c r="I11" s="2">
        <f t="shared" si="0"/>
        <v>28923.136920000001</v>
      </c>
      <c r="J11" t="str">
        <f t="shared" si="1"/>
        <v>High</v>
      </c>
      <c r="K11" s="1">
        <f t="shared" si="2"/>
        <v>0.875</v>
      </c>
      <c r="L11" t="str">
        <f t="shared" si="3"/>
        <v>Overweight</v>
      </c>
      <c r="M11" t="str">
        <f t="shared" si="4"/>
        <v>Standard</v>
      </c>
      <c r="N11" t="str">
        <f t="shared" si="5"/>
        <v>Tier 4</v>
      </c>
      <c r="O11">
        <f t="shared" si="6"/>
        <v>1</v>
      </c>
    </row>
    <row r="12" spans="1:15" x14ac:dyDescent="0.2">
      <c r="A12">
        <v>25</v>
      </c>
      <c r="B12" t="str" cm="1">
        <f t="array" ref="B12">_xlfn.IFS(A12&lt;=25,"18-25", A12&lt;=35,"26-35", A12&lt;=45,"36-45", A12&lt;=55,"46-55", A12&lt;=64,"56-64")</f>
        <v>18-25</v>
      </c>
      <c r="C12" t="s">
        <v>10</v>
      </c>
      <c r="D12">
        <v>26.22</v>
      </c>
      <c r="E12">
        <v>0</v>
      </c>
      <c r="F12" t="s">
        <v>11</v>
      </c>
      <c r="G12" t="s">
        <v>53</v>
      </c>
      <c r="H12" s="2">
        <v>2721.3208</v>
      </c>
      <c r="I12" s="2">
        <f t="shared" si="0"/>
        <v>2721.3208</v>
      </c>
      <c r="J12" t="str">
        <f t="shared" si="1"/>
        <v>Low</v>
      </c>
      <c r="K12" s="1">
        <f t="shared" si="2"/>
        <v>0.126</v>
      </c>
      <c r="L12" t="str">
        <f t="shared" si="3"/>
        <v>Overweight</v>
      </c>
      <c r="M12" t="str">
        <f t="shared" si="4"/>
        <v>Standard</v>
      </c>
      <c r="N12" t="str">
        <f t="shared" si="5"/>
        <v>Tier 2</v>
      </c>
      <c r="O12">
        <f t="shared" si="6"/>
        <v>1</v>
      </c>
    </row>
    <row r="13" spans="1:15" x14ac:dyDescent="0.2">
      <c r="A13">
        <v>62</v>
      </c>
      <c r="B13" t="str" cm="1">
        <f t="array" ref="B13">_xlfn.IFS(A13&lt;=25,"18-25", A13&lt;=35,"26-35", A13&lt;=45,"36-45", A13&lt;=55,"46-55", A13&lt;=64,"56-64")</f>
        <v>56-64</v>
      </c>
      <c r="C13" t="s">
        <v>7</v>
      </c>
      <c r="D13">
        <v>26.29</v>
      </c>
      <c r="E13">
        <v>0</v>
      </c>
      <c r="F13" t="s">
        <v>8</v>
      </c>
      <c r="G13" t="s">
        <v>51</v>
      </c>
      <c r="H13" s="2">
        <v>27808.7251</v>
      </c>
      <c r="I13" s="2">
        <f t="shared" si="0"/>
        <v>27808.7251</v>
      </c>
      <c r="J13" t="str">
        <f t="shared" si="1"/>
        <v>High</v>
      </c>
      <c r="K13" s="1">
        <f t="shared" si="2"/>
        <v>0.86899999999999999</v>
      </c>
      <c r="L13" t="str">
        <f t="shared" si="3"/>
        <v>Overweight</v>
      </c>
      <c r="M13" t="str">
        <f t="shared" si="4"/>
        <v>High Risk</v>
      </c>
      <c r="N13" t="str">
        <f t="shared" si="5"/>
        <v>Tier 1</v>
      </c>
      <c r="O13">
        <f t="shared" si="6"/>
        <v>5</v>
      </c>
    </row>
    <row r="14" spans="1:15" x14ac:dyDescent="0.2">
      <c r="A14">
        <v>23</v>
      </c>
      <c r="B14" t="str" cm="1">
        <f t="array" ref="B14">_xlfn.IFS(A14&lt;=25,"18-25", A14&lt;=35,"26-35", A14&lt;=45,"36-45", A14&lt;=55,"46-55", A14&lt;=64,"56-64")</f>
        <v>18-25</v>
      </c>
      <c r="C14" t="s">
        <v>10</v>
      </c>
      <c r="D14">
        <v>34.4</v>
      </c>
      <c r="E14">
        <v>0</v>
      </c>
      <c r="F14" t="s">
        <v>11</v>
      </c>
      <c r="G14" t="s">
        <v>52</v>
      </c>
      <c r="H14" s="2">
        <v>1826.8430000000001</v>
      </c>
      <c r="I14" s="2">
        <f t="shared" si="0"/>
        <v>1826.8430000000001</v>
      </c>
      <c r="J14" t="str">
        <f t="shared" si="1"/>
        <v>Low</v>
      </c>
      <c r="K14" s="1">
        <f t="shared" si="2"/>
        <v>5.2999999999999999E-2</v>
      </c>
      <c r="L14" t="str">
        <f t="shared" si="3"/>
        <v>Obese</v>
      </c>
      <c r="M14" t="str">
        <f t="shared" si="4"/>
        <v>Standard</v>
      </c>
      <c r="N14" t="str">
        <f t="shared" si="5"/>
        <v>Tier 3</v>
      </c>
      <c r="O14">
        <f t="shared" si="6"/>
        <v>2</v>
      </c>
    </row>
    <row r="15" spans="1:15" x14ac:dyDescent="0.2">
      <c r="A15">
        <v>56</v>
      </c>
      <c r="B15" t="str" cm="1">
        <f t="array" ref="B15">_xlfn.IFS(A15&lt;=25,"18-25", A15&lt;=35,"26-35", A15&lt;=45,"36-45", A15&lt;=55,"46-55", A15&lt;=64,"56-64")</f>
        <v>56-64</v>
      </c>
      <c r="C15" t="s">
        <v>7</v>
      </c>
      <c r="D15">
        <v>39.82</v>
      </c>
      <c r="E15">
        <v>0</v>
      </c>
      <c r="F15" t="s">
        <v>11</v>
      </c>
      <c r="G15" t="s">
        <v>51</v>
      </c>
      <c r="H15" s="2">
        <v>11090.7178</v>
      </c>
      <c r="I15" s="2">
        <f t="shared" si="0"/>
        <v>11090.7178</v>
      </c>
      <c r="J15" t="str">
        <f t="shared" si="1"/>
        <v>Low</v>
      </c>
      <c r="K15" s="1">
        <f t="shared" si="2"/>
        <v>0.58199999999999996</v>
      </c>
      <c r="L15" t="str">
        <f t="shared" si="3"/>
        <v>Obese</v>
      </c>
      <c r="M15" t="str">
        <f t="shared" si="4"/>
        <v>Standard</v>
      </c>
      <c r="N15" t="str">
        <f t="shared" si="5"/>
        <v>Tier 1</v>
      </c>
      <c r="O15">
        <f t="shared" si="6"/>
        <v>3</v>
      </c>
    </row>
    <row r="16" spans="1:15" x14ac:dyDescent="0.2">
      <c r="A16">
        <v>27</v>
      </c>
      <c r="B16" t="str" cm="1">
        <f t="array" ref="B16">_xlfn.IFS(A16&lt;=25,"18-25", A16&lt;=35,"26-35", A16&lt;=45,"36-45", A16&lt;=55,"46-55", A16&lt;=64,"56-64")</f>
        <v>26-35</v>
      </c>
      <c r="C16" t="s">
        <v>10</v>
      </c>
      <c r="D16">
        <v>42.13</v>
      </c>
      <c r="E16">
        <v>0</v>
      </c>
      <c r="F16" t="s">
        <v>8</v>
      </c>
      <c r="G16" t="s">
        <v>51</v>
      </c>
      <c r="H16" s="2">
        <v>39611.757700000002</v>
      </c>
      <c r="I16" s="2">
        <f t="shared" si="0"/>
        <v>39611.757700000002</v>
      </c>
      <c r="J16" t="str">
        <f t="shared" si="1"/>
        <v>High</v>
      </c>
      <c r="K16" s="1">
        <f t="shared" si="2"/>
        <v>0.93500000000000005</v>
      </c>
      <c r="L16" t="str">
        <f t="shared" si="3"/>
        <v>Obese</v>
      </c>
      <c r="M16" t="str">
        <f t="shared" si="4"/>
        <v>High Risk</v>
      </c>
      <c r="N16" t="str">
        <f t="shared" si="5"/>
        <v>Tier 1</v>
      </c>
      <c r="O16">
        <f t="shared" si="6"/>
        <v>6</v>
      </c>
    </row>
    <row r="17" spans="1:15" x14ac:dyDescent="0.2">
      <c r="A17">
        <v>19</v>
      </c>
      <c r="B17" t="str" cm="1">
        <f t="array" ref="B17">_xlfn.IFS(A17&lt;=25,"18-25", A17&lt;=35,"26-35", A17&lt;=45,"36-45", A17&lt;=55,"46-55", A17&lt;=64,"56-64")</f>
        <v>18-25</v>
      </c>
      <c r="C17" t="s">
        <v>10</v>
      </c>
      <c r="D17">
        <v>24.6</v>
      </c>
      <c r="E17">
        <v>1</v>
      </c>
      <c r="F17" t="s">
        <v>11</v>
      </c>
      <c r="G17" t="s">
        <v>52</v>
      </c>
      <c r="H17" s="2">
        <v>1837.2370000000001</v>
      </c>
      <c r="I17" s="2">
        <f t="shared" si="0"/>
        <v>918.61850000000004</v>
      </c>
      <c r="J17" t="str">
        <f t="shared" si="1"/>
        <v>Low</v>
      </c>
      <c r="K17" s="1">
        <f t="shared" si="2"/>
        <v>5.3999999999999999E-2</v>
      </c>
      <c r="L17" t="str">
        <f t="shared" si="3"/>
        <v>Normal</v>
      </c>
      <c r="M17" t="str">
        <f t="shared" si="4"/>
        <v>Standard</v>
      </c>
      <c r="N17" t="str">
        <f t="shared" si="5"/>
        <v>Tier 3</v>
      </c>
      <c r="O17">
        <f t="shared" si="6"/>
        <v>0</v>
      </c>
    </row>
    <row r="18" spans="1:15" x14ac:dyDescent="0.2">
      <c r="A18">
        <v>52</v>
      </c>
      <c r="B18" t="str" cm="1">
        <f t="array" ref="B18">_xlfn.IFS(A18&lt;=25,"18-25", A18&lt;=35,"26-35", A18&lt;=45,"36-45", A18&lt;=55,"46-55", A18&lt;=64,"56-64")</f>
        <v>46-55</v>
      </c>
      <c r="C18" t="s">
        <v>7</v>
      </c>
      <c r="D18">
        <v>30.78</v>
      </c>
      <c r="E18">
        <v>1</v>
      </c>
      <c r="F18" t="s">
        <v>11</v>
      </c>
      <c r="G18" t="s">
        <v>53</v>
      </c>
      <c r="H18" s="2">
        <v>10797.3362</v>
      </c>
      <c r="I18" s="2">
        <f t="shared" si="0"/>
        <v>5398.6680999999999</v>
      </c>
      <c r="J18" t="str">
        <f t="shared" si="1"/>
        <v>Low</v>
      </c>
      <c r="K18" s="1">
        <f t="shared" si="2"/>
        <v>0.56599999999999995</v>
      </c>
      <c r="L18" t="str">
        <f t="shared" si="3"/>
        <v>Obese</v>
      </c>
      <c r="M18" t="str">
        <f t="shared" si="4"/>
        <v>Standard</v>
      </c>
      <c r="N18" t="str">
        <f t="shared" si="5"/>
        <v>Tier 2</v>
      </c>
      <c r="O18">
        <f t="shared" si="6"/>
        <v>2</v>
      </c>
    </row>
    <row r="19" spans="1:15" x14ac:dyDescent="0.2">
      <c r="A19">
        <v>23</v>
      </c>
      <c r="B19" t="str" cm="1">
        <f t="array" ref="B19">_xlfn.IFS(A19&lt;=25,"18-25", A19&lt;=35,"26-35", A19&lt;=45,"36-45", A19&lt;=55,"46-55", A19&lt;=64,"56-64")</f>
        <v>18-25</v>
      </c>
      <c r="C19" t="s">
        <v>10</v>
      </c>
      <c r="D19">
        <v>23.844999999999999</v>
      </c>
      <c r="E19">
        <v>0</v>
      </c>
      <c r="F19" t="s">
        <v>11</v>
      </c>
      <c r="G19" t="s">
        <v>53</v>
      </c>
      <c r="H19" s="2">
        <v>2395.17155</v>
      </c>
      <c r="I19" s="2">
        <f t="shared" si="0"/>
        <v>2395.17155</v>
      </c>
      <c r="J19" t="str">
        <f t="shared" si="1"/>
        <v>Low</v>
      </c>
      <c r="K19" s="1">
        <f t="shared" si="2"/>
        <v>0.10100000000000001</v>
      </c>
      <c r="L19" t="str">
        <f t="shared" si="3"/>
        <v>Normal</v>
      </c>
      <c r="M19" t="str">
        <f t="shared" si="4"/>
        <v>Standard</v>
      </c>
      <c r="N19" t="str">
        <f t="shared" si="5"/>
        <v>Tier 2</v>
      </c>
      <c r="O19">
        <f t="shared" si="6"/>
        <v>0</v>
      </c>
    </row>
    <row r="20" spans="1:15" x14ac:dyDescent="0.2">
      <c r="A20">
        <v>56</v>
      </c>
      <c r="B20" t="str" cm="1">
        <f t="array" ref="B20">_xlfn.IFS(A20&lt;=25,"18-25", A20&lt;=35,"26-35", A20&lt;=45,"36-45", A20&lt;=55,"46-55", A20&lt;=64,"56-64")</f>
        <v>56-64</v>
      </c>
      <c r="C20" t="s">
        <v>10</v>
      </c>
      <c r="D20">
        <v>40.299999999999997</v>
      </c>
      <c r="E20">
        <v>0</v>
      </c>
      <c r="F20" t="s">
        <v>11</v>
      </c>
      <c r="G20" t="s">
        <v>52</v>
      </c>
      <c r="H20" s="2">
        <v>10602.385</v>
      </c>
      <c r="I20" s="2">
        <f t="shared" si="0"/>
        <v>10602.385</v>
      </c>
      <c r="J20" t="str">
        <f t="shared" si="1"/>
        <v>Low</v>
      </c>
      <c r="K20" s="1">
        <f t="shared" si="2"/>
        <v>0.56000000000000005</v>
      </c>
      <c r="L20" t="str">
        <f t="shared" si="3"/>
        <v>Obese</v>
      </c>
      <c r="M20" t="str">
        <f t="shared" si="4"/>
        <v>Standard</v>
      </c>
      <c r="N20" t="str">
        <f t="shared" si="5"/>
        <v>Tier 3</v>
      </c>
      <c r="O20">
        <f t="shared" si="6"/>
        <v>2</v>
      </c>
    </row>
    <row r="21" spans="1:15" x14ac:dyDescent="0.2">
      <c r="A21">
        <v>30</v>
      </c>
      <c r="B21" t="str" cm="1">
        <f t="array" ref="B21">_xlfn.IFS(A21&lt;=25,"18-25", A21&lt;=35,"26-35", A21&lt;=45,"36-45", A21&lt;=55,"46-55", A21&lt;=64,"56-64")</f>
        <v>26-35</v>
      </c>
      <c r="C21" t="s">
        <v>10</v>
      </c>
      <c r="D21">
        <v>35.299999999999997</v>
      </c>
      <c r="E21">
        <v>0</v>
      </c>
      <c r="F21" t="s">
        <v>8</v>
      </c>
      <c r="G21" t="s">
        <v>52</v>
      </c>
      <c r="H21" s="2">
        <v>36837.466999999997</v>
      </c>
      <c r="I21" s="2">
        <f t="shared" si="0"/>
        <v>36837.466999999997</v>
      </c>
      <c r="J21" t="str">
        <f t="shared" si="1"/>
        <v>High</v>
      </c>
      <c r="K21" s="1">
        <f t="shared" si="2"/>
        <v>0.91300000000000003</v>
      </c>
      <c r="L21" t="str">
        <f t="shared" si="3"/>
        <v>Obese</v>
      </c>
      <c r="M21" t="str">
        <f t="shared" si="4"/>
        <v>High Risk</v>
      </c>
      <c r="N21" t="str">
        <f t="shared" si="5"/>
        <v>Tier 3</v>
      </c>
      <c r="O21">
        <f t="shared" si="6"/>
        <v>5</v>
      </c>
    </row>
    <row r="22" spans="1:15" x14ac:dyDescent="0.2">
      <c r="A22">
        <v>60</v>
      </c>
      <c r="B22" t="str" cm="1">
        <f t="array" ref="B22">_xlfn.IFS(A22&lt;=25,"18-25", A22&lt;=35,"26-35", A22&lt;=45,"36-45", A22&lt;=55,"46-55", A22&lt;=64,"56-64")</f>
        <v>56-64</v>
      </c>
      <c r="C22" t="s">
        <v>7</v>
      </c>
      <c r="D22">
        <v>36.005000000000003</v>
      </c>
      <c r="E22">
        <v>0</v>
      </c>
      <c r="F22" t="s">
        <v>11</v>
      </c>
      <c r="G22" t="s">
        <v>53</v>
      </c>
      <c r="H22" s="2">
        <v>13228.846949999999</v>
      </c>
      <c r="I22" s="2">
        <f t="shared" si="0"/>
        <v>13228.846949999999</v>
      </c>
      <c r="J22" t="str">
        <f t="shared" si="1"/>
        <v>Low</v>
      </c>
      <c r="K22" s="1">
        <f t="shared" si="2"/>
        <v>0.68500000000000005</v>
      </c>
      <c r="L22" t="str">
        <f t="shared" si="3"/>
        <v>Obese</v>
      </c>
      <c r="M22" t="str">
        <f t="shared" si="4"/>
        <v>Standard</v>
      </c>
      <c r="N22" t="str">
        <f t="shared" si="5"/>
        <v>Tier 2</v>
      </c>
      <c r="O22">
        <f t="shared" si="6"/>
        <v>2</v>
      </c>
    </row>
    <row r="23" spans="1:15" x14ac:dyDescent="0.2">
      <c r="A23">
        <v>30</v>
      </c>
      <c r="B23" t="str" cm="1">
        <f t="array" ref="B23">_xlfn.IFS(A23&lt;=25,"18-25", A23&lt;=35,"26-35", A23&lt;=45,"36-45", A23&lt;=55,"46-55", A23&lt;=64,"56-64")</f>
        <v>26-35</v>
      </c>
      <c r="C23" t="s">
        <v>7</v>
      </c>
      <c r="D23">
        <v>32.4</v>
      </c>
      <c r="E23">
        <v>1</v>
      </c>
      <c r="F23" t="s">
        <v>11</v>
      </c>
      <c r="G23" t="s">
        <v>52</v>
      </c>
      <c r="H23" s="2">
        <v>4149.7359999999999</v>
      </c>
      <c r="I23" s="2">
        <f t="shared" si="0"/>
        <v>2074.8679999999999</v>
      </c>
      <c r="J23" t="str">
        <f t="shared" si="1"/>
        <v>Low</v>
      </c>
      <c r="K23" s="1">
        <f t="shared" si="2"/>
        <v>0.20799999999999999</v>
      </c>
      <c r="L23" t="str">
        <f t="shared" si="3"/>
        <v>Obese</v>
      </c>
      <c r="M23" t="str">
        <f t="shared" si="4"/>
        <v>Standard</v>
      </c>
      <c r="N23" t="str">
        <f t="shared" si="5"/>
        <v>Tier 3</v>
      </c>
      <c r="O23">
        <f t="shared" si="6"/>
        <v>2</v>
      </c>
    </row>
    <row r="24" spans="1:15" x14ac:dyDescent="0.2">
      <c r="A24">
        <v>18</v>
      </c>
      <c r="B24" t="str" cm="1">
        <f t="array" ref="B24">_xlfn.IFS(A24&lt;=25,"18-25", A24&lt;=35,"26-35", A24&lt;=45,"36-45", A24&lt;=55,"46-55", A24&lt;=64,"56-64")</f>
        <v>18-25</v>
      </c>
      <c r="C24" t="s">
        <v>10</v>
      </c>
      <c r="D24">
        <v>34.1</v>
      </c>
      <c r="E24">
        <v>0</v>
      </c>
      <c r="F24" t="s">
        <v>11</v>
      </c>
      <c r="G24" t="s">
        <v>51</v>
      </c>
      <c r="H24" s="2">
        <v>1137.011</v>
      </c>
      <c r="I24" s="2">
        <f t="shared" si="0"/>
        <v>1137.011</v>
      </c>
      <c r="J24" t="str">
        <f t="shared" si="1"/>
        <v>Low</v>
      </c>
      <c r="K24" s="1">
        <f t="shared" si="2"/>
        <v>2E-3</v>
      </c>
      <c r="L24" t="str">
        <f t="shared" si="3"/>
        <v>Obese</v>
      </c>
      <c r="M24" t="str">
        <f t="shared" si="4"/>
        <v>Standard</v>
      </c>
      <c r="N24" t="str">
        <f t="shared" si="5"/>
        <v>Tier 1</v>
      </c>
      <c r="O24">
        <f t="shared" si="6"/>
        <v>3</v>
      </c>
    </row>
    <row r="25" spans="1:15" x14ac:dyDescent="0.2">
      <c r="A25">
        <v>34</v>
      </c>
      <c r="B25" t="str" cm="1">
        <f t="array" ref="B25">_xlfn.IFS(A25&lt;=25,"18-25", A25&lt;=35,"26-35", A25&lt;=45,"36-45", A25&lt;=55,"46-55", A25&lt;=64,"56-64")</f>
        <v>26-35</v>
      </c>
      <c r="C25" t="s">
        <v>7</v>
      </c>
      <c r="D25">
        <v>31.92</v>
      </c>
      <c r="E25">
        <v>1</v>
      </c>
      <c r="F25" t="s">
        <v>8</v>
      </c>
      <c r="G25" t="s">
        <v>53</v>
      </c>
      <c r="H25" s="2">
        <v>37701.876799999998</v>
      </c>
      <c r="I25" s="2">
        <f t="shared" si="0"/>
        <v>18850.938399999999</v>
      </c>
      <c r="J25" t="str">
        <f t="shared" si="1"/>
        <v>High</v>
      </c>
      <c r="K25" s="1">
        <f t="shared" si="2"/>
        <v>0.92100000000000004</v>
      </c>
      <c r="L25" t="str">
        <f t="shared" si="3"/>
        <v>Obese</v>
      </c>
      <c r="M25" t="str">
        <f t="shared" si="4"/>
        <v>High Risk</v>
      </c>
      <c r="N25" t="str">
        <f t="shared" si="5"/>
        <v>Tier 2</v>
      </c>
      <c r="O25">
        <f t="shared" si="6"/>
        <v>5</v>
      </c>
    </row>
    <row r="26" spans="1:15" x14ac:dyDescent="0.2">
      <c r="A26">
        <v>37</v>
      </c>
      <c r="B26" t="str" cm="1">
        <f t="array" ref="B26">_xlfn.IFS(A26&lt;=25,"18-25", A26&lt;=35,"26-35", A26&lt;=45,"36-45", A26&lt;=55,"46-55", A26&lt;=64,"56-64")</f>
        <v>36-45</v>
      </c>
      <c r="C26" t="s">
        <v>10</v>
      </c>
      <c r="D26">
        <v>28.024999999999999</v>
      </c>
      <c r="E26">
        <v>2</v>
      </c>
      <c r="F26" t="s">
        <v>11</v>
      </c>
      <c r="G26" t="s">
        <v>54</v>
      </c>
      <c r="H26" s="2">
        <v>6203.90175</v>
      </c>
      <c r="I26" s="2">
        <f t="shared" si="0"/>
        <v>2067.9672500000001</v>
      </c>
      <c r="J26" t="str">
        <f t="shared" si="1"/>
        <v>Low</v>
      </c>
      <c r="K26" s="1">
        <f t="shared" si="2"/>
        <v>0.33100000000000002</v>
      </c>
      <c r="L26" t="str">
        <f t="shared" si="3"/>
        <v>Overweight</v>
      </c>
      <c r="M26" t="str">
        <f t="shared" si="4"/>
        <v>Standard</v>
      </c>
      <c r="N26" t="str">
        <f t="shared" si="5"/>
        <v>Tier 4</v>
      </c>
      <c r="O26">
        <f t="shared" si="6"/>
        <v>1</v>
      </c>
    </row>
    <row r="27" spans="1:15" x14ac:dyDescent="0.2">
      <c r="A27">
        <v>59</v>
      </c>
      <c r="B27" t="str" cm="1">
        <f t="array" ref="B27">_xlfn.IFS(A27&lt;=25,"18-25", A27&lt;=35,"26-35", A27&lt;=45,"36-45", A27&lt;=55,"46-55", A27&lt;=64,"56-64")</f>
        <v>56-64</v>
      </c>
      <c r="C27" t="s">
        <v>7</v>
      </c>
      <c r="D27">
        <v>27.72</v>
      </c>
      <c r="E27">
        <v>3</v>
      </c>
      <c r="F27" t="s">
        <v>11</v>
      </c>
      <c r="G27" t="s">
        <v>51</v>
      </c>
      <c r="H27" s="2">
        <v>14001.1338</v>
      </c>
      <c r="I27" s="2">
        <f t="shared" si="0"/>
        <v>3500.2834499999999</v>
      </c>
      <c r="J27" t="str">
        <f t="shared" si="1"/>
        <v>High</v>
      </c>
      <c r="K27" s="1">
        <f t="shared" si="2"/>
        <v>0.70899999999999996</v>
      </c>
      <c r="L27" t="str">
        <f t="shared" si="3"/>
        <v>Overweight</v>
      </c>
      <c r="M27" t="str">
        <f t="shared" si="4"/>
        <v>Standard</v>
      </c>
      <c r="N27" t="str">
        <f t="shared" si="5"/>
        <v>Tier 1</v>
      </c>
      <c r="O27">
        <f t="shared" si="6"/>
        <v>2</v>
      </c>
    </row>
    <row r="28" spans="1:15" x14ac:dyDescent="0.2">
      <c r="A28">
        <v>63</v>
      </c>
      <c r="B28" t="str" cm="1">
        <f t="array" ref="B28">_xlfn.IFS(A28&lt;=25,"18-25", A28&lt;=35,"26-35", A28&lt;=45,"36-45", A28&lt;=55,"46-55", A28&lt;=64,"56-64")</f>
        <v>56-64</v>
      </c>
      <c r="C28" t="s">
        <v>7</v>
      </c>
      <c r="D28">
        <v>23.085000000000001</v>
      </c>
      <c r="E28">
        <v>0</v>
      </c>
      <c r="F28" t="s">
        <v>11</v>
      </c>
      <c r="G28" t="s">
        <v>53</v>
      </c>
      <c r="H28" s="2">
        <v>14451.835150000001</v>
      </c>
      <c r="I28" s="2">
        <f t="shared" si="0"/>
        <v>14451.835150000001</v>
      </c>
      <c r="J28" t="str">
        <f t="shared" si="1"/>
        <v>High</v>
      </c>
      <c r="K28" s="1">
        <f t="shared" si="2"/>
        <v>0.72499999999999998</v>
      </c>
      <c r="L28" t="str">
        <f t="shared" si="3"/>
        <v>Normal</v>
      </c>
      <c r="M28" t="str">
        <f t="shared" si="4"/>
        <v>Standard</v>
      </c>
      <c r="N28" t="str">
        <f t="shared" si="5"/>
        <v>Tier 2</v>
      </c>
      <c r="O28">
        <f t="shared" si="6"/>
        <v>0</v>
      </c>
    </row>
    <row r="29" spans="1:15" x14ac:dyDescent="0.2">
      <c r="A29">
        <v>55</v>
      </c>
      <c r="B29" t="str" cm="1">
        <f t="array" ref="B29">_xlfn.IFS(A29&lt;=25,"18-25", A29&lt;=35,"26-35", A29&lt;=45,"36-45", A29&lt;=55,"46-55", A29&lt;=64,"56-64")</f>
        <v>46-55</v>
      </c>
      <c r="C29" t="s">
        <v>7</v>
      </c>
      <c r="D29">
        <v>32.774999999999999</v>
      </c>
      <c r="E29">
        <v>2</v>
      </c>
      <c r="F29" t="s">
        <v>11</v>
      </c>
      <c r="G29" t="s">
        <v>54</v>
      </c>
      <c r="H29" s="2">
        <v>12268.632250000001</v>
      </c>
      <c r="I29" s="2">
        <f t="shared" si="0"/>
        <v>4089.5440833333337</v>
      </c>
      <c r="J29" t="str">
        <f t="shared" si="1"/>
        <v>Low</v>
      </c>
      <c r="K29" s="1">
        <f t="shared" si="2"/>
        <v>0.64500000000000002</v>
      </c>
      <c r="L29" t="str">
        <f t="shared" si="3"/>
        <v>Obese</v>
      </c>
      <c r="M29" t="str">
        <f t="shared" si="4"/>
        <v>Standard</v>
      </c>
      <c r="N29" t="str">
        <f t="shared" si="5"/>
        <v>Tier 4</v>
      </c>
      <c r="O29">
        <f t="shared" si="6"/>
        <v>2</v>
      </c>
    </row>
    <row r="30" spans="1:15" x14ac:dyDescent="0.2">
      <c r="A30">
        <v>23</v>
      </c>
      <c r="B30" t="str" cm="1">
        <f t="array" ref="B30">_xlfn.IFS(A30&lt;=25,"18-25", A30&lt;=35,"26-35", A30&lt;=45,"36-45", A30&lt;=55,"46-55", A30&lt;=64,"56-64")</f>
        <v>18-25</v>
      </c>
      <c r="C30" t="s">
        <v>10</v>
      </c>
      <c r="D30">
        <v>17.385000000000002</v>
      </c>
      <c r="E30">
        <v>1</v>
      </c>
      <c r="F30" t="s">
        <v>11</v>
      </c>
      <c r="G30" t="s">
        <v>54</v>
      </c>
      <c r="H30" s="2">
        <v>2775.1921499999999</v>
      </c>
      <c r="I30" s="2">
        <f t="shared" si="0"/>
        <v>1387.5960749999999</v>
      </c>
      <c r="J30" t="str">
        <f t="shared" si="1"/>
        <v>Low</v>
      </c>
      <c r="K30" s="1">
        <f t="shared" si="2"/>
        <v>0.13</v>
      </c>
      <c r="L30" t="str">
        <f t="shared" si="3"/>
        <v>Underweight</v>
      </c>
      <c r="M30" t="str">
        <f t="shared" si="4"/>
        <v>Standard</v>
      </c>
      <c r="N30" t="str">
        <f t="shared" si="5"/>
        <v>Tier 4</v>
      </c>
      <c r="O30">
        <f t="shared" si="6"/>
        <v>0</v>
      </c>
    </row>
    <row r="31" spans="1:15" x14ac:dyDescent="0.2">
      <c r="A31">
        <v>31</v>
      </c>
      <c r="B31" t="str" cm="1">
        <f t="array" ref="B31">_xlfn.IFS(A31&lt;=25,"18-25", A31&lt;=35,"26-35", A31&lt;=45,"36-45", A31&lt;=55,"46-55", A31&lt;=64,"56-64")</f>
        <v>26-35</v>
      </c>
      <c r="C31" t="s">
        <v>10</v>
      </c>
      <c r="D31">
        <v>36.299999999999997</v>
      </c>
      <c r="E31">
        <v>2</v>
      </c>
      <c r="F31" t="s">
        <v>8</v>
      </c>
      <c r="G31" t="s">
        <v>52</v>
      </c>
      <c r="H31" s="2">
        <v>38711</v>
      </c>
      <c r="I31" s="2">
        <f t="shared" si="0"/>
        <v>12903.666666666666</v>
      </c>
      <c r="J31" t="str">
        <f t="shared" si="1"/>
        <v>High</v>
      </c>
      <c r="K31" s="1">
        <f t="shared" si="2"/>
        <v>0.92800000000000005</v>
      </c>
      <c r="L31" t="str">
        <f t="shared" si="3"/>
        <v>Obese</v>
      </c>
      <c r="M31" t="str">
        <f t="shared" si="4"/>
        <v>High Risk</v>
      </c>
      <c r="N31" t="str">
        <f t="shared" si="5"/>
        <v>Tier 3</v>
      </c>
      <c r="O31">
        <f t="shared" si="6"/>
        <v>5</v>
      </c>
    </row>
    <row r="32" spans="1:15" x14ac:dyDescent="0.2">
      <c r="A32">
        <v>22</v>
      </c>
      <c r="B32" t="str" cm="1">
        <f t="array" ref="B32">_xlfn.IFS(A32&lt;=25,"18-25", A32&lt;=35,"26-35", A32&lt;=45,"36-45", A32&lt;=55,"46-55", A32&lt;=64,"56-64")</f>
        <v>18-25</v>
      </c>
      <c r="C32" t="s">
        <v>10</v>
      </c>
      <c r="D32">
        <v>35.6</v>
      </c>
      <c r="E32">
        <v>0</v>
      </c>
      <c r="F32" t="s">
        <v>8</v>
      </c>
      <c r="G32" t="s">
        <v>52</v>
      </c>
      <c r="H32" s="2">
        <v>35585.576000000001</v>
      </c>
      <c r="I32" s="2">
        <f t="shared" si="0"/>
        <v>35585.576000000001</v>
      </c>
      <c r="J32" t="str">
        <f t="shared" si="1"/>
        <v>High</v>
      </c>
      <c r="K32" s="1">
        <f t="shared" si="2"/>
        <v>0.90400000000000003</v>
      </c>
      <c r="L32" t="str">
        <f t="shared" si="3"/>
        <v>Obese</v>
      </c>
      <c r="M32" t="str">
        <f t="shared" si="4"/>
        <v>High Risk</v>
      </c>
      <c r="N32" t="str">
        <f t="shared" si="5"/>
        <v>Tier 3</v>
      </c>
      <c r="O32">
        <f t="shared" si="6"/>
        <v>5</v>
      </c>
    </row>
    <row r="33" spans="1:15" x14ac:dyDescent="0.2">
      <c r="A33">
        <v>18</v>
      </c>
      <c r="B33" t="str" cm="1">
        <f t="array" ref="B33">_xlfn.IFS(A33&lt;=25,"18-25", A33&lt;=35,"26-35", A33&lt;=45,"36-45", A33&lt;=55,"46-55", A33&lt;=64,"56-64")</f>
        <v>18-25</v>
      </c>
      <c r="C33" t="s">
        <v>7</v>
      </c>
      <c r="D33">
        <v>26.315000000000001</v>
      </c>
      <c r="E33">
        <v>0</v>
      </c>
      <c r="F33" t="s">
        <v>11</v>
      </c>
      <c r="G33" t="s">
        <v>53</v>
      </c>
      <c r="H33" s="2">
        <v>2198.1898500000002</v>
      </c>
      <c r="I33" s="2">
        <f t="shared" si="0"/>
        <v>2198.1898500000002</v>
      </c>
      <c r="J33" t="str">
        <f t="shared" si="1"/>
        <v>Low</v>
      </c>
      <c r="K33" s="1">
        <f t="shared" si="2"/>
        <v>8.5000000000000006E-2</v>
      </c>
      <c r="L33" t="str">
        <f t="shared" si="3"/>
        <v>Overweight</v>
      </c>
      <c r="M33" t="str">
        <f t="shared" si="4"/>
        <v>Standard</v>
      </c>
      <c r="N33" t="str">
        <f t="shared" si="5"/>
        <v>Tier 2</v>
      </c>
      <c r="O33">
        <f t="shared" si="6"/>
        <v>1</v>
      </c>
    </row>
    <row r="34" spans="1:15" x14ac:dyDescent="0.2">
      <c r="A34">
        <v>19</v>
      </c>
      <c r="B34" t="str" cm="1">
        <f t="array" ref="B34">_xlfn.IFS(A34&lt;=25,"18-25", A34&lt;=35,"26-35", A34&lt;=45,"36-45", A34&lt;=55,"46-55", A34&lt;=64,"56-64")</f>
        <v>18-25</v>
      </c>
      <c r="C34" t="s">
        <v>7</v>
      </c>
      <c r="D34">
        <v>28.6</v>
      </c>
      <c r="E34">
        <v>5</v>
      </c>
      <c r="F34" t="s">
        <v>11</v>
      </c>
      <c r="G34" t="s">
        <v>52</v>
      </c>
      <c r="H34" s="2">
        <v>4687.7969999999996</v>
      </c>
      <c r="I34" s="2">
        <f t="shared" si="0"/>
        <v>781.29949999999997</v>
      </c>
      <c r="J34" t="str">
        <f t="shared" si="1"/>
        <v>Low</v>
      </c>
      <c r="K34" s="1">
        <f t="shared" si="2"/>
        <v>0.246</v>
      </c>
      <c r="L34" t="str">
        <f t="shared" si="3"/>
        <v>Overweight</v>
      </c>
      <c r="M34" t="str">
        <f t="shared" si="4"/>
        <v>Standard</v>
      </c>
      <c r="N34" t="str">
        <f t="shared" si="5"/>
        <v>Tier 3</v>
      </c>
      <c r="O34">
        <f t="shared" si="6"/>
        <v>1</v>
      </c>
    </row>
    <row r="35" spans="1:15" x14ac:dyDescent="0.2">
      <c r="A35">
        <v>63</v>
      </c>
      <c r="B35" t="str" cm="1">
        <f t="array" ref="B35">_xlfn.IFS(A35&lt;=25,"18-25", A35&lt;=35,"26-35", A35&lt;=45,"36-45", A35&lt;=55,"46-55", A35&lt;=64,"56-64")</f>
        <v>56-64</v>
      </c>
      <c r="C35" t="s">
        <v>10</v>
      </c>
      <c r="D35">
        <v>28.31</v>
      </c>
      <c r="E35">
        <v>0</v>
      </c>
      <c r="F35" t="s">
        <v>11</v>
      </c>
      <c r="G35" t="s">
        <v>54</v>
      </c>
      <c r="H35" s="2">
        <v>13770.097900000001</v>
      </c>
      <c r="I35" s="2">
        <f t="shared" si="0"/>
        <v>13770.097900000001</v>
      </c>
      <c r="J35" t="str">
        <f t="shared" si="1"/>
        <v>High</v>
      </c>
      <c r="K35" s="1">
        <f t="shared" si="2"/>
        <v>0.7</v>
      </c>
      <c r="L35" t="str">
        <f t="shared" si="3"/>
        <v>Overweight</v>
      </c>
      <c r="M35" t="str">
        <f t="shared" si="4"/>
        <v>Standard</v>
      </c>
      <c r="N35" t="str">
        <f t="shared" si="5"/>
        <v>Tier 4</v>
      </c>
      <c r="O35">
        <f t="shared" si="6"/>
        <v>1</v>
      </c>
    </row>
    <row r="36" spans="1:15" x14ac:dyDescent="0.2">
      <c r="A36">
        <v>28</v>
      </c>
      <c r="B36" t="str" cm="1">
        <f t="array" ref="B36">_xlfn.IFS(A36&lt;=25,"18-25", A36&lt;=35,"26-35", A36&lt;=45,"36-45", A36&lt;=55,"46-55", A36&lt;=64,"56-64")</f>
        <v>26-35</v>
      </c>
      <c r="C36" t="s">
        <v>10</v>
      </c>
      <c r="D36">
        <v>36.4</v>
      </c>
      <c r="E36">
        <v>1</v>
      </c>
      <c r="F36" t="s">
        <v>8</v>
      </c>
      <c r="G36" t="s">
        <v>52</v>
      </c>
      <c r="H36" s="2">
        <v>51194.559139999998</v>
      </c>
      <c r="I36" s="2">
        <f t="shared" si="0"/>
        <v>25597.279569999999</v>
      </c>
      <c r="J36" t="str">
        <f t="shared" si="1"/>
        <v>High</v>
      </c>
      <c r="K36" s="1">
        <f t="shared" si="2"/>
        <v>0.995</v>
      </c>
      <c r="L36" t="str">
        <f t="shared" si="3"/>
        <v>Obese</v>
      </c>
      <c r="M36" t="str">
        <f t="shared" si="4"/>
        <v>High Risk</v>
      </c>
      <c r="N36" t="str">
        <f t="shared" si="5"/>
        <v>Tier 3</v>
      </c>
      <c r="O36">
        <f t="shared" si="6"/>
        <v>5</v>
      </c>
    </row>
    <row r="37" spans="1:15" x14ac:dyDescent="0.2">
      <c r="A37">
        <v>19</v>
      </c>
      <c r="B37" t="str" cm="1">
        <f t="array" ref="B37">_xlfn.IFS(A37&lt;=25,"18-25", A37&lt;=35,"26-35", A37&lt;=45,"36-45", A37&lt;=55,"46-55", A37&lt;=64,"56-64")</f>
        <v>18-25</v>
      </c>
      <c r="C37" t="s">
        <v>10</v>
      </c>
      <c r="D37">
        <v>20.425000000000001</v>
      </c>
      <c r="E37">
        <v>0</v>
      </c>
      <c r="F37" t="s">
        <v>11</v>
      </c>
      <c r="G37" t="s">
        <v>54</v>
      </c>
      <c r="H37" s="2">
        <v>1625.4337499999999</v>
      </c>
      <c r="I37" s="2">
        <f t="shared" si="0"/>
        <v>1625.4337499999999</v>
      </c>
      <c r="J37" t="str">
        <f t="shared" si="1"/>
        <v>Low</v>
      </c>
      <c r="K37" s="1">
        <f t="shared" si="2"/>
        <v>2.1000000000000001E-2</v>
      </c>
      <c r="L37" t="str">
        <f t="shared" si="3"/>
        <v>Normal</v>
      </c>
      <c r="M37" t="str">
        <f t="shared" si="4"/>
        <v>Standard</v>
      </c>
      <c r="N37" t="str">
        <f t="shared" si="5"/>
        <v>Tier 4</v>
      </c>
      <c r="O37">
        <f t="shared" si="6"/>
        <v>0</v>
      </c>
    </row>
    <row r="38" spans="1:15" x14ac:dyDescent="0.2">
      <c r="A38">
        <v>62</v>
      </c>
      <c r="B38" t="str" cm="1">
        <f t="array" ref="B38">_xlfn.IFS(A38&lt;=25,"18-25", A38&lt;=35,"26-35", A38&lt;=45,"36-45", A38&lt;=55,"46-55", A38&lt;=64,"56-64")</f>
        <v>56-64</v>
      </c>
      <c r="C38" t="s">
        <v>7</v>
      </c>
      <c r="D38">
        <v>32.965000000000003</v>
      </c>
      <c r="E38">
        <v>3</v>
      </c>
      <c r="F38" t="s">
        <v>11</v>
      </c>
      <c r="G38" t="s">
        <v>54</v>
      </c>
      <c r="H38" s="2">
        <v>15612.19335</v>
      </c>
      <c r="I38" s="2">
        <f t="shared" si="0"/>
        <v>3903.0483374999999</v>
      </c>
      <c r="J38" t="str">
        <f t="shared" si="1"/>
        <v>High</v>
      </c>
      <c r="K38" s="1">
        <f t="shared" si="2"/>
        <v>0.73799999999999999</v>
      </c>
      <c r="L38" t="str">
        <f t="shared" si="3"/>
        <v>Obese</v>
      </c>
      <c r="M38" t="str">
        <f t="shared" si="4"/>
        <v>Standard</v>
      </c>
      <c r="N38" t="str">
        <f t="shared" si="5"/>
        <v>Tier 4</v>
      </c>
      <c r="O38">
        <f t="shared" si="6"/>
        <v>2</v>
      </c>
    </row>
    <row r="39" spans="1:15" x14ac:dyDescent="0.2">
      <c r="A39">
        <v>26</v>
      </c>
      <c r="B39" t="str" cm="1">
        <f t="array" ref="B39">_xlfn.IFS(A39&lt;=25,"18-25", A39&lt;=35,"26-35", A39&lt;=45,"36-45", A39&lt;=55,"46-55", A39&lt;=64,"56-64")</f>
        <v>26-35</v>
      </c>
      <c r="C39" t="s">
        <v>10</v>
      </c>
      <c r="D39">
        <v>20.8</v>
      </c>
      <c r="E39">
        <v>0</v>
      </c>
      <c r="F39" t="s">
        <v>11</v>
      </c>
      <c r="G39" t="s">
        <v>52</v>
      </c>
      <c r="H39" s="2">
        <v>2302.3000000000002</v>
      </c>
      <c r="I39" s="2">
        <f t="shared" si="0"/>
        <v>2302.3000000000002</v>
      </c>
      <c r="J39" t="str">
        <f t="shared" si="1"/>
        <v>Low</v>
      </c>
      <c r="K39" s="1">
        <f t="shared" si="2"/>
        <v>9.7000000000000003E-2</v>
      </c>
      <c r="L39" t="str">
        <f t="shared" si="3"/>
        <v>Normal</v>
      </c>
      <c r="M39" t="str">
        <f t="shared" si="4"/>
        <v>Standard</v>
      </c>
      <c r="N39" t="str">
        <f t="shared" si="5"/>
        <v>Tier 3</v>
      </c>
      <c r="O39">
        <f t="shared" si="6"/>
        <v>0</v>
      </c>
    </row>
    <row r="40" spans="1:15" x14ac:dyDescent="0.2">
      <c r="A40">
        <v>35</v>
      </c>
      <c r="B40" t="str" cm="1">
        <f t="array" ref="B40">_xlfn.IFS(A40&lt;=25,"18-25", A40&lt;=35,"26-35", A40&lt;=45,"36-45", A40&lt;=55,"46-55", A40&lt;=64,"56-64")</f>
        <v>26-35</v>
      </c>
      <c r="C40" t="s">
        <v>10</v>
      </c>
      <c r="D40">
        <v>36.67</v>
      </c>
      <c r="E40">
        <v>1</v>
      </c>
      <c r="F40" t="s">
        <v>8</v>
      </c>
      <c r="G40" t="s">
        <v>53</v>
      </c>
      <c r="H40" s="2">
        <v>39774.276299999998</v>
      </c>
      <c r="I40" s="2">
        <f t="shared" si="0"/>
        <v>19887.138149999999</v>
      </c>
      <c r="J40" t="str">
        <f t="shared" si="1"/>
        <v>High</v>
      </c>
      <c r="K40" s="1">
        <f t="shared" si="2"/>
        <v>0.93799999999999994</v>
      </c>
      <c r="L40" t="str">
        <f t="shared" si="3"/>
        <v>Obese</v>
      </c>
      <c r="M40" t="str">
        <f t="shared" si="4"/>
        <v>High Risk</v>
      </c>
      <c r="N40" t="str">
        <f t="shared" si="5"/>
        <v>Tier 2</v>
      </c>
      <c r="O40">
        <f t="shared" si="6"/>
        <v>5</v>
      </c>
    </row>
    <row r="41" spans="1:15" x14ac:dyDescent="0.2">
      <c r="A41">
        <v>60</v>
      </c>
      <c r="B41" t="str" cm="1">
        <f t="array" ref="B41">_xlfn.IFS(A41&lt;=25,"18-25", A41&lt;=35,"26-35", A41&lt;=45,"36-45", A41&lt;=55,"46-55", A41&lt;=64,"56-64")</f>
        <v>56-64</v>
      </c>
      <c r="C41" t="s">
        <v>10</v>
      </c>
      <c r="D41">
        <v>39.9</v>
      </c>
      <c r="E41">
        <v>0</v>
      </c>
      <c r="F41" t="s">
        <v>8</v>
      </c>
      <c r="G41" t="s">
        <v>52</v>
      </c>
      <c r="H41" s="2">
        <v>48173.360999999997</v>
      </c>
      <c r="I41" s="2">
        <f t="shared" si="0"/>
        <v>48173.360999999997</v>
      </c>
      <c r="J41" t="str">
        <f t="shared" si="1"/>
        <v>High</v>
      </c>
      <c r="K41" s="1">
        <f t="shared" si="2"/>
        <v>0.98799999999999999</v>
      </c>
      <c r="L41" t="str">
        <f t="shared" si="3"/>
        <v>Obese</v>
      </c>
      <c r="M41" t="str">
        <f t="shared" si="4"/>
        <v>High Risk</v>
      </c>
      <c r="N41" t="str">
        <f t="shared" si="5"/>
        <v>Tier 3</v>
      </c>
      <c r="O41">
        <f t="shared" si="6"/>
        <v>5</v>
      </c>
    </row>
    <row r="42" spans="1:15" x14ac:dyDescent="0.2">
      <c r="A42">
        <v>24</v>
      </c>
      <c r="B42" t="str" cm="1">
        <f t="array" ref="B42">_xlfn.IFS(A42&lt;=25,"18-25", A42&lt;=35,"26-35", A42&lt;=45,"36-45", A42&lt;=55,"46-55", A42&lt;=64,"56-64")</f>
        <v>18-25</v>
      </c>
      <c r="C42" t="s">
        <v>7</v>
      </c>
      <c r="D42">
        <v>26.6</v>
      </c>
      <c r="E42">
        <v>0</v>
      </c>
      <c r="F42" t="s">
        <v>11</v>
      </c>
      <c r="G42" t="s">
        <v>53</v>
      </c>
      <c r="H42" s="2">
        <v>3046.0619999999999</v>
      </c>
      <c r="I42" s="2">
        <f t="shared" si="0"/>
        <v>3046.0619999999999</v>
      </c>
      <c r="J42" t="str">
        <f t="shared" si="1"/>
        <v>Low</v>
      </c>
      <c r="K42" s="1">
        <f t="shared" si="2"/>
        <v>0.14399999999999999</v>
      </c>
      <c r="L42" t="str">
        <f t="shared" si="3"/>
        <v>Overweight</v>
      </c>
      <c r="M42" t="str">
        <f t="shared" si="4"/>
        <v>Standard</v>
      </c>
      <c r="N42" t="str">
        <f t="shared" si="5"/>
        <v>Tier 2</v>
      </c>
      <c r="O42">
        <f t="shared" si="6"/>
        <v>1</v>
      </c>
    </row>
    <row r="43" spans="1:15" x14ac:dyDescent="0.2">
      <c r="A43">
        <v>31</v>
      </c>
      <c r="B43" t="str" cm="1">
        <f t="array" ref="B43">_xlfn.IFS(A43&lt;=25,"18-25", A43&lt;=35,"26-35", A43&lt;=45,"36-45", A43&lt;=55,"46-55", A43&lt;=64,"56-64")</f>
        <v>26-35</v>
      </c>
      <c r="C43" t="s">
        <v>7</v>
      </c>
      <c r="D43">
        <v>36.630000000000003</v>
      </c>
      <c r="E43">
        <v>2</v>
      </c>
      <c r="F43" t="s">
        <v>11</v>
      </c>
      <c r="G43" t="s">
        <v>51</v>
      </c>
      <c r="H43" s="2">
        <v>4949.7587000000003</v>
      </c>
      <c r="I43" s="2">
        <f t="shared" si="0"/>
        <v>1649.9195666666667</v>
      </c>
      <c r="J43" t="str">
        <f t="shared" si="1"/>
        <v>Low</v>
      </c>
      <c r="K43" s="1">
        <f t="shared" si="2"/>
        <v>0.26700000000000002</v>
      </c>
      <c r="L43" t="str">
        <f t="shared" si="3"/>
        <v>Obese</v>
      </c>
      <c r="M43" t="str">
        <f t="shared" si="4"/>
        <v>Standard</v>
      </c>
      <c r="N43" t="str">
        <f t="shared" si="5"/>
        <v>Tier 1</v>
      </c>
      <c r="O43">
        <f t="shared" si="6"/>
        <v>3</v>
      </c>
    </row>
    <row r="44" spans="1:15" x14ac:dyDescent="0.2">
      <c r="A44">
        <v>41</v>
      </c>
      <c r="B44" t="str" cm="1">
        <f t="array" ref="B44">_xlfn.IFS(A44&lt;=25,"18-25", A44&lt;=35,"26-35", A44&lt;=45,"36-45", A44&lt;=55,"46-55", A44&lt;=64,"56-64")</f>
        <v>36-45</v>
      </c>
      <c r="C44" t="s">
        <v>10</v>
      </c>
      <c r="D44">
        <v>21.78</v>
      </c>
      <c r="E44">
        <v>1</v>
      </c>
      <c r="F44" t="s">
        <v>11</v>
      </c>
      <c r="G44" t="s">
        <v>51</v>
      </c>
      <c r="H44" s="2">
        <v>6272.4772000000003</v>
      </c>
      <c r="I44" s="2">
        <f t="shared" si="0"/>
        <v>3136.2386000000001</v>
      </c>
      <c r="J44" t="str">
        <f t="shared" si="1"/>
        <v>Low</v>
      </c>
      <c r="K44" s="1">
        <f t="shared" si="2"/>
        <v>0.33300000000000002</v>
      </c>
      <c r="L44" t="str">
        <f t="shared" si="3"/>
        <v>Normal</v>
      </c>
      <c r="M44" t="str">
        <f t="shared" si="4"/>
        <v>Standard</v>
      </c>
      <c r="N44" t="str">
        <f t="shared" si="5"/>
        <v>Tier 1</v>
      </c>
      <c r="O44">
        <f t="shared" si="6"/>
        <v>1</v>
      </c>
    </row>
    <row r="45" spans="1:15" x14ac:dyDescent="0.2">
      <c r="A45">
        <v>37</v>
      </c>
      <c r="B45" t="str" cm="1">
        <f t="array" ref="B45">_xlfn.IFS(A45&lt;=25,"18-25", A45&lt;=35,"26-35", A45&lt;=45,"36-45", A45&lt;=55,"46-55", A45&lt;=64,"56-64")</f>
        <v>36-45</v>
      </c>
      <c r="C45" t="s">
        <v>7</v>
      </c>
      <c r="D45">
        <v>30.8</v>
      </c>
      <c r="E45">
        <v>2</v>
      </c>
      <c r="F45" t="s">
        <v>11</v>
      </c>
      <c r="G45" t="s">
        <v>51</v>
      </c>
      <c r="H45" s="2">
        <v>6313.759</v>
      </c>
      <c r="I45" s="2">
        <f t="shared" si="0"/>
        <v>2104.5863333333332</v>
      </c>
      <c r="J45" t="str">
        <f t="shared" si="1"/>
        <v>Low</v>
      </c>
      <c r="K45" s="1">
        <f t="shared" si="2"/>
        <v>0.33600000000000002</v>
      </c>
      <c r="L45" t="str">
        <f t="shared" si="3"/>
        <v>Obese</v>
      </c>
      <c r="M45" t="str">
        <f t="shared" si="4"/>
        <v>Standard</v>
      </c>
      <c r="N45" t="str">
        <f t="shared" si="5"/>
        <v>Tier 1</v>
      </c>
      <c r="O45">
        <f t="shared" si="6"/>
        <v>3</v>
      </c>
    </row>
    <row r="46" spans="1:15" x14ac:dyDescent="0.2">
      <c r="A46">
        <v>38</v>
      </c>
      <c r="B46" t="str" cm="1">
        <f t="array" ref="B46">_xlfn.IFS(A46&lt;=25,"18-25", A46&lt;=35,"26-35", A46&lt;=45,"36-45", A46&lt;=55,"46-55", A46&lt;=64,"56-64")</f>
        <v>36-45</v>
      </c>
      <c r="C46" t="s">
        <v>10</v>
      </c>
      <c r="D46">
        <v>37.049999999999997</v>
      </c>
      <c r="E46">
        <v>1</v>
      </c>
      <c r="F46" t="s">
        <v>11</v>
      </c>
      <c r="G46" t="s">
        <v>53</v>
      </c>
      <c r="H46" s="2">
        <v>6079.6715000000004</v>
      </c>
      <c r="I46" s="2">
        <f t="shared" si="0"/>
        <v>3039.8357500000002</v>
      </c>
      <c r="J46" t="str">
        <f t="shared" si="1"/>
        <v>Low</v>
      </c>
      <c r="K46" s="1">
        <f t="shared" si="2"/>
        <v>0.32200000000000001</v>
      </c>
      <c r="L46" t="str">
        <f t="shared" si="3"/>
        <v>Obese</v>
      </c>
      <c r="M46" t="str">
        <f t="shared" si="4"/>
        <v>Standard</v>
      </c>
      <c r="N46" t="str">
        <f t="shared" si="5"/>
        <v>Tier 2</v>
      </c>
      <c r="O46">
        <f t="shared" si="6"/>
        <v>2</v>
      </c>
    </row>
    <row r="47" spans="1:15" x14ac:dyDescent="0.2">
      <c r="A47">
        <v>55</v>
      </c>
      <c r="B47" t="str" cm="1">
        <f t="array" ref="B47">_xlfn.IFS(A47&lt;=25,"18-25", A47&lt;=35,"26-35", A47&lt;=45,"36-45", A47&lt;=55,"46-55", A47&lt;=64,"56-64")</f>
        <v>46-55</v>
      </c>
      <c r="C47" t="s">
        <v>10</v>
      </c>
      <c r="D47">
        <v>37.299999999999997</v>
      </c>
      <c r="E47">
        <v>0</v>
      </c>
      <c r="F47" t="s">
        <v>11</v>
      </c>
      <c r="G47" t="s">
        <v>52</v>
      </c>
      <c r="H47" s="2">
        <v>20630.283510000001</v>
      </c>
      <c r="I47" s="2">
        <f t="shared" si="0"/>
        <v>20630.283510000001</v>
      </c>
      <c r="J47" t="str">
        <f t="shared" si="1"/>
        <v>High</v>
      </c>
      <c r="K47" s="1">
        <f t="shared" si="2"/>
        <v>0.80300000000000005</v>
      </c>
      <c r="L47" t="str">
        <f t="shared" si="3"/>
        <v>Obese</v>
      </c>
      <c r="M47" t="str">
        <f t="shared" si="4"/>
        <v>Standard</v>
      </c>
      <c r="N47" t="str">
        <f t="shared" si="5"/>
        <v>Tier 3</v>
      </c>
      <c r="O47">
        <f t="shared" si="6"/>
        <v>2</v>
      </c>
    </row>
    <row r="48" spans="1:15" x14ac:dyDescent="0.2">
      <c r="A48">
        <v>18</v>
      </c>
      <c r="B48" t="str" cm="1">
        <f t="array" ref="B48">_xlfn.IFS(A48&lt;=25,"18-25", A48&lt;=35,"26-35", A48&lt;=45,"36-45", A48&lt;=55,"46-55", A48&lt;=64,"56-64")</f>
        <v>18-25</v>
      </c>
      <c r="C48" t="s">
        <v>7</v>
      </c>
      <c r="D48">
        <v>38.664999999999999</v>
      </c>
      <c r="E48">
        <v>2</v>
      </c>
      <c r="F48" t="s">
        <v>11</v>
      </c>
      <c r="G48" t="s">
        <v>53</v>
      </c>
      <c r="H48" s="2">
        <v>3393.35635</v>
      </c>
      <c r="I48" s="2">
        <f t="shared" si="0"/>
        <v>1131.1187833333333</v>
      </c>
      <c r="J48" t="str">
        <f t="shared" si="1"/>
        <v>Low</v>
      </c>
      <c r="K48" s="1">
        <f t="shared" si="2"/>
        <v>0.16700000000000001</v>
      </c>
      <c r="L48" t="str">
        <f t="shared" si="3"/>
        <v>Obese</v>
      </c>
      <c r="M48" t="str">
        <f t="shared" si="4"/>
        <v>Standard</v>
      </c>
      <c r="N48" t="str">
        <f t="shared" si="5"/>
        <v>Tier 2</v>
      </c>
      <c r="O48">
        <f t="shared" si="6"/>
        <v>2</v>
      </c>
    </row>
    <row r="49" spans="1:15" x14ac:dyDescent="0.2">
      <c r="A49">
        <v>28</v>
      </c>
      <c r="B49" t="str" cm="1">
        <f t="array" ref="B49">_xlfn.IFS(A49&lt;=25,"18-25", A49&lt;=35,"26-35", A49&lt;=45,"36-45", A49&lt;=55,"46-55", A49&lt;=64,"56-64")</f>
        <v>26-35</v>
      </c>
      <c r="C49" t="s">
        <v>7</v>
      </c>
      <c r="D49">
        <v>34.770000000000003</v>
      </c>
      <c r="E49">
        <v>0</v>
      </c>
      <c r="F49" t="s">
        <v>11</v>
      </c>
      <c r="G49" t="s">
        <v>54</v>
      </c>
      <c r="H49" s="2">
        <v>3556.9223000000002</v>
      </c>
      <c r="I49" s="2">
        <f t="shared" si="0"/>
        <v>3556.9223000000002</v>
      </c>
      <c r="J49" t="str">
        <f t="shared" si="1"/>
        <v>Low</v>
      </c>
      <c r="K49" s="1">
        <f t="shared" si="2"/>
        <v>0.17499999999999999</v>
      </c>
      <c r="L49" t="str">
        <f t="shared" si="3"/>
        <v>Obese</v>
      </c>
      <c r="M49" t="str">
        <f t="shared" si="4"/>
        <v>Standard</v>
      </c>
      <c r="N49" t="str">
        <f t="shared" si="5"/>
        <v>Tier 4</v>
      </c>
      <c r="O49">
        <f t="shared" si="6"/>
        <v>2</v>
      </c>
    </row>
    <row r="50" spans="1:15" x14ac:dyDescent="0.2">
      <c r="A50">
        <v>60</v>
      </c>
      <c r="B50" t="str" cm="1">
        <f t="array" ref="B50">_xlfn.IFS(A50&lt;=25,"18-25", A50&lt;=35,"26-35", A50&lt;=45,"36-45", A50&lt;=55,"46-55", A50&lt;=64,"56-64")</f>
        <v>56-64</v>
      </c>
      <c r="C50" t="s">
        <v>7</v>
      </c>
      <c r="D50">
        <v>24.53</v>
      </c>
      <c r="E50">
        <v>0</v>
      </c>
      <c r="F50" t="s">
        <v>11</v>
      </c>
      <c r="G50" t="s">
        <v>51</v>
      </c>
      <c r="H50" s="2">
        <v>12629.896699999999</v>
      </c>
      <c r="I50" s="2">
        <f t="shared" si="0"/>
        <v>12629.896699999999</v>
      </c>
      <c r="J50" t="str">
        <f t="shared" si="1"/>
        <v>Low</v>
      </c>
      <c r="K50" s="1">
        <f t="shared" si="2"/>
        <v>0.65900000000000003</v>
      </c>
      <c r="L50" t="str">
        <f t="shared" si="3"/>
        <v>Normal</v>
      </c>
      <c r="M50" t="str">
        <f t="shared" si="4"/>
        <v>Standard</v>
      </c>
      <c r="N50" t="str">
        <f t="shared" si="5"/>
        <v>Tier 1</v>
      </c>
      <c r="O50">
        <f t="shared" si="6"/>
        <v>1</v>
      </c>
    </row>
    <row r="51" spans="1:15" x14ac:dyDescent="0.2">
      <c r="A51">
        <v>36</v>
      </c>
      <c r="B51" t="str" cm="1">
        <f t="array" ref="B51">_xlfn.IFS(A51&lt;=25,"18-25", A51&lt;=35,"26-35", A51&lt;=45,"36-45", A51&lt;=55,"46-55", A51&lt;=64,"56-64")</f>
        <v>36-45</v>
      </c>
      <c r="C51" t="s">
        <v>10</v>
      </c>
      <c r="D51">
        <v>35.200000000000003</v>
      </c>
      <c r="E51">
        <v>1</v>
      </c>
      <c r="F51" t="s">
        <v>8</v>
      </c>
      <c r="G51" t="s">
        <v>51</v>
      </c>
      <c r="H51" s="2">
        <v>38709.175999999999</v>
      </c>
      <c r="I51" s="2">
        <f t="shared" si="0"/>
        <v>19354.588</v>
      </c>
      <c r="J51" t="str">
        <f t="shared" si="1"/>
        <v>High</v>
      </c>
      <c r="K51" s="1">
        <f t="shared" si="2"/>
        <v>0.92800000000000005</v>
      </c>
      <c r="L51" t="str">
        <f t="shared" si="3"/>
        <v>Obese</v>
      </c>
      <c r="M51" t="str">
        <f t="shared" si="4"/>
        <v>High Risk</v>
      </c>
      <c r="N51" t="str">
        <f t="shared" si="5"/>
        <v>Tier 1</v>
      </c>
      <c r="O51">
        <f t="shared" si="6"/>
        <v>6</v>
      </c>
    </row>
    <row r="52" spans="1:15" x14ac:dyDescent="0.2">
      <c r="A52">
        <v>18</v>
      </c>
      <c r="B52" t="str" cm="1">
        <f t="array" ref="B52">_xlfn.IFS(A52&lt;=25,"18-25", A52&lt;=35,"26-35", A52&lt;=45,"36-45", A52&lt;=55,"46-55", A52&lt;=64,"56-64")</f>
        <v>18-25</v>
      </c>
      <c r="C52" t="s">
        <v>7</v>
      </c>
      <c r="D52">
        <v>35.625</v>
      </c>
      <c r="E52">
        <v>0</v>
      </c>
      <c r="F52" t="s">
        <v>11</v>
      </c>
      <c r="G52" t="s">
        <v>53</v>
      </c>
      <c r="H52" s="2">
        <v>2211.1307499999998</v>
      </c>
      <c r="I52" s="2">
        <f t="shared" si="0"/>
        <v>2211.1307499999998</v>
      </c>
      <c r="J52" t="str">
        <f t="shared" si="1"/>
        <v>Low</v>
      </c>
      <c r="K52" s="1">
        <f t="shared" si="2"/>
        <v>0.09</v>
      </c>
      <c r="L52" t="str">
        <f t="shared" si="3"/>
        <v>Obese</v>
      </c>
      <c r="M52" t="str">
        <f t="shared" si="4"/>
        <v>Standard</v>
      </c>
      <c r="N52" t="str">
        <f t="shared" si="5"/>
        <v>Tier 2</v>
      </c>
      <c r="O52">
        <f t="shared" si="6"/>
        <v>2</v>
      </c>
    </row>
    <row r="53" spans="1:15" x14ac:dyDescent="0.2">
      <c r="A53">
        <v>21</v>
      </c>
      <c r="B53" t="str" cm="1">
        <f t="array" ref="B53">_xlfn.IFS(A53&lt;=25,"18-25", A53&lt;=35,"26-35", A53&lt;=45,"36-45", A53&lt;=55,"46-55", A53&lt;=64,"56-64")</f>
        <v>18-25</v>
      </c>
      <c r="C53" t="s">
        <v>7</v>
      </c>
      <c r="D53">
        <v>33.630000000000003</v>
      </c>
      <c r="E53">
        <v>2</v>
      </c>
      <c r="F53" t="s">
        <v>11</v>
      </c>
      <c r="G53" t="s">
        <v>54</v>
      </c>
      <c r="H53" s="2">
        <v>3579.8287</v>
      </c>
      <c r="I53" s="2">
        <f t="shared" si="0"/>
        <v>1193.2762333333333</v>
      </c>
      <c r="J53" t="str">
        <f t="shared" si="1"/>
        <v>Low</v>
      </c>
      <c r="K53" s="1">
        <f t="shared" si="2"/>
        <v>0.17799999999999999</v>
      </c>
      <c r="L53" t="str">
        <f t="shared" si="3"/>
        <v>Obese</v>
      </c>
      <c r="M53" t="str">
        <f t="shared" si="4"/>
        <v>Standard</v>
      </c>
      <c r="N53" t="str">
        <f t="shared" si="5"/>
        <v>Tier 4</v>
      </c>
      <c r="O53">
        <f t="shared" si="6"/>
        <v>2</v>
      </c>
    </row>
    <row r="54" spans="1:15" x14ac:dyDescent="0.2">
      <c r="A54">
        <v>48</v>
      </c>
      <c r="B54" t="str" cm="1">
        <f t="array" ref="B54">_xlfn.IFS(A54&lt;=25,"18-25", A54&lt;=35,"26-35", A54&lt;=45,"36-45", A54&lt;=55,"46-55", A54&lt;=64,"56-64")</f>
        <v>46-55</v>
      </c>
      <c r="C54" t="s">
        <v>10</v>
      </c>
      <c r="D54">
        <v>28</v>
      </c>
      <c r="E54">
        <v>1</v>
      </c>
      <c r="F54" t="s">
        <v>8</v>
      </c>
      <c r="G54" t="s">
        <v>52</v>
      </c>
      <c r="H54" s="2">
        <v>23568.272000000001</v>
      </c>
      <c r="I54" s="2">
        <f t="shared" si="0"/>
        <v>11784.136</v>
      </c>
      <c r="J54" t="str">
        <f t="shared" si="1"/>
        <v>High</v>
      </c>
      <c r="K54" s="1">
        <f t="shared" si="2"/>
        <v>0.83499999999999996</v>
      </c>
      <c r="L54" t="str">
        <f t="shared" si="3"/>
        <v>Overweight</v>
      </c>
      <c r="M54" t="str">
        <f t="shared" si="4"/>
        <v>High Risk</v>
      </c>
      <c r="N54" t="str">
        <f t="shared" si="5"/>
        <v>Tier 3</v>
      </c>
      <c r="O54">
        <f t="shared" si="6"/>
        <v>4</v>
      </c>
    </row>
    <row r="55" spans="1:15" x14ac:dyDescent="0.2">
      <c r="A55">
        <v>36</v>
      </c>
      <c r="B55" t="str" cm="1">
        <f t="array" ref="B55">_xlfn.IFS(A55&lt;=25,"18-25", A55&lt;=35,"26-35", A55&lt;=45,"36-45", A55&lt;=55,"46-55", A55&lt;=64,"56-64")</f>
        <v>36-45</v>
      </c>
      <c r="C55" t="s">
        <v>10</v>
      </c>
      <c r="D55">
        <v>34.43</v>
      </c>
      <c r="E55">
        <v>0</v>
      </c>
      <c r="F55" t="s">
        <v>8</v>
      </c>
      <c r="G55" t="s">
        <v>51</v>
      </c>
      <c r="H55" s="2">
        <v>37742.575700000001</v>
      </c>
      <c r="I55" s="2">
        <f t="shared" si="0"/>
        <v>37742.575700000001</v>
      </c>
      <c r="J55" t="str">
        <f t="shared" si="1"/>
        <v>High</v>
      </c>
      <c r="K55" s="1">
        <f t="shared" si="2"/>
        <v>0.92200000000000004</v>
      </c>
      <c r="L55" t="str">
        <f t="shared" si="3"/>
        <v>Obese</v>
      </c>
      <c r="M55" t="str">
        <f t="shared" si="4"/>
        <v>High Risk</v>
      </c>
      <c r="N55" t="str">
        <f t="shared" si="5"/>
        <v>Tier 1</v>
      </c>
      <c r="O55">
        <f t="shared" si="6"/>
        <v>6</v>
      </c>
    </row>
    <row r="56" spans="1:15" x14ac:dyDescent="0.2">
      <c r="A56">
        <v>40</v>
      </c>
      <c r="B56" t="str" cm="1">
        <f t="array" ref="B56">_xlfn.IFS(A56&lt;=25,"18-25", A56&lt;=35,"26-35", A56&lt;=45,"36-45", A56&lt;=55,"46-55", A56&lt;=64,"56-64")</f>
        <v>36-45</v>
      </c>
      <c r="C56" t="s">
        <v>7</v>
      </c>
      <c r="D56">
        <v>28.69</v>
      </c>
      <c r="E56">
        <v>3</v>
      </c>
      <c r="F56" t="s">
        <v>11</v>
      </c>
      <c r="G56" t="s">
        <v>54</v>
      </c>
      <c r="H56" s="2">
        <v>8059.6791000000003</v>
      </c>
      <c r="I56" s="2">
        <f t="shared" si="0"/>
        <v>2014.9197750000001</v>
      </c>
      <c r="J56" t="str">
        <f t="shared" si="1"/>
        <v>Low</v>
      </c>
      <c r="K56" s="1">
        <f t="shared" si="2"/>
        <v>0.42899999999999999</v>
      </c>
      <c r="L56" t="str">
        <f t="shared" si="3"/>
        <v>Overweight</v>
      </c>
      <c r="M56" t="str">
        <f t="shared" si="4"/>
        <v>Standard</v>
      </c>
      <c r="N56" t="str">
        <f t="shared" si="5"/>
        <v>Tier 4</v>
      </c>
      <c r="O56">
        <f t="shared" si="6"/>
        <v>1</v>
      </c>
    </row>
    <row r="57" spans="1:15" x14ac:dyDescent="0.2">
      <c r="A57">
        <v>58</v>
      </c>
      <c r="B57" t="str" cm="1">
        <f t="array" ref="B57">_xlfn.IFS(A57&lt;=25,"18-25", A57&lt;=35,"26-35", A57&lt;=45,"36-45", A57&lt;=55,"46-55", A57&lt;=64,"56-64")</f>
        <v>56-64</v>
      </c>
      <c r="C57" t="s">
        <v>10</v>
      </c>
      <c r="D57">
        <v>36.954999999999998</v>
      </c>
      <c r="E57">
        <v>2</v>
      </c>
      <c r="F57" t="s">
        <v>8</v>
      </c>
      <c r="G57" t="s">
        <v>54</v>
      </c>
      <c r="H57" s="2">
        <v>47496.494449999998</v>
      </c>
      <c r="I57" s="2">
        <f t="shared" si="0"/>
        <v>15832.164816666666</v>
      </c>
      <c r="J57" t="str">
        <f t="shared" si="1"/>
        <v>High</v>
      </c>
      <c r="K57" s="1">
        <f t="shared" si="2"/>
        <v>0.98599999999999999</v>
      </c>
      <c r="L57" t="str">
        <f t="shared" si="3"/>
        <v>Obese</v>
      </c>
      <c r="M57" t="str">
        <f t="shared" si="4"/>
        <v>High Risk</v>
      </c>
      <c r="N57" t="str">
        <f t="shared" si="5"/>
        <v>Tier 4</v>
      </c>
      <c r="O57">
        <f t="shared" si="6"/>
        <v>5</v>
      </c>
    </row>
    <row r="58" spans="1:15" x14ac:dyDescent="0.2">
      <c r="A58">
        <v>58</v>
      </c>
      <c r="B58" t="str" cm="1">
        <f t="array" ref="B58">_xlfn.IFS(A58&lt;=25,"18-25", A58&lt;=35,"26-35", A58&lt;=45,"36-45", A58&lt;=55,"46-55", A58&lt;=64,"56-64")</f>
        <v>56-64</v>
      </c>
      <c r="C58" t="s">
        <v>7</v>
      </c>
      <c r="D58">
        <v>31.824999999999999</v>
      </c>
      <c r="E58">
        <v>2</v>
      </c>
      <c r="F58" t="s">
        <v>11</v>
      </c>
      <c r="G58" t="s">
        <v>53</v>
      </c>
      <c r="H58" s="2">
        <v>13607.36875</v>
      </c>
      <c r="I58" s="2">
        <f t="shared" si="0"/>
        <v>4535.7895833333332</v>
      </c>
      <c r="J58" t="str">
        <f t="shared" si="1"/>
        <v>High</v>
      </c>
      <c r="K58" s="1">
        <f t="shared" si="2"/>
        <v>0.69599999999999995</v>
      </c>
      <c r="L58" t="str">
        <f t="shared" si="3"/>
        <v>Obese</v>
      </c>
      <c r="M58" t="str">
        <f t="shared" si="4"/>
        <v>Standard</v>
      </c>
      <c r="N58" t="str">
        <f t="shared" si="5"/>
        <v>Tier 2</v>
      </c>
      <c r="O58">
        <f t="shared" si="6"/>
        <v>2</v>
      </c>
    </row>
    <row r="59" spans="1:15" x14ac:dyDescent="0.2">
      <c r="A59">
        <v>18</v>
      </c>
      <c r="B59" t="str" cm="1">
        <f t="array" ref="B59">_xlfn.IFS(A59&lt;=25,"18-25", A59&lt;=35,"26-35", A59&lt;=45,"36-45", A59&lt;=55,"46-55", A59&lt;=64,"56-64")</f>
        <v>18-25</v>
      </c>
      <c r="C59" t="s">
        <v>10</v>
      </c>
      <c r="D59">
        <v>31.68</v>
      </c>
      <c r="E59">
        <v>2</v>
      </c>
      <c r="F59" t="s">
        <v>8</v>
      </c>
      <c r="G59" t="s">
        <v>51</v>
      </c>
      <c r="H59" s="2">
        <v>34303.167200000004</v>
      </c>
      <c r="I59" s="2">
        <f t="shared" si="0"/>
        <v>11434.389066666668</v>
      </c>
      <c r="J59" t="str">
        <f t="shared" si="1"/>
        <v>High</v>
      </c>
      <c r="K59" s="1">
        <f t="shared" si="2"/>
        <v>0.89400000000000002</v>
      </c>
      <c r="L59" t="str">
        <f t="shared" si="3"/>
        <v>Obese</v>
      </c>
      <c r="M59" t="str">
        <f t="shared" si="4"/>
        <v>High Risk</v>
      </c>
      <c r="N59" t="str">
        <f t="shared" si="5"/>
        <v>Tier 1</v>
      </c>
      <c r="O59">
        <f t="shared" si="6"/>
        <v>6</v>
      </c>
    </row>
    <row r="60" spans="1:15" x14ac:dyDescent="0.2">
      <c r="A60">
        <v>53</v>
      </c>
      <c r="B60" t="str" cm="1">
        <f t="array" ref="B60">_xlfn.IFS(A60&lt;=25,"18-25", A60&lt;=35,"26-35", A60&lt;=45,"36-45", A60&lt;=55,"46-55", A60&lt;=64,"56-64")</f>
        <v>46-55</v>
      </c>
      <c r="C60" t="s">
        <v>7</v>
      </c>
      <c r="D60">
        <v>22.88</v>
      </c>
      <c r="E60">
        <v>1</v>
      </c>
      <c r="F60" t="s">
        <v>8</v>
      </c>
      <c r="G60" t="s">
        <v>51</v>
      </c>
      <c r="H60" s="2">
        <v>23244.790199999999</v>
      </c>
      <c r="I60" s="2">
        <f t="shared" si="0"/>
        <v>11622.3951</v>
      </c>
      <c r="J60" t="str">
        <f t="shared" si="1"/>
        <v>High</v>
      </c>
      <c r="K60" s="1">
        <f t="shared" si="2"/>
        <v>0.83099999999999996</v>
      </c>
      <c r="L60" t="str">
        <f t="shared" si="3"/>
        <v>Normal</v>
      </c>
      <c r="M60" t="str">
        <f t="shared" si="4"/>
        <v>High Risk</v>
      </c>
      <c r="N60" t="str">
        <f t="shared" si="5"/>
        <v>Tier 1</v>
      </c>
      <c r="O60">
        <f t="shared" si="6"/>
        <v>4</v>
      </c>
    </row>
    <row r="61" spans="1:15" x14ac:dyDescent="0.2">
      <c r="A61">
        <v>34</v>
      </c>
      <c r="B61" t="str" cm="1">
        <f t="array" ref="B61">_xlfn.IFS(A61&lt;=25,"18-25", A61&lt;=35,"26-35", A61&lt;=45,"36-45", A61&lt;=55,"46-55", A61&lt;=64,"56-64")</f>
        <v>26-35</v>
      </c>
      <c r="C61" t="s">
        <v>7</v>
      </c>
      <c r="D61">
        <v>37.335000000000001</v>
      </c>
      <c r="E61">
        <v>2</v>
      </c>
      <c r="F61" t="s">
        <v>11</v>
      </c>
      <c r="G61" t="s">
        <v>54</v>
      </c>
      <c r="H61" s="2">
        <v>5989.5236500000001</v>
      </c>
      <c r="I61" s="2">
        <f t="shared" si="0"/>
        <v>1996.5078833333334</v>
      </c>
      <c r="J61" t="str">
        <f t="shared" si="1"/>
        <v>Low</v>
      </c>
      <c r="K61" s="1">
        <f t="shared" si="2"/>
        <v>0.32</v>
      </c>
      <c r="L61" t="str">
        <f t="shared" si="3"/>
        <v>Obese</v>
      </c>
      <c r="M61" t="str">
        <f t="shared" si="4"/>
        <v>Standard</v>
      </c>
      <c r="N61" t="str">
        <f t="shared" si="5"/>
        <v>Tier 4</v>
      </c>
      <c r="O61">
        <f t="shared" si="6"/>
        <v>2</v>
      </c>
    </row>
    <row r="62" spans="1:15" x14ac:dyDescent="0.2">
      <c r="A62">
        <v>43</v>
      </c>
      <c r="B62" t="str" cm="1">
        <f t="array" ref="B62">_xlfn.IFS(A62&lt;=25,"18-25", A62&lt;=35,"26-35", A62&lt;=45,"36-45", A62&lt;=55,"46-55", A62&lt;=64,"56-64")</f>
        <v>36-45</v>
      </c>
      <c r="C62" t="s">
        <v>10</v>
      </c>
      <c r="D62">
        <v>27.36</v>
      </c>
      <c r="E62">
        <v>3</v>
      </c>
      <c r="F62" t="s">
        <v>11</v>
      </c>
      <c r="G62" t="s">
        <v>53</v>
      </c>
      <c r="H62" s="2">
        <v>8606.2173999999995</v>
      </c>
      <c r="I62" s="2">
        <f t="shared" si="0"/>
        <v>2151.5543499999999</v>
      </c>
      <c r="J62" t="str">
        <f t="shared" si="1"/>
        <v>Low</v>
      </c>
      <c r="K62" s="1">
        <f t="shared" si="2"/>
        <v>0.46500000000000002</v>
      </c>
      <c r="L62" t="str">
        <f t="shared" si="3"/>
        <v>Overweight</v>
      </c>
      <c r="M62" t="str">
        <f t="shared" si="4"/>
        <v>Standard</v>
      </c>
      <c r="N62" t="str">
        <f t="shared" si="5"/>
        <v>Tier 2</v>
      </c>
      <c r="O62">
        <f t="shared" si="6"/>
        <v>1</v>
      </c>
    </row>
    <row r="63" spans="1:15" x14ac:dyDescent="0.2">
      <c r="A63">
        <v>25</v>
      </c>
      <c r="B63" t="str" cm="1">
        <f t="array" ref="B63">_xlfn.IFS(A63&lt;=25,"18-25", A63&lt;=35,"26-35", A63&lt;=45,"36-45", A63&lt;=55,"46-55", A63&lt;=64,"56-64")</f>
        <v>18-25</v>
      </c>
      <c r="C63" t="s">
        <v>10</v>
      </c>
      <c r="D63">
        <v>33.659999999999997</v>
      </c>
      <c r="E63">
        <v>4</v>
      </c>
      <c r="F63" t="s">
        <v>11</v>
      </c>
      <c r="G63" t="s">
        <v>51</v>
      </c>
      <c r="H63" s="2">
        <v>4504.6624000000002</v>
      </c>
      <c r="I63" s="2">
        <f t="shared" si="0"/>
        <v>900.93248000000006</v>
      </c>
      <c r="J63" t="str">
        <f t="shared" si="1"/>
        <v>Low</v>
      </c>
      <c r="K63" s="1">
        <f t="shared" si="2"/>
        <v>0.23400000000000001</v>
      </c>
      <c r="L63" t="str">
        <f t="shared" si="3"/>
        <v>Obese</v>
      </c>
      <c r="M63" t="str">
        <f t="shared" si="4"/>
        <v>Standard</v>
      </c>
      <c r="N63" t="str">
        <f t="shared" si="5"/>
        <v>Tier 1</v>
      </c>
      <c r="O63">
        <f t="shared" si="6"/>
        <v>3</v>
      </c>
    </row>
    <row r="64" spans="1:15" x14ac:dyDescent="0.2">
      <c r="A64">
        <v>64</v>
      </c>
      <c r="B64" t="str" cm="1">
        <f t="array" ref="B64">_xlfn.IFS(A64&lt;=25,"18-25", A64&lt;=35,"26-35", A64&lt;=45,"36-45", A64&lt;=55,"46-55", A64&lt;=64,"56-64")</f>
        <v>56-64</v>
      </c>
      <c r="C64" t="s">
        <v>10</v>
      </c>
      <c r="D64">
        <v>24.7</v>
      </c>
      <c r="E64">
        <v>1</v>
      </c>
      <c r="F64" t="s">
        <v>11</v>
      </c>
      <c r="G64" t="s">
        <v>54</v>
      </c>
      <c r="H64" s="2">
        <v>30166.618170000002</v>
      </c>
      <c r="I64" s="2">
        <f t="shared" si="0"/>
        <v>15083.309085000001</v>
      </c>
      <c r="J64" t="str">
        <f t="shared" si="1"/>
        <v>High</v>
      </c>
      <c r="K64" s="1">
        <f t="shared" si="2"/>
        <v>0.88</v>
      </c>
      <c r="L64" t="str">
        <f t="shared" si="3"/>
        <v>Normal</v>
      </c>
      <c r="M64" t="str">
        <f t="shared" si="4"/>
        <v>Standard</v>
      </c>
      <c r="N64" t="str">
        <f t="shared" si="5"/>
        <v>Tier 4</v>
      </c>
      <c r="O64">
        <f t="shared" si="6"/>
        <v>0</v>
      </c>
    </row>
    <row r="65" spans="1:15" x14ac:dyDescent="0.2">
      <c r="A65">
        <v>28</v>
      </c>
      <c r="B65" t="str" cm="1">
        <f t="array" ref="B65">_xlfn.IFS(A65&lt;=25,"18-25", A65&lt;=35,"26-35", A65&lt;=45,"36-45", A65&lt;=55,"46-55", A65&lt;=64,"56-64")</f>
        <v>26-35</v>
      </c>
      <c r="C65" t="s">
        <v>7</v>
      </c>
      <c r="D65">
        <v>25.934999999999999</v>
      </c>
      <c r="E65">
        <v>1</v>
      </c>
      <c r="F65" t="s">
        <v>11</v>
      </c>
      <c r="G65" t="s">
        <v>54</v>
      </c>
      <c r="H65" s="2">
        <v>4133.6416499999996</v>
      </c>
      <c r="I65" s="2">
        <f t="shared" si="0"/>
        <v>2066.8208249999998</v>
      </c>
      <c r="J65" t="str">
        <f t="shared" si="1"/>
        <v>Low</v>
      </c>
      <c r="K65" s="1">
        <f t="shared" si="2"/>
        <v>0.20599999999999999</v>
      </c>
      <c r="L65" t="str">
        <f t="shared" si="3"/>
        <v>Overweight</v>
      </c>
      <c r="M65" t="str">
        <f t="shared" si="4"/>
        <v>Standard</v>
      </c>
      <c r="N65" t="str">
        <f t="shared" si="5"/>
        <v>Tier 4</v>
      </c>
      <c r="O65">
        <f t="shared" si="6"/>
        <v>1</v>
      </c>
    </row>
    <row r="66" spans="1:15" x14ac:dyDescent="0.2">
      <c r="A66">
        <v>20</v>
      </c>
      <c r="B66" t="str" cm="1">
        <f t="array" ref="B66">_xlfn.IFS(A66&lt;=25,"18-25", A66&lt;=35,"26-35", A66&lt;=45,"36-45", A66&lt;=55,"46-55", A66&lt;=64,"56-64")</f>
        <v>18-25</v>
      </c>
      <c r="C66" t="s">
        <v>7</v>
      </c>
      <c r="D66">
        <v>22.42</v>
      </c>
      <c r="E66">
        <v>0</v>
      </c>
      <c r="F66" t="s">
        <v>8</v>
      </c>
      <c r="G66" t="s">
        <v>54</v>
      </c>
      <c r="H66" s="2">
        <v>14711.7438</v>
      </c>
      <c r="I66" s="2">
        <f t="shared" ref="I66:I129" si="7">H66/(E66+1)</f>
        <v>14711.7438</v>
      </c>
      <c r="J66" t="str">
        <f t="shared" ref="J66:J129" si="8">IF(H66&gt;AVERAGE($H$2:$H$1339),"High","Low")</f>
        <v>High</v>
      </c>
      <c r="K66" s="1">
        <f t="shared" ref="K66:K129" si="9">PERCENTRANK($H$2:$H$1339,H66)</f>
        <v>0.73</v>
      </c>
      <c r="L66" t="str">
        <f t="shared" ref="L66:L129" si="10">IF(D66&lt;18.5,"Underweight",IF(D66&lt;25,"Normal",IF(D66&lt;30,"Overweight","Obese")))</f>
        <v>Normal</v>
      </c>
      <c r="M66" t="str">
        <f t="shared" ref="M66:M129" si="11">IF(F66="yes","High Risk","Standard")</f>
        <v>High Risk</v>
      </c>
      <c r="N66" t="str">
        <f t="shared" ref="N66:N129" si="12">IF(G66="southeast","Tier 1",IF(G66="northeast","Tier 2",IF(G66="southwest","Tier 3","Tier 4")))</f>
        <v>Tier 4</v>
      </c>
      <c r="O66">
        <f t="shared" ref="O66:O129" si="13">IF(F66="yes",3,0)+IF(D66&gt;=30,2,IF(D66&gt;=25,1,0))+IF(G66="southeast",1,0)</f>
        <v>3</v>
      </c>
    </row>
    <row r="67" spans="1:15" x14ac:dyDescent="0.2">
      <c r="A67">
        <v>19</v>
      </c>
      <c r="B67" t="str" cm="1">
        <f t="array" ref="B67">_xlfn.IFS(A67&lt;=25,"18-25", A67&lt;=35,"26-35", A67&lt;=45,"36-45", A67&lt;=55,"46-55", A67&lt;=64,"56-64")</f>
        <v>18-25</v>
      </c>
      <c r="C67" t="s">
        <v>7</v>
      </c>
      <c r="D67">
        <v>28.9</v>
      </c>
      <c r="E67">
        <v>0</v>
      </c>
      <c r="F67" t="s">
        <v>11</v>
      </c>
      <c r="G67" t="s">
        <v>52</v>
      </c>
      <c r="H67" s="2">
        <v>1743.2139999999999</v>
      </c>
      <c r="I67" s="2">
        <f t="shared" si="7"/>
        <v>1743.2139999999999</v>
      </c>
      <c r="J67" t="str">
        <f t="shared" si="8"/>
        <v>Low</v>
      </c>
      <c r="K67" s="1">
        <f t="shared" si="9"/>
        <v>4.7E-2</v>
      </c>
      <c r="L67" t="str">
        <f t="shared" si="10"/>
        <v>Overweight</v>
      </c>
      <c r="M67" t="str">
        <f t="shared" si="11"/>
        <v>Standard</v>
      </c>
      <c r="N67" t="str">
        <f t="shared" si="12"/>
        <v>Tier 3</v>
      </c>
      <c r="O67">
        <f t="shared" si="13"/>
        <v>1</v>
      </c>
    </row>
    <row r="68" spans="1:15" x14ac:dyDescent="0.2">
      <c r="A68">
        <v>61</v>
      </c>
      <c r="B68" t="str" cm="1">
        <f t="array" ref="B68">_xlfn.IFS(A68&lt;=25,"18-25", A68&lt;=35,"26-35", A68&lt;=45,"36-45", A68&lt;=55,"46-55", A68&lt;=64,"56-64")</f>
        <v>56-64</v>
      </c>
      <c r="C68" t="s">
        <v>7</v>
      </c>
      <c r="D68">
        <v>39.1</v>
      </c>
      <c r="E68">
        <v>2</v>
      </c>
      <c r="F68" t="s">
        <v>11</v>
      </c>
      <c r="G68" t="s">
        <v>52</v>
      </c>
      <c r="H68" s="2">
        <v>14235.072</v>
      </c>
      <c r="I68" s="2">
        <f t="shared" si="7"/>
        <v>4745.0240000000003</v>
      </c>
      <c r="J68" t="str">
        <f t="shared" si="8"/>
        <v>High</v>
      </c>
      <c r="K68" s="1">
        <f t="shared" si="9"/>
        <v>0.71399999999999997</v>
      </c>
      <c r="L68" t="str">
        <f t="shared" si="10"/>
        <v>Obese</v>
      </c>
      <c r="M68" t="str">
        <f t="shared" si="11"/>
        <v>Standard</v>
      </c>
      <c r="N68" t="str">
        <f t="shared" si="12"/>
        <v>Tier 3</v>
      </c>
      <c r="O68">
        <f t="shared" si="13"/>
        <v>2</v>
      </c>
    </row>
    <row r="69" spans="1:15" x14ac:dyDescent="0.2">
      <c r="A69">
        <v>40</v>
      </c>
      <c r="B69" t="str" cm="1">
        <f t="array" ref="B69">_xlfn.IFS(A69&lt;=25,"18-25", A69&lt;=35,"26-35", A69&lt;=45,"36-45", A69&lt;=55,"46-55", A69&lt;=64,"56-64")</f>
        <v>36-45</v>
      </c>
      <c r="C69" t="s">
        <v>10</v>
      </c>
      <c r="D69">
        <v>26.315000000000001</v>
      </c>
      <c r="E69">
        <v>1</v>
      </c>
      <c r="F69" t="s">
        <v>11</v>
      </c>
      <c r="G69" t="s">
        <v>54</v>
      </c>
      <c r="H69" s="2">
        <v>6389.3778499999999</v>
      </c>
      <c r="I69" s="2">
        <f t="shared" si="7"/>
        <v>3194.6889249999999</v>
      </c>
      <c r="J69" t="str">
        <f t="shared" si="8"/>
        <v>Low</v>
      </c>
      <c r="K69" s="1">
        <f t="shared" si="9"/>
        <v>0.34100000000000003</v>
      </c>
      <c r="L69" t="str">
        <f t="shared" si="10"/>
        <v>Overweight</v>
      </c>
      <c r="M69" t="str">
        <f t="shared" si="11"/>
        <v>Standard</v>
      </c>
      <c r="N69" t="str">
        <f t="shared" si="12"/>
        <v>Tier 4</v>
      </c>
      <c r="O69">
        <f t="shared" si="13"/>
        <v>1</v>
      </c>
    </row>
    <row r="70" spans="1:15" x14ac:dyDescent="0.2">
      <c r="A70">
        <v>40</v>
      </c>
      <c r="B70" t="str" cm="1">
        <f t="array" ref="B70">_xlfn.IFS(A70&lt;=25,"18-25", A70&lt;=35,"26-35", A70&lt;=45,"36-45", A70&lt;=55,"46-55", A70&lt;=64,"56-64")</f>
        <v>36-45</v>
      </c>
      <c r="C70" t="s">
        <v>7</v>
      </c>
      <c r="D70">
        <v>36.19</v>
      </c>
      <c r="E70">
        <v>0</v>
      </c>
      <c r="F70" t="s">
        <v>11</v>
      </c>
      <c r="G70" t="s">
        <v>51</v>
      </c>
      <c r="H70" s="2">
        <v>5920.1040999999996</v>
      </c>
      <c r="I70" s="2">
        <f t="shared" si="7"/>
        <v>5920.1040999999996</v>
      </c>
      <c r="J70" t="str">
        <f t="shared" si="8"/>
        <v>Low</v>
      </c>
      <c r="K70" s="1">
        <f t="shared" si="9"/>
        <v>0.313</v>
      </c>
      <c r="L70" t="str">
        <f t="shared" si="10"/>
        <v>Obese</v>
      </c>
      <c r="M70" t="str">
        <f t="shared" si="11"/>
        <v>Standard</v>
      </c>
      <c r="N70" t="str">
        <f t="shared" si="12"/>
        <v>Tier 1</v>
      </c>
      <c r="O70">
        <f t="shared" si="13"/>
        <v>3</v>
      </c>
    </row>
    <row r="71" spans="1:15" x14ac:dyDescent="0.2">
      <c r="A71">
        <v>28</v>
      </c>
      <c r="B71" t="str" cm="1">
        <f t="array" ref="B71">_xlfn.IFS(A71&lt;=25,"18-25", A71&lt;=35,"26-35", A71&lt;=45,"36-45", A71&lt;=55,"46-55", A71&lt;=64,"56-64")</f>
        <v>26-35</v>
      </c>
      <c r="C71" t="s">
        <v>10</v>
      </c>
      <c r="D71">
        <v>23.98</v>
      </c>
      <c r="E71">
        <v>3</v>
      </c>
      <c r="F71" t="s">
        <v>8</v>
      </c>
      <c r="G71" t="s">
        <v>51</v>
      </c>
      <c r="H71" s="2">
        <v>17663.144199999999</v>
      </c>
      <c r="I71" s="2">
        <f t="shared" si="7"/>
        <v>4415.7860499999997</v>
      </c>
      <c r="J71" t="str">
        <f t="shared" si="8"/>
        <v>High</v>
      </c>
      <c r="K71" s="1">
        <f t="shared" si="9"/>
        <v>0.76200000000000001</v>
      </c>
      <c r="L71" t="str">
        <f t="shared" si="10"/>
        <v>Normal</v>
      </c>
      <c r="M71" t="str">
        <f t="shared" si="11"/>
        <v>High Risk</v>
      </c>
      <c r="N71" t="str">
        <f t="shared" si="12"/>
        <v>Tier 1</v>
      </c>
      <c r="O71">
        <f t="shared" si="13"/>
        <v>4</v>
      </c>
    </row>
    <row r="72" spans="1:15" x14ac:dyDescent="0.2">
      <c r="A72">
        <v>27</v>
      </c>
      <c r="B72" t="str" cm="1">
        <f t="array" ref="B72">_xlfn.IFS(A72&lt;=25,"18-25", A72&lt;=35,"26-35", A72&lt;=45,"36-45", A72&lt;=55,"46-55", A72&lt;=64,"56-64")</f>
        <v>26-35</v>
      </c>
      <c r="C72" t="s">
        <v>7</v>
      </c>
      <c r="D72">
        <v>24.75</v>
      </c>
      <c r="E72">
        <v>0</v>
      </c>
      <c r="F72" t="s">
        <v>8</v>
      </c>
      <c r="G72" t="s">
        <v>51</v>
      </c>
      <c r="H72" s="2">
        <v>16577.779500000001</v>
      </c>
      <c r="I72" s="2">
        <f t="shared" si="7"/>
        <v>16577.779500000001</v>
      </c>
      <c r="J72" t="str">
        <f t="shared" si="8"/>
        <v>High</v>
      </c>
      <c r="K72" s="1">
        <f t="shared" si="9"/>
        <v>0.748</v>
      </c>
      <c r="L72" t="str">
        <f t="shared" si="10"/>
        <v>Normal</v>
      </c>
      <c r="M72" t="str">
        <f t="shared" si="11"/>
        <v>High Risk</v>
      </c>
      <c r="N72" t="str">
        <f t="shared" si="12"/>
        <v>Tier 1</v>
      </c>
      <c r="O72">
        <f t="shared" si="13"/>
        <v>4</v>
      </c>
    </row>
    <row r="73" spans="1:15" x14ac:dyDescent="0.2">
      <c r="A73">
        <v>31</v>
      </c>
      <c r="B73" t="str" cm="1">
        <f t="array" ref="B73">_xlfn.IFS(A73&lt;=25,"18-25", A73&lt;=35,"26-35", A73&lt;=45,"36-45", A73&lt;=55,"46-55", A73&lt;=64,"56-64")</f>
        <v>26-35</v>
      </c>
      <c r="C73" t="s">
        <v>10</v>
      </c>
      <c r="D73">
        <v>28.5</v>
      </c>
      <c r="E73">
        <v>5</v>
      </c>
      <c r="F73" t="s">
        <v>11</v>
      </c>
      <c r="G73" t="s">
        <v>53</v>
      </c>
      <c r="H73" s="2">
        <v>6799.4579999999996</v>
      </c>
      <c r="I73" s="2">
        <f t="shared" si="7"/>
        <v>1133.2429999999999</v>
      </c>
      <c r="J73" t="str">
        <f t="shared" si="8"/>
        <v>Low</v>
      </c>
      <c r="K73" s="1">
        <f t="shared" si="9"/>
        <v>0.36699999999999999</v>
      </c>
      <c r="L73" t="str">
        <f t="shared" si="10"/>
        <v>Overweight</v>
      </c>
      <c r="M73" t="str">
        <f t="shared" si="11"/>
        <v>Standard</v>
      </c>
      <c r="N73" t="str">
        <f t="shared" si="12"/>
        <v>Tier 2</v>
      </c>
      <c r="O73">
        <f t="shared" si="13"/>
        <v>1</v>
      </c>
    </row>
    <row r="74" spans="1:15" x14ac:dyDescent="0.2">
      <c r="A74">
        <v>53</v>
      </c>
      <c r="B74" t="str" cm="1">
        <f t="array" ref="B74">_xlfn.IFS(A74&lt;=25,"18-25", A74&lt;=35,"26-35", A74&lt;=45,"36-45", A74&lt;=55,"46-55", A74&lt;=64,"56-64")</f>
        <v>46-55</v>
      </c>
      <c r="C74" t="s">
        <v>7</v>
      </c>
      <c r="D74">
        <v>28.1</v>
      </c>
      <c r="E74">
        <v>3</v>
      </c>
      <c r="F74" t="s">
        <v>11</v>
      </c>
      <c r="G74" t="s">
        <v>52</v>
      </c>
      <c r="H74" s="2">
        <v>11741.726000000001</v>
      </c>
      <c r="I74" s="2">
        <f t="shared" si="7"/>
        <v>2935.4315000000001</v>
      </c>
      <c r="J74" t="str">
        <f t="shared" si="8"/>
        <v>Low</v>
      </c>
      <c r="K74" s="1">
        <f t="shared" si="9"/>
        <v>0.61599999999999999</v>
      </c>
      <c r="L74" t="str">
        <f t="shared" si="10"/>
        <v>Overweight</v>
      </c>
      <c r="M74" t="str">
        <f t="shared" si="11"/>
        <v>Standard</v>
      </c>
      <c r="N74" t="str">
        <f t="shared" si="12"/>
        <v>Tier 3</v>
      </c>
      <c r="O74">
        <f t="shared" si="13"/>
        <v>1</v>
      </c>
    </row>
    <row r="75" spans="1:15" x14ac:dyDescent="0.2">
      <c r="A75">
        <v>58</v>
      </c>
      <c r="B75" t="str" cm="1">
        <f t="array" ref="B75">_xlfn.IFS(A75&lt;=25,"18-25", A75&lt;=35,"26-35", A75&lt;=45,"36-45", A75&lt;=55,"46-55", A75&lt;=64,"56-64")</f>
        <v>56-64</v>
      </c>
      <c r="C75" t="s">
        <v>10</v>
      </c>
      <c r="D75">
        <v>32.01</v>
      </c>
      <c r="E75">
        <v>1</v>
      </c>
      <c r="F75" t="s">
        <v>11</v>
      </c>
      <c r="G75" t="s">
        <v>51</v>
      </c>
      <c r="H75" s="2">
        <v>11946.625899999999</v>
      </c>
      <c r="I75" s="2">
        <f t="shared" si="7"/>
        <v>5973.3129499999995</v>
      </c>
      <c r="J75" t="str">
        <f t="shared" si="8"/>
        <v>Low</v>
      </c>
      <c r="K75" s="1">
        <f t="shared" si="9"/>
        <v>0.63100000000000001</v>
      </c>
      <c r="L75" t="str">
        <f t="shared" si="10"/>
        <v>Obese</v>
      </c>
      <c r="M75" t="str">
        <f t="shared" si="11"/>
        <v>Standard</v>
      </c>
      <c r="N75" t="str">
        <f t="shared" si="12"/>
        <v>Tier 1</v>
      </c>
      <c r="O75">
        <f t="shared" si="13"/>
        <v>3</v>
      </c>
    </row>
    <row r="76" spans="1:15" x14ac:dyDescent="0.2">
      <c r="A76">
        <v>44</v>
      </c>
      <c r="B76" t="str" cm="1">
        <f t="array" ref="B76">_xlfn.IFS(A76&lt;=25,"18-25", A76&lt;=35,"26-35", A76&lt;=45,"36-45", A76&lt;=55,"46-55", A76&lt;=64,"56-64")</f>
        <v>36-45</v>
      </c>
      <c r="C76" t="s">
        <v>10</v>
      </c>
      <c r="D76">
        <v>27.4</v>
      </c>
      <c r="E76">
        <v>2</v>
      </c>
      <c r="F76" t="s">
        <v>11</v>
      </c>
      <c r="G76" t="s">
        <v>52</v>
      </c>
      <c r="H76" s="2">
        <v>7726.8540000000003</v>
      </c>
      <c r="I76" s="2">
        <f t="shared" si="7"/>
        <v>2575.6179999999999</v>
      </c>
      <c r="J76" t="str">
        <f t="shared" si="8"/>
        <v>Low</v>
      </c>
      <c r="K76" s="1">
        <f t="shared" si="9"/>
        <v>0.41499999999999998</v>
      </c>
      <c r="L76" t="str">
        <f t="shared" si="10"/>
        <v>Overweight</v>
      </c>
      <c r="M76" t="str">
        <f t="shared" si="11"/>
        <v>Standard</v>
      </c>
      <c r="N76" t="str">
        <f t="shared" si="12"/>
        <v>Tier 3</v>
      </c>
      <c r="O76">
        <f t="shared" si="13"/>
        <v>1</v>
      </c>
    </row>
    <row r="77" spans="1:15" x14ac:dyDescent="0.2">
      <c r="A77">
        <v>57</v>
      </c>
      <c r="B77" t="str" cm="1">
        <f t="array" ref="B77">_xlfn.IFS(A77&lt;=25,"18-25", A77&lt;=35,"26-35", A77&lt;=45,"36-45", A77&lt;=55,"46-55", A77&lt;=64,"56-64")</f>
        <v>56-64</v>
      </c>
      <c r="C77" t="s">
        <v>10</v>
      </c>
      <c r="D77">
        <v>34.01</v>
      </c>
      <c r="E77">
        <v>0</v>
      </c>
      <c r="F77" t="s">
        <v>11</v>
      </c>
      <c r="G77" t="s">
        <v>54</v>
      </c>
      <c r="H77" s="2">
        <v>11356.660900000001</v>
      </c>
      <c r="I77" s="2">
        <f t="shared" si="7"/>
        <v>11356.660900000001</v>
      </c>
      <c r="J77" t="str">
        <f t="shared" si="8"/>
        <v>Low</v>
      </c>
      <c r="K77" s="1">
        <f t="shared" si="9"/>
        <v>0.59499999999999997</v>
      </c>
      <c r="L77" t="str">
        <f t="shared" si="10"/>
        <v>Obese</v>
      </c>
      <c r="M77" t="str">
        <f t="shared" si="11"/>
        <v>Standard</v>
      </c>
      <c r="N77" t="str">
        <f t="shared" si="12"/>
        <v>Tier 4</v>
      </c>
      <c r="O77">
        <f t="shared" si="13"/>
        <v>2</v>
      </c>
    </row>
    <row r="78" spans="1:15" x14ac:dyDescent="0.2">
      <c r="A78">
        <v>29</v>
      </c>
      <c r="B78" t="str" cm="1">
        <f t="array" ref="B78">_xlfn.IFS(A78&lt;=25,"18-25", A78&lt;=35,"26-35", A78&lt;=45,"36-45", A78&lt;=55,"46-55", A78&lt;=64,"56-64")</f>
        <v>26-35</v>
      </c>
      <c r="C78" t="s">
        <v>7</v>
      </c>
      <c r="D78">
        <v>29.59</v>
      </c>
      <c r="E78">
        <v>1</v>
      </c>
      <c r="F78" t="s">
        <v>11</v>
      </c>
      <c r="G78" t="s">
        <v>51</v>
      </c>
      <c r="H78" s="2">
        <v>3947.4131000000002</v>
      </c>
      <c r="I78" s="2">
        <f t="shared" si="7"/>
        <v>1973.7065500000001</v>
      </c>
      <c r="J78" t="str">
        <f t="shared" si="8"/>
        <v>Low</v>
      </c>
      <c r="K78" s="1">
        <f t="shared" si="9"/>
        <v>0.19500000000000001</v>
      </c>
      <c r="L78" t="str">
        <f t="shared" si="10"/>
        <v>Overweight</v>
      </c>
      <c r="M78" t="str">
        <f t="shared" si="11"/>
        <v>Standard</v>
      </c>
      <c r="N78" t="str">
        <f t="shared" si="12"/>
        <v>Tier 1</v>
      </c>
      <c r="O78">
        <f t="shared" si="13"/>
        <v>2</v>
      </c>
    </row>
    <row r="79" spans="1:15" x14ac:dyDescent="0.2">
      <c r="A79">
        <v>21</v>
      </c>
      <c r="B79" t="str" cm="1">
        <f t="array" ref="B79">_xlfn.IFS(A79&lt;=25,"18-25", A79&lt;=35,"26-35", A79&lt;=45,"36-45", A79&lt;=55,"46-55", A79&lt;=64,"56-64")</f>
        <v>18-25</v>
      </c>
      <c r="C79" t="s">
        <v>10</v>
      </c>
      <c r="D79">
        <v>35.53</v>
      </c>
      <c r="E79">
        <v>0</v>
      </c>
      <c r="F79" t="s">
        <v>11</v>
      </c>
      <c r="G79" t="s">
        <v>51</v>
      </c>
      <c r="H79" s="2">
        <v>1532.4697000000001</v>
      </c>
      <c r="I79" s="2">
        <f t="shared" si="7"/>
        <v>1532.4697000000001</v>
      </c>
      <c r="J79" t="str">
        <f t="shared" si="8"/>
        <v>Low</v>
      </c>
      <c r="K79" s="1">
        <f t="shared" si="9"/>
        <v>1.6E-2</v>
      </c>
      <c r="L79" t="str">
        <f t="shared" si="10"/>
        <v>Obese</v>
      </c>
      <c r="M79" t="str">
        <f t="shared" si="11"/>
        <v>Standard</v>
      </c>
      <c r="N79" t="str">
        <f t="shared" si="12"/>
        <v>Tier 1</v>
      </c>
      <c r="O79">
        <f t="shared" si="13"/>
        <v>3</v>
      </c>
    </row>
    <row r="80" spans="1:15" x14ac:dyDescent="0.2">
      <c r="A80">
        <v>22</v>
      </c>
      <c r="B80" t="str" cm="1">
        <f t="array" ref="B80">_xlfn.IFS(A80&lt;=25,"18-25", A80&lt;=35,"26-35", A80&lt;=45,"36-45", A80&lt;=55,"46-55", A80&lt;=64,"56-64")</f>
        <v>18-25</v>
      </c>
      <c r="C80" t="s">
        <v>7</v>
      </c>
      <c r="D80">
        <v>39.805</v>
      </c>
      <c r="E80">
        <v>0</v>
      </c>
      <c r="F80" t="s">
        <v>11</v>
      </c>
      <c r="G80" t="s">
        <v>53</v>
      </c>
      <c r="H80" s="2">
        <v>2755.0209500000001</v>
      </c>
      <c r="I80" s="2">
        <f t="shared" si="7"/>
        <v>2755.0209500000001</v>
      </c>
      <c r="J80" t="str">
        <f t="shared" si="8"/>
        <v>Low</v>
      </c>
      <c r="K80" s="1">
        <f t="shared" si="9"/>
        <v>0.13</v>
      </c>
      <c r="L80" t="str">
        <f t="shared" si="10"/>
        <v>Obese</v>
      </c>
      <c r="M80" t="str">
        <f t="shared" si="11"/>
        <v>Standard</v>
      </c>
      <c r="N80" t="str">
        <f t="shared" si="12"/>
        <v>Tier 2</v>
      </c>
      <c r="O80">
        <f t="shared" si="13"/>
        <v>2</v>
      </c>
    </row>
    <row r="81" spans="1:15" x14ac:dyDescent="0.2">
      <c r="A81">
        <v>41</v>
      </c>
      <c r="B81" t="str" cm="1">
        <f t="array" ref="B81">_xlfn.IFS(A81&lt;=25,"18-25", A81&lt;=35,"26-35", A81&lt;=45,"36-45", A81&lt;=55,"46-55", A81&lt;=64,"56-64")</f>
        <v>36-45</v>
      </c>
      <c r="C81" t="s">
        <v>7</v>
      </c>
      <c r="D81">
        <v>32.965000000000003</v>
      </c>
      <c r="E81">
        <v>0</v>
      </c>
      <c r="F81" t="s">
        <v>11</v>
      </c>
      <c r="G81" t="s">
        <v>54</v>
      </c>
      <c r="H81" s="2">
        <v>6571.0243499999997</v>
      </c>
      <c r="I81" s="2">
        <f t="shared" si="7"/>
        <v>6571.0243499999997</v>
      </c>
      <c r="J81" t="str">
        <f t="shared" si="8"/>
        <v>Low</v>
      </c>
      <c r="K81" s="1">
        <f t="shared" si="9"/>
        <v>0.35199999999999998</v>
      </c>
      <c r="L81" t="str">
        <f t="shared" si="10"/>
        <v>Obese</v>
      </c>
      <c r="M81" t="str">
        <f t="shared" si="11"/>
        <v>Standard</v>
      </c>
      <c r="N81" t="str">
        <f t="shared" si="12"/>
        <v>Tier 4</v>
      </c>
      <c r="O81">
        <f t="shared" si="13"/>
        <v>2</v>
      </c>
    </row>
    <row r="82" spans="1:15" x14ac:dyDescent="0.2">
      <c r="A82">
        <v>31</v>
      </c>
      <c r="B82" t="str" cm="1">
        <f t="array" ref="B82">_xlfn.IFS(A82&lt;=25,"18-25", A82&lt;=35,"26-35", A82&lt;=45,"36-45", A82&lt;=55,"46-55", A82&lt;=64,"56-64")</f>
        <v>26-35</v>
      </c>
      <c r="C82" t="s">
        <v>10</v>
      </c>
      <c r="D82">
        <v>26.885000000000002</v>
      </c>
      <c r="E82">
        <v>1</v>
      </c>
      <c r="F82" t="s">
        <v>11</v>
      </c>
      <c r="G82" t="s">
        <v>53</v>
      </c>
      <c r="H82" s="2">
        <v>4441.2131499999996</v>
      </c>
      <c r="I82" s="2">
        <f t="shared" si="7"/>
        <v>2220.6065749999998</v>
      </c>
      <c r="J82" t="str">
        <f t="shared" si="8"/>
        <v>Low</v>
      </c>
      <c r="K82" s="1">
        <f t="shared" si="9"/>
        <v>0.22800000000000001</v>
      </c>
      <c r="L82" t="str">
        <f t="shared" si="10"/>
        <v>Overweight</v>
      </c>
      <c r="M82" t="str">
        <f t="shared" si="11"/>
        <v>Standard</v>
      </c>
      <c r="N82" t="str">
        <f t="shared" si="12"/>
        <v>Tier 2</v>
      </c>
      <c r="O82">
        <f t="shared" si="13"/>
        <v>1</v>
      </c>
    </row>
    <row r="83" spans="1:15" x14ac:dyDescent="0.2">
      <c r="A83">
        <v>45</v>
      </c>
      <c r="B83" t="str" cm="1">
        <f t="array" ref="B83">_xlfn.IFS(A83&lt;=25,"18-25", A83&lt;=35,"26-35", A83&lt;=45,"36-45", A83&lt;=55,"46-55", A83&lt;=64,"56-64")</f>
        <v>36-45</v>
      </c>
      <c r="C83" t="s">
        <v>7</v>
      </c>
      <c r="D83">
        <v>38.284999999999997</v>
      </c>
      <c r="E83">
        <v>0</v>
      </c>
      <c r="F83" t="s">
        <v>11</v>
      </c>
      <c r="G83" t="s">
        <v>53</v>
      </c>
      <c r="H83" s="2">
        <v>7935.29115</v>
      </c>
      <c r="I83" s="2">
        <f t="shared" si="7"/>
        <v>7935.29115</v>
      </c>
      <c r="J83" t="str">
        <f t="shared" si="8"/>
        <v>Low</v>
      </c>
      <c r="K83" s="1">
        <f t="shared" si="9"/>
        <v>0.42299999999999999</v>
      </c>
      <c r="L83" t="str">
        <f t="shared" si="10"/>
        <v>Obese</v>
      </c>
      <c r="M83" t="str">
        <f t="shared" si="11"/>
        <v>Standard</v>
      </c>
      <c r="N83" t="str">
        <f t="shared" si="12"/>
        <v>Tier 2</v>
      </c>
      <c r="O83">
        <f t="shared" si="13"/>
        <v>2</v>
      </c>
    </row>
    <row r="84" spans="1:15" x14ac:dyDescent="0.2">
      <c r="A84">
        <v>22</v>
      </c>
      <c r="B84" t="str" cm="1">
        <f t="array" ref="B84">_xlfn.IFS(A84&lt;=25,"18-25", A84&lt;=35,"26-35", A84&lt;=45,"36-45", A84&lt;=55,"46-55", A84&lt;=64,"56-64")</f>
        <v>18-25</v>
      </c>
      <c r="C84" t="s">
        <v>10</v>
      </c>
      <c r="D84">
        <v>37.619999999999997</v>
      </c>
      <c r="E84">
        <v>1</v>
      </c>
      <c r="F84" t="s">
        <v>8</v>
      </c>
      <c r="G84" t="s">
        <v>51</v>
      </c>
      <c r="H84" s="2">
        <v>37165.163800000002</v>
      </c>
      <c r="I84" s="2">
        <f t="shared" si="7"/>
        <v>18582.581900000001</v>
      </c>
      <c r="J84" t="str">
        <f t="shared" si="8"/>
        <v>High</v>
      </c>
      <c r="K84" s="1">
        <f t="shared" si="9"/>
        <v>0.91700000000000004</v>
      </c>
      <c r="L84" t="str">
        <f t="shared" si="10"/>
        <v>Obese</v>
      </c>
      <c r="M84" t="str">
        <f t="shared" si="11"/>
        <v>High Risk</v>
      </c>
      <c r="N84" t="str">
        <f t="shared" si="12"/>
        <v>Tier 1</v>
      </c>
      <c r="O84">
        <f t="shared" si="13"/>
        <v>6</v>
      </c>
    </row>
    <row r="85" spans="1:15" x14ac:dyDescent="0.2">
      <c r="A85">
        <v>48</v>
      </c>
      <c r="B85" t="str" cm="1">
        <f t="array" ref="B85">_xlfn.IFS(A85&lt;=25,"18-25", A85&lt;=35,"26-35", A85&lt;=45,"36-45", A85&lt;=55,"46-55", A85&lt;=64,"56-64")</f>
        <v>46-55</v>
      </c>
      <c r="C85" t="s">
        <v>7</v>
      </c>
      <c r="D85">
        <v>41.23</v>
      </c>
      <c r="E85">
        <v>4</v>
      </c>
      <c r="F85" t="s">
        <v>11</v>
      </c>
      <c r="G85" t="s">
        <v>54</v>
      </c>
      <c r="H85" s="2">
        <v>11033.661700000001</v>
      </c>
      <c r="I85" s="2">
        <f t="shared" si="7"/>
        <v>2206.73234</v>
      </c>
      <c r="J85" t="str">
        <f t="shared" si="8"/>
        <v>Low</v>
      </c>
      <c r="K85" s="1">
        <f t="shared" si="9"/>
        <v>0.57799999999999996</v>
      </c>
      <c r="L85" t="str">
        <f t="shared" si="10"/>
        <v>Obese</v>
      </c>
      <c r="M85" t="str">
        <f t="shared" si="11"/>
        <v>Standard</v>
      </c>
      <c r="N85" t="str">
        <f t="shared" si="12"/>
        <v>Tier 4</v>
      </c>
      <c r="O85">
        <f t="shared" si="13"/>
        <v>2</v>
      </c>
    </row>
    <row r="86" spans="1:15" x14ac:dyDescent="0.2">
      <c r="A86">
        <v>37</v>
      </c>
      <c r="B86" t="str" cm="1">
        <f t="array" ref="B86">_xlfn.IFS(A86&lt;=25,"18-25", A86&lt;=35,"26-35", A86&lt;=45,"36-45", A86&lt;=55,"46-55", A86&lt;=64,"56-64")</f>
        <v>36-45</v>
      </c>
      <c r="C86" t="s">
        <v>7</v>
      </c>
      <c r="D86">
        <v>34.799999999999997</v>
      </c>
      <c r="E86">
        <v>2</v>
      </c>
      <c r="F86" t="s">
        <v>8</v>
      </c>
      <c r="G86" t="s">
        <v>52</v>
      </c>
      <c r="H86" s="2">
        <v>39836.519</v>
      </c>
      <c r="I86" s="2">
        <f t="shared" si="7"/>
        <v>13278.839666666667</v>
      </c>
      <c r="J86" t="str">
        <f t="shared" si="8"/>
        <v>High</v>
      </c>
      <c r="K86" s="1">
        <f t="shared" si="9"/>
        <v>0.93899999999999995</v>
      </c>
      <c r="L86" t="str">
        <f t="shared" si="10"/>
        <v>Obese</v>
      </c>
      <c r="M86" t="str">
        <f t="shared" si="11"/>
        <v>High Risk</v>
      </c>
      <c r="N86" t="str">
        <f t="shared" si="12"/>
        <v>Tier 3</v>
      </c>
      <c r="O86">
        <f t="shared" si="13"/>
        <v>5</v>
      </c>
    </row>
    <row r="87" spans="1:15" x14ac:dyDescent="0.2">
      <c r="A87">
        <v>45</v>
      </c>
      <c r="B87" t="str" cm="1">
        <f t="array" ref="B87">_xlfn.IFS(A87&lt;=25,"18-25", A87&lt;=35,"26-35", A87&lt;=45,"36-45", A87&lt;=55,"46-55", A87&lt;=64,"56-64")</f>
        <v>36-45</v>
      </c>
      <c r="C87" t="s">
        <v>10</v>
      </c>
      <c r="D87">
        <v>22.895</v>
      </c>
      <c r="E87">
        <v>2</v>
      </c>
      <c r="F87" t="s">
        <v>8</v>
      </c>
      <c r="G87" t="s">
        <v>54</v>
      </c>
      <c r="H87" s="2">
        <v>21098.554049999999</v>
      </c>
      <c r="I87" s="2">
        <f t="shared" si="7"/>
        <v>7032.8513499999999</v>
      </c>
      <c r="J87" t="str">
        <f t="shared" si="8"/>
        <v>High</v>
      </c>
      <c r="K87" s="1">
        <f t="shared" si="9"/>
        <v>0.80900000000000005</v>
      </c>
      <c r="L87" t="str">
        <f t="shared" si="10"/>
        <v>Normal</v>
      </c>
      <c r="M87" t="str">
        <f t="shared" si="11"/>
        <v>High Risk</v>
      </c>
      <c r="N87" t="str">
        <f t="shared" si="12"/>
        <v>Tier 4</v>
      </c>
      <c r="O87">
        <f t="shared" si="13"/>
        <v>3</v>
      </c>
    </row>
    <row r="88" spans="1:15" x14ac:dyDescent="0.2">
      <c r="A88">
        <v>57</v>
      </c>
      <c r="B88" t="str" cm="1">
        <f t="array" ref="B88">_xlfn.IFS(A88&lt;=25,"18-25", A88&lt;=35,"26-35", A88&lt;=45,"36-45", A88&lt;=55,"46-55", A88&lt;=64,"56-64")</f>
        <v>56-64</v>
      </c>
      <c r="C88" t="s">
        <v>7</v>
      </c>
      <c r="D88">
        <v>31.16</v>
      </c>
      <c r="E88">
        <v>0</v>
      </c>
      <c r="F88" t="s">
        <v>8</v>
      </c>
      <c r="G88" t="s">
        <v>54</v>
      </c>
      <c r="H88" s="2">
        <v>43578.939400000003</v>
      </c>
      <c r="I88" s="2">
        <f t="shared" si="7"/>
        <v>43578.939400000003</v>
      </c>
      <c r="J88" t="str">
        <f t="shared" si="8"/>
        <v>High</v>
      </c>
      <c r="K88" s="1">
        <f t="shared" si="9"/>
        <v>0.96199999999999997</v>
      </c>
      <c r="L88" t="str">
        <f t="shared" si="10"/>
        <v>Obese</v>
      </c>
      <c r="M88" t="str">
        <f t="shared" si="11"/>
        <v>High Risk</v>
      </c>
      <c r="N88" t="str">
        <f t="shared" si="12"/>
        <v>Tier 4</v>
      </c>
      <c r="O88">
        <f t="shared" si="13"/>
        <v>5</v>
      </c>
    </row>
    <row r="89" spans="1:15" x14ac:dyDescent="0.2">
      <c r="A89">
        <v>56</v>
      </c>
      <c r="B89" t="str" cm="1">
        <f t="array" ref="B89">_xlfn.IFS(A89&lt;=25,"18-25", A89&lt;=35,"26-35", A89&lt;=45,"36-45", A89&lt;=55,"46-55", A89&lt;=64,"56-64")</f>
        <v>56-64</v>
      </c>
      <c r="C89" t="s">
        <v>7</v>
      </c>
      <c r="D89">
        <v>27.2</v>
      </c>
      <c r="E89">
        <v>0</v>
      </c>
      <c r="F89" t="s">
        <v>11</v>
      </c>
      <c r="G89" t="s">
        <v>52</v>
      </c>
      <c r="H89" s="2">
        <v>11073.175999999999</v>
      </c>
      <c r="I89" s="2">
        <f t="shared" si="7"/>
        <v>11073.175999999999</v>
      </c>
      <c r="J89" t="str">
        <f t="shared" si="8"/>
        <v>Low</v>
      </c>
      <c r="K89" s="1">
        <f t="shared" si="9"/>
        <v>0.57999999999999996</v>
      </c>
      <c r="L89" t="str">
        <f t="shared" si="10"/>
        <v>Overweight</v>
      </c>
      <c r="M89" t="str">
        <f t="shared" si="11"/>
        <v>Standard</v>
      </c>
      <c r="N89" t="str">
        <f t="shared" si="12"/>
        <v>Tier 3</v>
      </c>
      <c r="O89">
        <f t="shared" si="13"/>
        <v>1</v>
      </c>
    </row>
    <row r="90" spans="1:15" x14ac:dyDescent="0.2">
      <c r="A90">
        <v>46</v>
      </c>
      <c r="B90" t="str" cm="1">
        <f t="array" ref="B90">_xlfn.IFS(A90&lt;=25,"18-25", A90&lt;=35,"26-35", A90&lt;=45,"36-45", A90&lt;=55,"46-55", A90&lt;=64,"56-64")</f>
        <v>46-55</v>
      </c>
      <c r="C90" t="s">
        <v>7</v>
      </c>
      <c r="D90">
        <v>27.74</v>
      </c>
      <c r="E90">
        <v>0</v>
      </c>
      <c r="F90" t="s">
        <v>11</v>
      </c>
      <c r="G90" t="s">
        <v>54</v>
      </c>
      <c r="H90" s="2">
        <v>8026.6665999999996</v>
      </c>
      <c r="I90" s="2">
        <f t="shared" si="7"/>
        <v>8026.6665999999996</v>
      </c>
      <c r="J90" t="str">
        <f t="shared" si="8"/>
        <v>Low</v>
      </c>
      <c r="K90" s="1">
        <f t="shared" si="9"/>
        <v>0.42699999999999999</v>
      </c>
      <c r="L90" t="str">
        <f t="shared" si="10"/>
        <v>Overweight</v>
      </c>
      <c r="M90" t="str">
        <f t="shared" si="11"/>
        <v>Standard</v>
      </c>
      <c r="N90" t="str">
        <f t="shared" si="12"/>
        <v>Tier 4</v>
      </c>
      <c r="O90">
        <f t="shared" si="13"/>
        <v>1</v>
      </c>
    </row>
    <row r="91" spans="1:15" x14ac:dyDescent="0.2">
      <c r="A91">
        <v>55</v>
      </c>
      <c r="B91" t="str" cm="1">
        <f t="array" ref="B91">_xlfn.IFS(A91&lt;=25,"18-25", A91&lt;=35,"26-35", A91&lt;=45,"36-45", A91&lt;=55,"46-55", A91&lt;=64,"56-64")</f>
        <v>46-55</v>
      </c>
      <c r="C91" t="s">
        <v>7</v>
      </c>
      <c r="D91">
        <v>26.98</v>
      </c>
      <c r="E91">
        <v>0</v>
      </c>
      <c r="F91" t="s">
        <v>11</v>
      </c>
      <c r="G91" t="s">
        <v>54</v>
      </c>
      <c r="H91" s="2">
        <v>11082.5772</v>
      </c>
      <c r="I91" s="2">
        <f t="shared" si="7"/>
        <v>11082.5772</v>
      </c>
      <c r="J91" t="str">
        <f t="shared" si="8"/>
        <v>Low</v>
      </c>
      <c r="K91" s="1">
        <f t="shared" si="9"/>
        <v>0.58099999999999996</v>
      </c>
      <c r="L91" t="str">
        <f t="shared" si="10"/>
        <v>Overweight</v>
      </c>
      <c r="M91" t="str">
        <f t="shared" si="11"/>
        <v>Standard</v>
      </c>
      <c r="N91" t="str">
        <f t="shared" si="12"/>
        <v>Tier 4</v>
      </c>
      <c r="O91">
        <f t="shared" si="13"/>
        <v>1</v>
      </c>
    </row>
    <row r="92" spans="1:15" x14ac:dyDescent="0.2">
      <c r="A92">
        <v>21</v>
      </c>
      <c r="B92" t="str" cm="1">
        <f t="array" ref="B92">_xlfn.IFS(A92&lt;=25,"18-25", A92&lt;=35,"26-35", A92&lt;=45,"36-45", A92&lt;=55,"46-55", A92&lt;=64,"56-64")</f>
        <v>18-25</v>
      </c>
      <c r="C92" t="s">
        <v>7</v>
      </c>
      <c r="D92">
        <v>39.49</v>
      </c>
      <c r="E92">
        <v>0</v>
      </c>
      <c r="F92" t="s">
        <v>11</v>
      </c>
      <c r="G92" t="s">
        <v>51</v>
      </c>
      <c r="H92" s="2">
        <v>2026.9740999999999</v>
      </c>
      <c r="I92" s="2">
        <f t="shared" si="7"/>
        <v>2026.9740999999999</v>
      </c>
      <c r="J92" t="str">
        <f t="shared" si="8"/>
        <v>Low</v>
      </c>
      <c r="K92" s="1">
        <f t="shared" si="9"/>
        <v>7.0999999999999994E-2</v>
      </c>
      <c r="L92" t="str">
        <f t="shared" si="10"/>
        <v>Obese</v>
      </c>
      <c r="M92" t="str">
        <f t="shared" si="11"/>
        <v>Standard</v>
      </c>
      <c r="N92" t="str">
        <f t="shared" si="12"/>
        <v>Tier 1</v>
      </c>
      <c r="O92">
        <f t="shared" si="13"/>
        <v>3</v>
      </c>
    </row>
    <row r="93" spans="1:15" x14ac:dyDescent="0.2">
      <c r="A93">
        <v>53</v>
      </c>
      <c r="B93" t="str" cm="1">
        <f t="array" ref="B93">_xlfn.IFS(A93&lt;=25,"18-25", A93&lt;=35,"26-35", A93&lt;=45,"36-45", A93&lt;=55,"46-55", A93&lt;=64,"56-64")</f>
        <v>46-55</v>
      </c>
      <c r="C93" t="s">
        <v>7</v>
      </c>
      <c r="D93">
        <v>24.795000000000002</v>
      </c>
      <c r="E93">
        <v>1</v>
      </c>
      <c r="F93" t="s">
        <v>11</v>
      </c>
      <c r="G93" t="s">
        <v>54</v>
      </c>
      <c r="H93" s="2">
        <v>10942.13205</v>
      </c>
      <c r="I93" s="2">
        <f t="shared" si="7"/>
        <v>5471.0660250000001</v>
      </c>
      <c r="J93" t="str">
        <f t="shared" si="8"/>
        <v>Low</v>
      </c>
      <c r="K93" s="1">
        <f t="shared" si="9"/>
        <v>0.57199999999999995</v>
      </c>
      <c r="L93" t="str">
        <f t="shared" si="10"/>
        <v>Normal</v>
      </c>
      <c r="M93" t="str">
        <f t="shared" si="11"/>
        <v>Standard</v>
      </c>
      <c r="N93" t="str">
        <f t="shared" si="12"/>
        <v>Tier 4</v>
      </c>
      <c r="O93">
        <f t="shared" si="13"/>
        <v>0</v>
      </c>
    </row>
    <row r="94" spans="1:15" x14ac:dyDescent="0.2">
      <c r="A94">
        <v>59</v>
      </c>
      <c r="B94" t="str" cm="1">
        <f t="array" ref="B94">_xlfn.IFS(A94&lt;=25,"18-25", A94&lt;=35,"26-35", A94&lt;=45,"36-45", A94&lt;=55,"46-55", A94&lt;=64,"56-64")</f>
        <v>56-64</v>
      </c>
      <c r="C94" t="s">
        <v>10</v>
      </c>
      <c r="D94">
        <v>29.83</v>
      </c>
      <c r="E94">
        <v>3</v>
      </c>
      <c r="F94" t="s">
        <v>8</v>
      </c>
      <c r="G94" t="s">
        <v>53</v>
      </c>
      <c r="H94" s="2">
        <v>30184.936699999998</v>
      </c>
      <c r="I94" s="2">
        <f t="shared" si="7"/>
        <v>7546.2341749999996</v>
      </c>
      <c r="J94" t="str">
        <f t="shared" si="8"/>
        <v>High</v>
      </c>
      <c r="K94" s="1">
        <f t="shared" si="9"/>
        <v>0.88100000000000001</v>
      </c>
      <c r="L94" t="str">
        <f t="shared" si="10"/>
        <v>Overweight</v>
      </c>
      <c r="M94" t="str">
        <f t="shared" si="11"/>
        <v>High Risk</v>
      </c>
      <c r="N94" t="str">
        <f t="shared" si="12"/>
        <v>Tier 2</v>
      </c>
      <c r="O94">
        <f t="shared" si="13"/>
        <v>4</v>
      </c>
    </row>
    <row r="95" spans="1:15" x14ac:dyDescent="0.2">
      <c r="A95">
        <v>35</v>
      </c>
      <c r="B95" t="str" cm="1">
        <f t="array" ref="B95">_xlfn.IFS(A95&lt;=25,"18-25", A95&lt;=35,"26-35", A95&lt;=45,"36-45", A95&lt;=55,"46-55", A95&lt;=64,"56-64")</f>
        <v>26-35</v>
      </c>
      <c r="C95" t="s">
        <v>10</v>
      </c>
      <c r="D95">
        <v>34.770000000000003</v>
      </c>
      <c r="E95">
        <v>2</v>
      </c>
      <c r="F95" t="s">
        <v>11</v>
      </c>
      <c r="G95" t="s">
        <v>54</v>
      </c>
      <c r="H95" s="2">
        <v>5729.0052999999998</v>
      </c>
      <c r="I95" s="2">
        <f t="shared" si="7"/>
        <v>1909.6684333333333</v>
      </c>
      <c r="J95" t="str">
        <f t="shared" si="8"/>
        <v>Low</v>
      </c>
      <c r="K95" s="1">
        <f t="shared" si="9"/>
        <v>0.308</v>
      </c>
      <c r="L95" t="str">
        <f t="shared" si="10"/>
        <v>Obese</v>
      </c>
      <c r="M95" t="str">
        <f t="shared" si="11"/>
        <v>Standard</v>
      </c>
      <c r="N95" t="str">
        <f t="shared" si="12"/>
        <v>Tier 4</v>
      </c>
      <c r="O95">
        <f t="shared" si="13"/>
        <v>2</v>
      </c>
    </row>
    <row r="96" spans="1:15" x14ac:dyDescent="0.2">
      <c r="A96">
        <v>64</v>
      </c>
      <c r="B96" t="str" cm="1">
        <f t="array" ref="B96">_xlfn.IFS(A96&lt;=25,"18-25", A96&lt;=35,"26-35", A96&lt;=45,"36-45", A96&lt;=55,"46-55", A96&lt;=64,"56-64")</f>
        <v>56-64</v>
      </c>
      <c r="C96" t="s">
        <v>7</v>
      </c>
      <c r="D96">
        <v>31.3</v>
      </c>
      <c r="E96">
        <v>2</v>
      </c>
      <c r="F96" t="s">
        <v>8</v>
      </c>
      <c r="G96" t="s">
        <v>52</v>
      </c>
      <c r="H96" s="2">
        <v>47291.055</v>
      </c>
      <c r="I96" s="2">
        <f t="shared" si="7"/>
        <v>15763.684999999999</v>
      </c>
      <c r="J96" t="str">
        <f t="shared" si="8"/>
        <v>High</v>
      </c>
      <c r="K96" s="1">
        <f t="shared" si="9"/>
        <v>0.98299999999999998</v>
      </c>
      <c r="L96" t="str">
        <f t="shared" si="10"/>
        <v>Obese</v>
      </c>
      <c r="M96" t="str">
        <f t="shared" si="11"/>
        <v>High Risk</v>
      </c>
      <c r="N96" t="str">
        <f t="shared" si="12"/>
        <v>Tier 3</v>
      </c>
      <c r="O96">
        <f t="shared" si="13"/>
        <v>5</v>
      </c>
    </row>
    <row r="97" spans="1:15" x14ac:dyDescent="0.2">
      <c r="A97">
        <v>28</v>
      </c>
      <c r="B97" t="str" cm="1">
        <f t="array" ref="B97">_xlfn.IFS(A97&lt;=25,"18-25", A97&lt;=35,"26-35", A97&lt;=45,"36-45", A97&lt;=55,"46-55", A97&lt;=64,"56-64")</f>
        <v>26-35</v>
      </c>
      <c r="C97" t="s">
        <v>7</v>
      </c>
      <c r="D97">
        <v>37.619999999999997</v>
      </c>
      <c r="E97">
        <v>1</v>
      </c>
      <c r="F97" t="s">
        <v>11</v>
      </c>
      <c r="G97" t="s">
        <v>51</v>
      </c>
      <c r="H97" s="2">
        <v>3766.8838000000001</v>
      </c>
      <c r="I97" s="2">
        <f t="shared" si="7"/>
        <v>1883.4419</v>
      </c>
      <c r="J97" t="str">
        <f t="shared" si="8"/>
        <v>Low</v>
      </c>
      <c r="K97" s="1">
        <f t="shared" si="9"/>
        <v>0.187</v>
      </c>
      <c r="L97" t="str">
        <f t="shared" si="10"/>
        <v>Obese</v>
      </c>
      <c r="M97" t="str">
        <f t="shared" si="11"/>
        <v>Standard</v>
      </c>
      <c r="N97" t="str">
        <f t="shared" si="12"/>
        <v>Tier 1</v>
      </c>
      <c r="O97">
        <f t="shared" si="13"/>
        <v>3</v>
      </c>
    </row>
    <row r="98" spans="1:15" x14ac:dyDescent="0.2">
      <c r="A98">
        <v>54</v>
      </c>
      <c r="B98" t="str" cm="1">
        <f t="array" ref="B98">_xlfn.IFS(A98&lt;=25,"18-25", A98&lt;=35,"26-35", A98&lt;=45,"36-45", A98&lt;=55,"46-55", A98&lt;=64,"56-64")</f>
        <v>46-55</v>
      </c>
      <c r="C98" t="s">
        <v>7</v>
      </c>
      <c r="D98">
        <v>30.8</v>
      </c>
      <c r="E98">
        <v>3</v>
      </c>
      <c r="F98" t="s">
        <v>11</v>
      </c>
      <c r="G98" t="s">
        <v>52</v>
      </c>
      <c r="H98" s="2">
        <v>12105.32</v>
      </c>
      <c r="I98" s="2">
        <f t="shared" si="7"/>
        <v>3026.33</v>
      </c>
      <c r="J98" t="str">
        <f t="shared" si="8"/>
        <v>Low</v>
      </c>
      <c r="K98" s="1">
        <f t="shared" si="9"/>
        <v>0.63600000000000001</v>
      </c>
      <c r="L98" t="str">
        <f t="shared" si="10"/>
        <v>Obese</v>
      </c>
      <c r="M98" t="str">
        <f t="shared" si="11"/>
        <v>Standard</v>
      </c>
      <c r="N98" t="str">
        <f t="shared" si="12"/>
        <v>Tier 3</v>
      </c>
      <c r="O98">
        <f t="shared" si="13"/>
        <v>2</v>
      </c>
    </row>
    <row r="99" spans="1:15" x14ac:dyDescent="0.2">
      <c r="A99">
        <v>55</v>
      </c>
      <c r="B99" t="str" cm="1">
        <f t="array" ref="B99">_xlfn.IFS(A99&lt;=25,"18-25", A99&lt;=35,"26-35", A99&lt;=45,"36-45", A99&lt;=55,"46-55", A99&lt;=64,"56-64")</f>
        <v>46-55</v>
      </c>
      <c r="C99" t="s">
        <v>10</v>
      </c>
      <c r="D99">
        <v>38.28</v>
      </c>
      <c r="E99">
        <v>0</v>
      </c>
      <c r="F99" t="s">
        <v>11</v>
      </c>
      <c r="G99" t="s">
        <v>51</v>
      </c>
      <c r="H99" s="2">
        <v>10226.2842</v>
      </c>
      <c r="I99" s="2">
        <f t="shared" si="7"/>
        <v>10226.2842</v>
      </c>
      <c r="J99" t="str">
        <f t="shared" si="8"/>
        <v>Low</v>
      </c>
      <c r="K99" s="1">
        <f t="shared" si="9"/>
        <v>0.54200000000000004</v>
      </c>
      <c r="L99" t="str">
        <f t="shared" si="10"/>
        <v>Obese</v>
      </c>
      <c r="M99" t="str">
        <f t="shared" si="11"/>
        <v>Standard</v>
      </c>
      <c r="N99" t="str">
        <f t="shared" si="12"/>
        <v>Tier 1</v>
      </c>
      <c r="O99">
        <f t="shared" si="13"/>
        <v>3</v>
      </c>
    </row>
    <row r="100" spans="1:15" x14ac:dyDescent="0.2">
      <c r="A100">
        <v>56</v>
      </c>
      <c r="B100" t="str" cm="1">
        <f t="array" ref="B100">_xlfn.IFS(A100&lt;=25,"18-25", A100&lt;=35,"26-35", A100&lt;=45,"36-45", A100&lt;=55,"46-55", A100&lt;=64,"56-64")</f>
        <v>56-64</v>
      </c>
      <c r="C100" t="s">
        <v>10</v>
      </c>
      <c r="D100">
        <v>19.95</v>
      </c>
      <c r="E100">
        <v>0</v>
      </c>
      <c r="F100" t="s">
        <v>8</v>
      </c>
      <c r="G100" t="s">
        <v>53</v>
      </c>
      <c r="H100" s="2">
        <v>22412.648499999999</v>
      </c>
      <c r="I100" s="2">
        <f t="shared" si="7"/>
        <v>22412.648499999999</v>
      </c>
      <c r="J100" t="str">
        <f t="shared" si="8"/>
        <v>High</v>
      </c>
      <c r="K100" s="1">
        <f t="shared" si="9"/>
        <v>0.82499999999999996</v>
      </c>
      <c r="L100" t="str">
        <f t="shared" si="10"/>
        <v>Normal</v>
      </c>
      <c r="M100" t="str">
        <f t="shared" si="11"/>
        <v>High Risk</v>
      </c>
      <c r="N100" t="str">
        <f t="shared" si="12"/>
        <v>Tier 2</v>
      </c>
      <c r="O100">
        <f t="shared" si="13"/>
        <v>3</v>
      </c>
    </row>
    <row r="101" spans="1:15" x14ac:dyDescent="0.2">
      <c r="A101">
        <v>38</v>
      </c>
      <c r="B101" t="str" cm="1">
        <f t="array" ref="B101">_xlfn.IFS(A101&lt;=25,"18-25", A101&lt;=35,"26-35", A101&lt;=45,"36-45", A101&lt;=55,"46-55", A101&lt;=64,"56-64")</f>
        <v>36-45</v>
      </c>
      <c r="C101" t="s">
        <v>10</v>
      </c>
      <c r="D101">
        <v>19.3</v>
      </c>
      <c r="E101">
        <v>0</v>
      </c>
      <c r="F101" t="s">
        <v>8</v>
      </c>
      <c r="G101" t="s">
        <v>52</v>
      </c>
      <c r="H101" s="2">
        <v>15820.699000000001</v>
      </c>
      <c r="I101" s="2">
        <f t="shared" si="7"/>
        <v>15820.699000000001</v>
      </c>
      <c r="J101" t="str">
        <f t="shared" si="8"/>
        <v>High</v>
      </c>
      <c r="K101" s="1">
        <f t="shared" si="9"/>
        <v>0.74</v>
      </c>
      <c r="L101" t="str">
        <f t="shared" si="10"/>
        <v>Normal</v>
      </c>
      <c r="M101" t="str">
        <f t="shared" si="11"/>
        <v>High Risk</v>
      </c>
      <c r="N101" t="str">
        <f t="shared" si="12"/>
        <v>Tier 3</v>
      </c>
      <c r="O101">
        <f t="shared" si="13"/>
        <v>3</v>
      </c>
    </row>
    <row r="102" spans="1:15" x14ac:dyDescent="0.2">
      <c r="A102">
        <v>41</v>
      </c>
      <c r="B102" t="str" cm="1">
        <f t="array" ref="B102">_xlfn.IFS(A102&lt;=25,"18-25", A102&lt;=35,"26-35", A102&lt;=45,"36-45", A102&lt;=55,"46-55", A102&lt;=64,"56-64")</f>
        <v>36-45</v>
      </c>
      <c r="C102" t="s">
        <v>7</v>
      </c>
      <c r="D102">
        <v>31.6</v>
      </c>
      <c r="E102">
        <v>0</v>
      </c>
      <c r="F102" t="s">
        <v>11</v>
      </c>
      <c r="G102" t="s">
        <v>52</v>
      </c>
      <c r="H102" s="2">
        <v>6186.1270000000004</v>
      </c>
      <c r="I102" s="2">
        <f t="shared" si="7"/>
        <v>6186.1270000000004</v>
      </c>
      <c r="J102" t="str">
        <f t="shared" si="8"/>
        <v>Low</v>
      </c>
      <c r="K102" s="1">
        <f t="shared" si="9"/>
        <v>0.32900000000000001</v>
      </c>
      <c r="L102" t="str">
        <f t="shared" si="10"/>
        <v>Obese</v>
      </c>
      <c r="M102" t="str">
        <f t="shared" si="11"/>
        <v>Standard</v>
      </c>
      <c r="N102" t="str">
        <f t="shared" si="12"/>
        <v>Tier 3</v>
      </c>
      <c r="O102">
        <f t="shared" si="13"/>
        <v>2</v>
      </c>
    </row>
    <row r="103" spans="1:15" x14ac:dyDescent="0.2">
      <c r="A103">
        <v>30</v>
      </c>
      <c r="B103" t="str" cm="1">
        <f t="array" ref="B103">_xlfn.IFS(A103&lt;=25,"18-25", A103&lt;=35,"26-35", A103&lt;=45,"36-45", A103&lt;=55,"46-55", A103&lt;=64,"56-64")</f>
        <v>26-35</v>
      </c>
      <c r="C103" t="s">
        <v>10</v>
      </c>
      <c r="D103">
        <v>25.46</v>
      </c>
      <c r="E103">
        <v>0</v>
      </c>
      <c r="F103" t="s">
        <v>11</v>
      </c>
      <c r="G103" t="s">
        <v>53</v>
      </c>
      <c r="H103" s="2">
        <v>3645.0893999999998</v>
      </c>
      <c r="I103" s="2">
        <f t="shared" si="7"/>
        <v>3645.0893999999998</v>
      </c>
      <c r="J103" t="str">
        <f t="shared" si="8"/>
        <v>Low</v>
      </c>
      <c r="K103" s="1">
        <f t="shared" si="9"/>
        <v>0.18099999999999999</v>
      </c>
      <c r="L103" t="str">
        <f t="shared" si="10"/>
        <v>Overweight</v>
      </c>
      <c r="M103" t="str">
        <f t="shared" si="11"/>
        <v>Standard</v>
      </c>
      <c r="N103" t="str">
        <f t="shared" si="12"/>
        <v>Tier 2</v>
      </c>
      <c r="O103">
        <f t="shared" si="13"/>
        <v>1</v>
      </c>
    </row>
    <row r="104" spans="1:15" x14ac:dyDescent="0.2">
      <c r="A104">
        <v>18</v>
      </c>
      <c r="B104" t="str" cm="1">
        <f t="array" ref="B104">_xlfn.IFS(A104&lt;=25,"18-25", A104&lt;=35,"26-35", A104&lt;=45,"36-45", A104&lt;=55,"46-55", A104&lt;=64,"56-64")</f>
        <v>18-25</v>
      </c>
      <c r="C104" t="s">
        <v>7</v>
      </c>
      <c r="D104">
        <v>30.114999999999998</v>
      </c>
      <c r="E104">
        <v>0</v>
      </c>
      <c r="F104" t="s">
        <v>11</v>
      </c>
      <c r="G104" t="s">
        <v>53</v>
      </c>
      <c r="H104" s="2">
        <v>21344.846699999998</v>
      </c>
      <c r="I104" s="2">
        <f t="shared" si="7"/>
        <v>21344.846699999998</v>
      </c>
      <c r="J104" t="str">
        <f t="shared" si="8"/>
        <v>High</v>
      </c>
      <c r="K104" s="1">
        <f t="shared" si="9"/>
        <v>0.81299999999999994</v>
      </c>
      <c r="L104" t="str">
        <f t="shared" si="10"/>
        <v>Obese</v>
      </c>
      <c r="M104" t="str">
        <f t="shared" si="11"/>
        <v>Standard</v>
      </c>
      <c r="N104" t="str">
        <f t="shared" si="12"/>
        <v>Tier 2</v>
      </c>
      <c r="O104">
        <f t="shared" si="13"/>
        <v>2</v>
      </c>
    </row>
    <row r="105" spans="1:15" x14ac:dyDescent="0.2">
      <c r="A105">
        <v>61</v>
      </c>
      <c r="B105" t="str" cm="1">
        <f t="array" ref="B105">_xlfn.IFS(A105&lt;=25,"18-25", A105&lt;=35,"26-35", A105&lt;=45,"36-45", A105&lt;=55,"46-55", A105&lt;=64,"56-64")</f>
        <v>56-64</v>
      </c>
      <c r="C105" t="s">
        <v>7</v>
      </c>
      <c r="D105">
        <v>29.92</v>
      </c>
      <c r="E105">
        <v>3</v>
      </c>
      <c r="F105" t="s">
        <v>8</v>
      </c>
      <c r="G105" t="s">
        <v>51</v>
      </c>
      <c r="H105" s="2">
        <v>30942.191800000001</v>
      </c>
      <c r="I105" s="2">
        <f t="shared" si="7"/>
        <v>7735.5479500000001</v>
      </c>
      <c r="J105" t="str">
        <f t="shared" si="8"/>
        <v>High</v>
      </c>
      <c r="K105" s="1">
        <f t="shared" si="9"/>
        <v>0.88300000000000001</v>
      </c>
      <c r="L105" t="str">
        <f t="shared" si="10"/>
        <v>Overweight</v>
      </c>
      <c r="M105" t="str">
        <f t="shared" si="11"/>
        <v>High Risk</v>
      </c>
      <c r="N105" t="str">
        <f t="shared" si="12"/>
        <v>Tier 1</v>
      </c>
      <c r="O105">
        <f t="shared" si="13"/>
        <v>5</v>
      </c>
    </row>
    <row r="106" spans="1:15" x14ac:dyDescent="0.2">
      <c r="A106">
        <v>34</v>
      </c>
      <c r="B106" t="str" cm="1">
        <f t="array" ref="B106">_xlfn.IFS(A106&lt;=25,"18-25", A106&lt;=35,"26-35", A106&lt;=45,"36-45", A106&lt;=55,"46-55", A106&lt;=64,"56-64")</f>
        <v>26-35</v>
      </c>
      <c r="C106" t="s">
        <v>7</v>
      </c>
      <c r="D106">
        <v>27.5</v>
      </c>
      <c r="E106">
        <v>1</v>
      </c>
      <c r="F106" t="s">
        <v>11</v>
      </c>
      <c r="G106" t="s">
        <v>52</v>
      </c>
      <c r="H106" s="2">
        <v>5003.8530000000001</v>
      </c>
      <c r="I106" s="2">
        <f t="shared" si="7"/>
        <v>2501.9265</v>
      </c>
      <c r="J106" t="str">
        <f t="shared" si="8"/>
        <v>Low</v>
      </c>
      <c r="K106" s="1">
        <f t="shared" si="9"/>
        <v>0.26900000000000002</v>
      </c>
      <c r="L106" t="str">
        <f t="shared" si="10"/>
        <v>Overweight</v>
      </c>
      <c r="M106" t="str">
        <f t="shared" si="11"/>
        <v>Standard</v>
      </c>
      <c r="N106" t="str">
        <f t="shared" si="12"/>
        <v>Tier 3</v>
      </c>
      <c r="O106">
        <f t="shared" si="13"/>
        <v>1</v>
      </c>
    </row>
    <row r="107" spans="1:15" x14ac:dyDescent="0.2">
      <c r="A107">
        <v>20</v>
      </c>
      <c r="B107" t="str" cm="1">
        <f t="array" ref="B107">_xlfn.IFS(A107&lt;=25,"18-25", A107&lt;=35,"26-35", A107&lt;=45,"36-45", A107&lt;=55,"46-55", A107&lt;=64,"56-64")</f>
        <v>18-25</v>
      </c>
      <c r="C107" t="s">
        <v>10</v>
      </c>
      <c r="D107">
        <v>28.024999999999999</v>
      </c>
      <c r="E107">
        <v>1</v>
      </c>
      <c r="F107" t="s">
        <v>8</v>
      </c>
      <c r="G107" t="s">
        <v>54</v>
      </c>
      <c r="H107" s="2">
        <v>17560.37975</v>
      </c>
      <c r="I107" s="2">
        <f t="shared" si="7"/>
        <v>8780.189875</v>
      </c>
      <c r="J107" t="str">
        <f t="shared" si="8"/>
        <v>High</v>
      </c>
      <c r="K107" s="1">
        <f t="shared" si="9"/>
        <v>0.76</v>
      </c>
      <c r="L107" t="str">
        <f t="shared" si="10"/>
        <v>Overweight</v>
      </c>
      <c r="M107" t="str">
        <f t="shared" si="11"/>
        <v>High Risk</v>
      </c>
      <c r="N107" t="str">
        <f t="shared" si="12"/>
        <v>Tier 4</v>
      </c>
      <c r="O107">
        <f t="shared" si="13"/>
        <v>4</v>
      </c>
    </row>
    <row r="108" spans="1:15" x14ac:dyDescent="0.2">
      <c r="A108">
        <v>19</v>
      </c>
      <c r="B108" t="str" cm="1">
        <f t="array" ref="B108">_xlfn.IFS(A108&lt;=25,"18-25", A108&lt;=35,"26-35", A108&lt;=45,"36-45", A108&lt;=55,"46-55", A108&lt;=64,"56-64")</f>
        <v>18-25</v>
      </c>
      <c r="C108" t="s">
        <v>7</v>
      </c>
      <c r="D108">
        <v>28.4</v>
      </c>
      <c r="E108">
        <v>1</v>
      </c>
      <c r="F108" t="s">
        <v>11</v>
      </c>
      <c r="G108" t="s">
        <v>52</v>
      </c>
      <c r="H108" s="2">
        <v>2331.5189999999998</v>
      </c>
      <c r="I108" s="2">
        <f t="shared" si="7"/>
        <v>1165.7594999999999</v>
      </c>
      <c r="J108" t="str">
        <f t="shared" si="8"/>
        <v>Low</v>
      </c>
      <c r="K108" s="1">
        <f t="shared" si="9"/>
        <v>9.9000000000000005E-2</v>
      </c>
      <c r="L108" t="str">
        <f t="shared" si="10"/>
        <v>Overweight</v>
      </c>
      <c r="M108" t="str">
        <f t="shared" si="11"/>
        <v>Standard</v>
      </c>
      <c r="N108" t="str">
        <f t="shared" si="12"/>
        <v>Tier 3</v>
      </c>
      <c r="O108">
        <f t="shared" si="13"/>
        <v>1</v>
      </c>
    </row>
    <row r="109" spans="1:15" x14ac:dyDescent="0.2">
      <c r="A109">
        <v>26</v>
      </c>
      <c r="B109" t="str" cm="1">
        <f t="array" ref="B109">_xlfn.IFS(A109&lt;=25,"18-25", A109&lt;=35,"26-35", A109&lt;=45,"36-45", A109&lt;=55,"46-55", A109&lt;=64,"56-64")</f>
        <v>26-35</v>
      </c>
      <c r="C109" t="s">
        <v>10</v>
      </c>
      <c r="D109">
        <v>30.875</v>
      </c>
      <c r="E109">
        <v>2</v>
      </c>
      <c r="F109" t="s">
        <v>11</v>
      </c>
      <c r="G109" t="s">
        <v>54</v>
      </c>
      <c r="H109" s="2">
        <v>3877.3042500000001</v>
      </c>
      <c r="I109" s="2">
        <f t="shared" si="7"/>
        <v>1292.4347500000001</v>
      </c>
      <c r="J109" t="str">
        <f t="shared" si="8"/>
        <v>Low</v>
      </c>
      <c r="K109" s="1">
        <f t="shared" si="9"/>
        <v>0.192</v>
      </c>
      <c r="L109" t="str">
        <f t="shared" si="10"/>
        <v>Obese</v>
      </c>
      <c r="M109" t="str">
        <f t="shared" si="11"/>
        <v>Standard</v>
      </c>
      <c r="N109" t="str">
        <f t="shared" si="12"/>
        <v>Tier 4</v>
      </c>
      <c r="O109">
        <f t="shared" si="13"/>
        <v>2</v>
      </c>
    </row>
    <row r="110" spans="1:15" x14ac:dyDescent="0.2">
      <c r="A110">
        <v>29</v>
      </c>
      <c r="B110" t="str" cm="1">
        <f t="array" ref="B110">_xlfn.IFS(A110&lt;=25,"18-25", A110&lt;=35,"26-35", A110&lt;=45,"36-45", A110&lt;=55,"46-55", A110&lt;=64,"56-64")</f>
        <v>26-35</v>
      </c>
      <c r="C110" t="s">
        <v>10</v>
      </c>
      <c r="D110">
        <v>27.94</v>
      </c>
      <c r="E110">
        <v>0</v>
      </c>
      <c r="F110" t="s">
        <v>11</v>
      </c>
      <c r="G110" t="s">
        <v>51</v>
      </c>
      <c r="H110" s="2">
        <v>2867.1196</v>
      </c>
      <c r="I110" s="2">
        <f t="shared" si="7"/>
        <v>2867.1196</v>
      </c>
      <c r="J110" t="str">
        <f t="shared" si="8"/>
        <v>Low</v>
      </c>
      <c r="K110" s="1">
        <f t="shared" si="9"/>
        <v>0.13600000000000001</v>
      </c>
      <c r="L110" t="str">
        <f t="shared" si="10"/>
        <v>Overweight</v>
      </c>
      <c r="M110" t="str">
        <f t="shared" si="11"/>
        <v>Standard</v>
      </c>
      <c r="N110" t="str">
        <f t="shared" si="12"/>
        <v>Tier 1</v>
      </c>
      <c r="O110">
        <f t="shared" si="13"/>
        <v>2</v>
      </c>
    </row>
    <row r="111" spans="1:15" x14ac:dyDescent="0.2">
      <c r="A111">
        <v>63</v>
      </c>
      <c r="B111" t="str" cm="1">
        <f t="array" ref="B111">_xlfn.IFS(A111&lt;=25,"18-25", A111&lt;=35,"26-35", A111&lt;=45,"36-45", A111&lt;=55,"46-55", A111&lt;=64,"56-64")</f>
        <v>56-64</v>
      </c>
      <c r="C111" t="s">
        <v>10</v>
      </c>
      <c r="D111">
        <v>35.090000000000003</v>
      </c>
      <c r="E111">
        <v>0</v>
      </c>
      <c r="F111" t="s">
        <v>8</v>
      </c>
      <c r="G111" t="s">
        <v>51</v>
      </c>
      <c r="H111" s="2">
        <v>47055.532099999997</v>
      </c>
      <c r="I111" s="2">
        <f t="shared" si="7"/>
        <v>47055.532099999997</v>
      </c>
      <c r="J111" t="str">
        <f t="shared" si="8"/>
        <v>High</v>
      </c>
      <c r="K111" s="1">
        <f t="shared" si="9"/>
        <v>0.98199999999999998</v>
      </c>
      <c r="L111" t="str">
        <f t="shared" si="10"/>
        <v>Obese</v>
      </c>
      <c r="M111" t="str">
        <f t="shared" si="11"/>
        <v>High Risk</v>
      </c>
      <c r="N111" t="str">
        <f t="shared" si="12"/>
        <v>Tier 1</v>
      </c>
      <c r="O111">
        <f t="shared" si="13"/>
        <v>6</v>
      </c>
    </row>
    <row r="112" spans="1:15" x14ac:dyDescent="0.2">
      <c r="A112">
        <v>54</v>
      </c>
      <c r="B112" t="str" cm="1">
        <f t="array" ref="B112">_xlfn.IFS(A112&lt;=25,"18-25", A112&lt;=35,"26-35", A112&lt;=45,"36-45", A112&lt;=55,"46-55", A112&lt;=64,"56-64")</f>
        <v>46-55</v>
      </c>
      <c r="C112" t="s">
        <v>10</v>
      </c>
      <c r="D112">
        <v>33.630000000000003</v>
      </c>
      <c r="E112">
        <v>1</v>
      </c>
      <c r="F112" t="s">
        <v>11</v>
      </c>
      <c r="G112" t="s">
        <v>54</v>
      </c>
      <c r="H112" s="2">
        <v>10825.253699999999</v>
      </c>
      <c r="I112" s="2">
        <f t="shared" si="7"/>
        <v>5412.6268499999996</v>
      </c>
      <c r="J112" t="str">
        <f t="shared" si="8"/>
        <v>Low</v>
      </c>
      <c r="K112" s="1">
        <f t="shared" si="9"/>
        <v>0.56899999999999995</v>
      </c>
      <c r="L112" t="str">
        <f t="shared" si="10"/>
        <v>Obese</v>
      </c>
      <c r="M112" t="str">
        <f t="shared" si="11"/>
        <v>Standard</v>
      </c>
      <c r="N112" t="str">
        <f t="shared" si="12"/>
        <v>Tier 4</v>
      </c>
      <c r="O112">
        <f t="shared" si="13"/>
        <v>2</v>
      </c>
    </row>
    <row r="113" spans="1:15" x14ac:dyDescent="0.2">
      <c r="A113">
        <v>55</v>
      </c>
      <c r="B113" t="str" cm="1">
        <f t="array" ref="B113">_xlfn.IFS(A113&lt;=25,"18-25", A113&lt;=35,"26-35", A113&lt;=45,"36-45", A113&lt;=55,"46-55", A113&lt;=64,"56-64")</f>
        <v>46-55</v>
      </c>
      <c r="C113" t="s">
        <v>7</v>
      </c>
      <c r="D113">
        <v>29.7</v>
      </c>
      <c r="E113">
        <v>2</v>
      </c>
      <c r="F113" t="s">
        <v>11</v>
      </c>
      <c r="G113" t="s">
        <v>52</v>
      </c>
      <c r="H113" s="2">
        <v>11881.358</v>
      </c>
      <c r="I113" s="2">
        <f t="shared" si="7"/>
        <v>3960.4526666666666</v>
      </c>
      <c r="J113" t="str">
        <f t="shared" si="8"/>
        <v>Low</v>
      </c>
      <c r="K113" s="1">
        <f t="shared" si="9"/>
        <v>0.626</v>
      </c>
      <c r="L113" t="str">
        <f t="shared" si="10"/>
        <v>Overweight</v>
      </c>
      <c r="M113" t="str">
        <f t="shared" si="11"/>
        <v>Standard</v>
      </c>
      <c r="N113" t="str">
        <f t="shared" si="12"/>
        <v>Tier 3</v>
      </c>
      <c r="O113">
        <f t="shared" si="13"/>
        <v>1</v>
      </c>
    </row>
    <row r="114" spans="1:15" x14ac:dyDescent="0.2">
      <c r="A114">
        <v>37</v>
      </c>
      <c r="B114" t="str" cm="1">
        <f t="array" ref="B114">_xlfn.IFS(A114&lt;=25,"18-25", A114&lt;=35,"26-35", A114&lt;=45,"36-45", A114&lt;=55,"46-55", A114&lt;=64,"56-64")</f>
        <v>36-45</v>
      </c>
      <c r="C114" t="s">
        <v>10</v>
      </c>
      <c r="D114">
        <v>30.8</v>
      </c>
      <c r="E114">
        <v>0</v>
      </c>
      <c r="F114" t="s">
        <v>11</v>
      </c>
      <c r="G114" t="s">
        <v>52</v>
      </c>
      <c r="H114" s="2">
        <v>4646.759</v>
      </c>
      <c r="I114" s="2">
        <f t="shared" si="7"/>
        <v>4646.759</v>
      </c>
      <c r="J114" t="str">
        <f t="shared" si="8"/>
        <v>Low</v>
      </c>
      <c r="K114" s="1">
        <f t="shared" si="9"/>
        <v>0.24199999999999999</v>
      </c>
      <c r="L114" t="str">
        <f t="shared" si="10"/>
        <v>Obese</v>
      </c>
      <c r="M114" t="str">
        <f t="shared" si="11"/>
        <v>Standard</v>
      </c>
      <c r="N114" t="str">
        <f t="shared" si="12"/>
        <v>Tier 3</v>
      </c>
      <c r="O114">
        <f t="shared" si="13"/>
        <v>2</v>
      </c>
    </row>
    <row r="115" spans="1:15" x14ac:dyDescent="0.2">
      <c r="A115">
        <v>21</v>
      </c>
      <c r="B115" t="str" cm="1">
        <f t="array" ref="B115">_xlfn.IFS(A115&lt;=25,"18-25", A115&lt;=35,"26-35", A115&lt;=45,"36-45", A115&lt;=55,"46-55", A115&lt;=64,"56-64")</f>
        <v>18-25</v>
      </c>
      <c r="C115" t="s">
        <v>7</v>
      </c>
      <c r="D115">
        <v>35.72</v>
      </c>
      <c r="E115">
        <v>0</v>
      </c>
      <c r="F115" t="s">
        <v>11</v>
      </c>
      <c r="G115" t="s">
        <v>54</v>
      </c>
      <c r="H115" s="2">
        <v>2404.7338</v>
      </c>
      <c r="I115" s="2">
        <f t="shared" si="7"/>
        <v>2404.7338</v>
      </c>
      <c r="J115" t="str">
        <f t="shared" si="8"/>
        <v>Low</v>
      </c>
      <c r="K115" s="1">
        <f t="shared" si="9"/>
        <v>0.10299999999999999</v>
      </c>
      <c r="L115" t="str">
        <f t="shared" si="10"/>
        <v>Obese</v>
      </c>
      <c r="M115" t="str">
        <f t="shared" si="11"/>
        <v>Standard</v>
      </c>
      <c r="N115" t="str">
        <f t="shared" si="12"/>
        <v>Tier 4</v>
      </c>
      <c r="O115">
        <f t="shared" si="13"/>
        <v>2</v>
      </c>
    </row>
    <row r="116" spans="1:15" x14ac:dyDescent="0.2">
      <c r="A116">
        <v>52</v>
      </c>
      <c r="B116" t="str" cm="1">
        <f t="array" ref="B116">_xlfn.IFS(A116&lt;=25,"18-25", A116&lt;=35,"26-35", A116&lt;=45,"36-45", A116&lt;=55,"46-55", A116&lt;=64,"56-64")</f>
        <v>46-55</v>
      </c>
      <c r="C116" t="s">
        <v>10</v>
      </c>
      <c r="D116">
        <v>32.204999999999998</v>
      </c>
      <c r="E116">
        <v>3</v>
      </c>
      <c r="F116" t="s">
        <v>11</v>
      </c>
      <c r="G116" t="s">
        <v>53</v>
      </c>
      <c r="H116" s="2">
        <v>11488.31695</v>
      </c>
      <c r="I116" s="2">
        <f t="shared" si="7"/>
        <v>2872.0792375000001</v>
      </c>
      <c r="J116" t="str">
        <f t="shared" si="8"/>
        <v>Low</v>
      </c>
      <c r="K116" s="1">
        <f t="shared" si="9"/>
        <v>0.60399999999999998</v>
      </c>
      <c r="L116" t="str">
        <f t="shared" si="10"/>
        <v>Obese</v>
      </c>
      <c r="M116" t="str">
        <f t="shared" si="11"/>
        <v>Standard</v>
      </c>
      <c r="N116" t="str">
        <f t="shared" si="12"/>
        <v>Tier 2</v>
      </c>
      <c r="O116">
        <f t="shared" si="13"/>
        <v>2</v>
      </c>
    </row>
    <row r="117" spans="1:15" x14ac:dyDescent="0.2">
      <c r="A117">
        <v>60</v>
      </c>
      <c r="B117" t="str" cm="1">
        <f t="array" ref="B117">_xlfn.IFS(A117&lt;=25,"18-25", A117&lt;=35,"26-35", A117&lt;=45,"36-45", A117&lt;=55,"46-55", A117&lt;=64,"56-64")</f>
        <v>56-64</v>
      </c>
      <c r="C117" t="s">
        <v>10</v>
      </c>
      <c r="D117">
        <v>28.594999999999999</v>
      </c>
      <c r="E117">
        <v>0</v>
      </c>
      <c r="F117" t="s">
        <v>11</v>
      </c>
      <c r="G117" t="s">
        <v>53</v>
      </c>
      <c r="H117" s="2">
        <v>30259.995559999999</v>
      </c>
      <c r="I117" s="2">
        <f t="shared" si="7"/>
        <v>30259.995559999999</v>
      </c>
      <c r="J117" t="str">
        <f t="shared" si="8"/>
        <v>High</v>
      </c>
      <c r="K117" s="1">
        <f t="shared" si="9"/>
        <v>0.88100000000000001</v>
      </c>
      <c r="L117" t="str">
        <f t="shared" si="10"/>
        <v>Overweight</v>
      </c>
      <c r="M117" t="str">
        <f t="shared" si="11"/>
        <v>Standard</v>
      </c>
      <c r="N117" t="str">
        <f t="shared" si="12"/>
        <v>Tier 2</v>
      </c>
      <c r="O117">
        <f t="shared" si="13"/>
        <v>1</v>
      </c>
    </row>
    <row r="118" spans="1:15" x14ac:dyDescent="0.2">
      <c r="A118">
        <v>58</v>
      </c>
      <c r="B118" t="str" cm="1">
        <f t="array" ref="B118">_xlfn.IFS(A118&lt;=25,"18-25", A118&lt;=35,"26-35", A118&lt;=45,"36-45", A118&lt;=55,"46-55", A118&lt;=64,"56-64")</f>
        <v>56-64</v>
      </c>
      <c r="C118" t="s">
        <v>10</v>
      </c>
      <c r="D118">
        <v>49.06</v>
      </c>
      <c r="E118">
        <v>0</v>
      </c>
      <c r="F118" t="s">
        <v>11</v>
      </c>
      <c r="G118" t="s">
        <v>51</v>
      </c>
      <c r="H118" s="2">
        <v>11381.3254</v>
      </c>
      <c r="I118" s="2">
        <f t="shared" si="7"/>
        <v>11381.3254</v>
      </c>
      <c r="J118" t="str">
        <f t="shared" si="8"/>
        <v>Low</v>
      </c>
      <c r="K118" s="1">
        <f t="shared" si="9"/>
        <v>0.59799999999999998</v>
      </c>
      <c r="L118" t="str">
        <f t="shared" si="10"/>
        <v>Obese</v>
      </c>
      <c r="M118" t="str">
        <f t="shared" si="11"/>
        <v>Standard</v>
      </c>
      <c r="N118" t="str">
        <f t="shared" si="12"/>
        <v>Tier 1</v>
      </c>
      <c r="O118">
        <f t="shared" si="13"/>
        <v>3</v>
      </c>
    </row>
    <row r="119" spans="1:15" x14ac:dyDescent="0.2">
      <c r="A119">
        <v>29</v>
      </c>
      <c r="B119" t="str" cm="1">
        <f t="array" ref="B119">_xlfn.IFS(A119&lt;=25,"18-25", A119&lt;=35,"26-35", A119&lt;=45,"36-45", A119&lt;=55,"46-55", A119&lt;=64,"56-64")</f>
        <v>26-35</v>
      </c>
      <c r="C119" t="s">
        <v>7</v>
      </c>
      <c r="D119">
        <v>27.94</v>
      </c>
      <c r="E119">
        <v>1</v>
      </c>
      <c r="F119" t="s">
        <v>8</v>
      </c>
      <c r="G119" t="s">
        <v>51</v>
      </c>
      <c r="H119" s="2">
        <v>19107.779600000002</v>
      </c>
      <c r="I119" s="2">
        <f t="shared" si="7"/>
        <v>9553.8898000000008</v>
      </c>
      <c r="J119" t="str">
        <f t="shared" si="8"/>
        <v>High</v>
      </c>
      <c r="K119" s="1">
        <f t="shared" si="9"/>
        <v>0.78200000000000003</v>
      </c>
      <c r="L119" t="str">
        <f t="shared" si="10"/>
        <v>Overweight</v>
      </c>
      <c r="M119" t="str">
        <f t="shared" si="11"/>
        <v>High Risk</v>
      </c>
      <c r="N119" t="str">
        <f t="shared" si="12"/>
        <v>Tier 1</v>
      </c>
      <c r="O119">
        <f t="shared" si="13"/>
        <v>5</v>
      </c>
    </row>
    <row r="120" spans="1:15" x14ac:dyDescent="0.2">
      <c r="A120">
        <v>49</v>
      </c>
      <c r="B120" t="str" cm="1">
        <f t="array" ref="B120">_xlfn.IFS(A120&lt;=25,"18-25", A120&lt;=35,"26-35", A120&lt;=45,"36-45", A120&lt;=55,"46-55", A120&lt;=64,"56-64")</f>
        <v>46-55</v>
      </c>
      <c r="C120" t="s">
        <v>7</v>
      </c>
      <c r="D120">
        <v>27.17</v>
      </c>
      <c r="E120">
        <v>0</v>
      </c>
      <c r="F120" t="s">
        <v>11</v>
      </c>
      <c r="G120" t="s">
        <v>51</v>
      </c>
      <c r="H120" s="2">
        <v>8601.3292999999994</v>
      </c>
      <c r="I120" s="2">
        <f t="shared" si="7"/>
        <v>8601.3292999999994</v>
      </c>
      <c r="J120" t="str">
        <f t="shared" si="8"/>
        <v>Low</v>
      </c>
      <c r="K120" s="1">
        <f t="shared" si="9"/>
        <v>0.46200000000000002</v>
      </c>
      <c r="L120" t="str">
        <f t="shared" si="10"/>
        <v>Overweight</v>
      </c>
      <c r="M120" t="str">
        <f t="shared" si="11"/>
        <v>Standard</v>
      </c>
      <c r="N120" t="str">
        <f t="shared" si="12"/>
        <v>Tier 1</v>
      </c>
      <c r="O120">
        <f t="shared" si="13"/>
        <v>2</v>
      </c>
    </row>
    <row r="121" spans="1:15" x14ac:dyDescent="0.2">
      <c r="A121">
        <v>37</v>
      </c>
      <c r="B121" t="str" cm="1">
        <f t="array" ref="B121">_xlfn.IFS(A121&lt;=25,"18-25", A121&lt;=35,"26-35", A121&lt;=45,"36-45", A121&lt;=55,"46-55", A121&lt;=64,"56-64")</f>
        <v>36-45</v>
      </c>
      <c r="C121" t="s">
        <v>7</v>
      </c>
      <c r="D121">
        <v>23.37</v>
      </c>
      <c r="E121">
        <v>2</v>
      </c>
      <c r="F121" t="s">
        <v>11</v>
      </c>
      <c r="G121" t="s">
        <v>54</v>
      </c>
      <c r="H121" s="2">
        <v>6686.4313000000002</v>
      </c>
      <c r="I121" s="2">
        <f t="shared" si="7"/>
        <v>2228.8104333333335</v>
      </c>
      <c r="J121" t="str">
        <f t="shared" si="8"/>
        <v>Low</v>
      </c>
      <c r="K121" s="1">
        <f t="shared" si="9"/>
        <v>0.36</v>
      </c>
      <c r="L121" t="str">
        <f t="shared" si="10"/>
        <v>Normal</v>
      </c>
      <c r="M121" t="str">
        <f t="shared" si="11"/>
        <v>Standard</v>
      </c>
      <c r="N121" t="str">
        <f t="shared" si="12"/>
        <v>Tier 4</v>
      </c>
      <c r="O121">
        <f t="shared" si="13"/>
        <v>0</v>
      </c>
    </row>
    <row r="122" spans="1:15" x14ac:dyDescent="0.2">
      <c r="A122">
        <v>44</v>
      </c>
      <c r="B122" t="str" cm="1">
        <f t="array" ref="B122">_xlfn.IFS(A122&lt;=25,"18-25", A122&lt;=35,"26-35", A122&lt;=45,"36-45", A122&lt;=55,"46-55", A122&lt;=64,"56-64")</f>
        <v>36-45</v>
      </c>
      <c r="C122" t="s">
        <v>10</v>
      </c>
      <c r="D122">
        <v>37.1</v>
      </c>
      <c r="E122">
        <v>2</v>
      </c>
      <c r="F122" t="s">
        <v>11</v>
      </c>
      <c r="G122" t="s">
        <v>52</v>
      </c>
      <c r="H122" s="2">
        <v>7740.3370000000004</v>
      </c>
      <c r="I122" s="2">
        <f t="shared" si="7"/>
        <v>2580.1123333333335</v>
      </c>
      <c r="J122" t="str">
        <f t="shared" si="8"/>
        <v>Low</v>
      </c>
      <c r="K122" s="1">
        <f t="shared" si="9"/>
        <v>0.41899999999999998</v>
      </c>
      <c r="L122" t="str">
        <f t="shared" si="10"/>
        <v>Obese</v>
      </c>
      <c r="M122" t="str">
        <f t="shared" si="11"/>
        <v>Standard</v>
      </c>
      <c r="N122" t="str">
        <f t="shared" si="12"/>
        <v>Tier 3</v>
      </c>
      <c r="O122">
        <f t="shared" si="13"/>
        <v>2</v>
      </c>
    </row>
    <row r="123" spans="1:15" x14ac:dyDescent="0.2">
      <c r="A123">
        <v>18</v>
      </c>
      <c r="B123" t="str" cm="1">
        <f t="array" ref="B123">_xlfn.IFS(A123&lt;=25,"18-25", A123&lt;=35,"26-35", A123&lt;=45,"36-45", A123&lt;=55,"46-55", A123&lt;=64,"56-64")</f>
        <v>18-25</v>
      </c>
      <c r="C123" t="s">
        <v>10</v>
      </c>
      <c r="D123">
        <v>23.75</v>
      </c>
      <c r="E123">
        <v>0</v>
      </c>
      <c r="F123" t="s">
        <v>11</v>
      </c>
      <c r="G123" t="s">
        <v>53</v>
      </c>
      <c r="H123" s="2">
        <v>1705.6244999999999</v>
      </c>
      <c r="I123" s="2">
        <f t="shared" si="7"/>
        <v>1705.6244999999999</v>
      </c>
      <c r="J123" t="str">
        <f t="shared" si="8"/>
        <v>Low</v>
      </c>
      <c r="K123" s="1">
        <f t="shared" si="9"/>
        <v>3.7999999999999999E-2</v>
      </c>
      <c r="L123" t="str">
        <f t="shared" si="10"/>
        <v>Normal</v>
      </c>
      <c r="M123" t="str">
        <f t="shared" si="11"/>
        <v>Standard</v>
      </c>
      <c r="N123" t="str">
        <f t="shared" si="12"/>
        <v>Tier 2</v>
      </c>
      <c r="O123">
        <f t="shared" si="13"/>
        <v>0</v>
      </c>
    </row>
    <row r="124" spans="1:15" x14ac:dyDescent="0.2">
      <c r="A124">
        <v>20</v>
      </c>
      <c r="B124" t="str" cm="1">
        <f t="array" ref="B124">_xlfn.IFS(A124&lt;=25,"18-25", A124&lt;=35,"26-35", A124&lt;=45,"36-45", A124&lt;=55,"46-55", A124&lt;=64,"56-64")</f>
        <v>18-25</v>
      </c>
      <c r="C124" t="s">
        <v>7</v>
      </c>
      <c r="D124">
        <v>28.975000000000001</v>
      </c>
      <c r="E124">
        <v>0</v>
      </c>
      <c r="F124" t="s">
        <v>11</v>
      </c>
      <c r="G124" t="s">
        <v>54</v>
      </c>
      <c r="H124" s="2">
        <v>2257.47525</v>
      </c>
      <c r="I124" s="2">
        <f t="shared" si="7"/>
        <v>2257.47525</v>
      </c>
      <c r="J124" t="str">
        <f t="shared" si="8"/>
        <v>Low</v>
      </c>
      <c r="K124" s="1">
        <f t="shared" si="9"/>
        <v>9.5000000000000001E-2</v>
      </c>
      <c r="L124" t="str">
        <f t="shared" si="10"/>
        <v>Overweight</v>
      </c>
      <c r="M124" t="str">
        <f t="shared" si="11"/>
        <v>Standard</v>
      </c>
      <c r="N124" t="str">
        <f t="shared" si="12"/>
        <v>Tier 4</v>
      </c>
      <c r="O124">
        <f t="shared" si="13"/>
        <v>1</v>
      </c>
    </row>
    <row r="125" spans="1:15" x14ac:dyDescent="0.2">
      <c r="A125">
        <v>44</v>
      </c>
      <c r="B125" t="str" cm="1">
        <f t="array" ref="B125">_xlfn.IFS(A125&lt;=25,"18-25", A125&lt;=35,"26-35", A125&lt;=45,"36-45", A125&lt;=55,"46-55", A125&lt;=64,"56-64")</f>
        <v>36-45</v>
      </c>
      <c r="C125" t="s">
        <v>10</v>
      </c>
      <c r="D125">
        <v>31.35</v>
      </c>
      <c r="E125">
        <v>1</v>
      </c>
      <c r="F125" t="s">
        <v>8</v>
      </c>
      <c r="G125" t="s">
        <v>53</v>
      </c>
      <c r="H125" s="2">
        <v>39556.494500000001</v>
      </c>
      <c r="I125" s="2">
        <f t="shared" si="7"/>
        <v>19778.24725</v>
      </c>
      <c r="J125" t="str">
        <f t="shared" si="8"/>
        <v>High</v>
      </c>
      <c r="K125" s="1">
        <f t="shared" si="9"/>
        <v>0.93400000000000005</v>
      </c>
      <c r="L125" t="str">
        <f t="shared" si="10"/>
        <v>Obese</v>
      </c>
      <c r="M125" t="str">
        <f t="shared" si="11"/>
        <v>High Risk</v>
      </c>
      <c r="N125" t="str">
        <f t="shared" si="12"/>
        <v>Tier 2</v>
      </c>
      <c r="O125">
        <f t="shared" si="13"/>
        <v>5</v>
      </c>
    </row>
    <row r="126" spans="1:15" x14ac:dyDescent="0.2">
      <c r="A126">
        <v>47</v>
      </c>
      <c r="B126" t="str" cm="1">
        <f t="array" ref="B126">_xlfn.IFS(A126&lt;=25,"18-25", A126&lt;=35,"26-35", A126&lt;=45,"36-45", A126&lt;=55,"46-55", A126&lt;=64,"56-64")</f>
        <v>46-55</v>
      </c>
      <c r="C126" t="s">
        <v>7</v>
      </c>
      <c r="D126">
        <v>33.914999999999999</v>
      </c>
      <c r="E126">
        <v>3</v>
      </c>
      <c r="F126" t="s">
        <v>11</v>
      </c>
      <c r="G126" t="s">
        <v>54</v>
      </c>
      <c r="H126" s="2">
        <v>10115.00885</v>
      </c>
      <c r="I126" s="2">
        <f t="shared" si="7"/>
        <v>2528.7522125</v>
      </c>
      <c r="J126" t="str">
        <f t="shared" si="8"/>
        <v>Low</v>
      </c>
      <c r="K126" s="1">
        <f t="shared" si="9"/>
        <v>0.53700000000000003</v>
      </c>
      <c r="L126" t="str">
        <f t="shared" si="10"/>
        <v>Obese</v>
      </c>
      <c r="M126" t="str">
        <f t="shared" si="11"/>
        <v>Standard</v>
      </c>
      <c r="N126" t="str">
        <f t="shared" si="12"/>
        <v>Tier 4</v>
      </c>
      <c r="O126">
        <f t="shared" si="13"/>
        <v>2</v>
      </c>
    </row>
    <row r="127" spans="1:15" x14ac:dyDescent="0.2">
      <c r="A127">
        <v>26</v>
      </c>
      <c r="B127" t="str" cm="1">
        <f t="array" ref="B127">_xlfn.IFS(A127&lt;=25,"18-25", A127&lt;=35,"26-35", A127&lt;=45,"36-45", A127&lt;=55,"46-55", A127&lt;=64,"56-64")</f>
        <v>26-35</v>
      </c>
      <c r="C127" t="s">
        <v>7</v>
      </c>
      <c r="D127">
        <v>28.785</v>
      </c>
      <c r="E127">
        <v>0</v>
      </c>
      <c r="F127" t="s">
        <v>11</v>
      </c>
      <c r="G127" t="s">
        <v>53</v>
      </c>
      <c r="H127" s="2">
        <v>3385.3991500000002</v>
      </c>
      <c r="I127" s="2">
        <f t="shared" si="7"/>
        <v>3385.3991500000002</v>
      </c>
      <c r="J127" t="str">
        <f t="shared" si="8"/>
        <v>Low</v>
      </c>
      <c r="K127" s="1">
        <f t="shared" si="9"/>
        <v>0.16500000000000001</v>
      </c>
      <c r="L127" t="str">
        <f t="shared" si="10"/>
        <v>Overweight</v>
      </c>
      <c r="M127" t="str">
        <f t="shared" si="11"/>
        <v>Standard</v>
      </c>
      <c r="N127" t="str">
        <f t="shared" si="12"/>
        <v>Tier 2</v>
      </c>
      <c r="O127">
        <f t="shared" si="13"/>
        <v>1</v>
      </c>
    </row>
    <row r="128" spans="1:15" x14ac:dyDescent="0.2">
      <c r="A128">
        <v>19</v>
      </c>
      <c r="B128" t="str" cm="1">
        <f t="array" ref="B128">_xlfn.IFS(A128&lt;=25,"18-25", A128&lt;=35,"26-35", A128&lt;=45,"36-45", A128&lt;=55,"46-55", A128&lt;=64,"56-64")</f>
        <v>18-25</v>
      </c>
      <c r="C128" t="s">
        <v>7</v>
      </c>
      <c r="D128">
        <v>28.3</v>
      </c>
      <c r="E128">
        <v>0</v>
      </c>
      <c r="F128" t="s">
        <v>8</v>
      </c>
      <c r="G128" t="s">
        <v>52</v>
      </c>
      <c r="H128" s="2">
        <v>17081.080000000002</v>
      </c>
      <c r="I128" s="2">
        <f t="shared" si="7"/>
        <v>17081.080000000002</v>
      </c>
      <c r="J128" t="str">
        <f t="shared" si="8"/>
        <v>High</v>
      </c>
      <c r="K128" s="1">
        <f t="shared" si="9"/>
        <v>0.753</v>
      </c>
      <c r="L128" t="str">
        <f t="shared" si="10"/>
        <v>Overweight</v>
      </c>
      <c r="M128" t="str">
        <f t="shared" si="11"/>
        <v>High Risk</v>
      </c>
      <c r="N128" t="str">
        <f t="shared" si="12"/>
        <v>Tier 3</v>
      </c>
      <c r="O128">
        <f t="shared" si="13"/>
        <v>4</v>
      </c>
    </row>
    <row r="129" spans="1:15" x14ac:dyDescent="0.2">
      <c r="A129">
        <v>52</v>
      </c>
      <c r="B129" t="str" cm="1">
        <f t="array" ref="B129">_xlfn.IFS(A129&lt;=25,"18-25", A129&lt;=35,"26-35", A129&lt;=45,"36-45", A129&lt;=55,"46-55", A129&lt;=64,"56-64")</f>
        <v>46-55</v>
      </c>
      <c r="C129" t="s">
        <v>7</v>
      </c>
      <c r="D129">
        <v>37.4</v>
      </c>
      <c r="E129">
        <v>0</v>
      </c>
      <c r="F129" t="s">
        <v>11</v>
      </c>
      <c r="G129" t="s">
        <v>52</v>
      </c>
      <c r="H129" s="2">
        <v>9634.5380000000005</v>
      </c>
      <c r="I129" s="2">
        <f t="shared" si="7"/>
        <v>9634.5380000000005</v>
      </c>
      <c r="J129" t="str">
        <f t="shared" si="8"/>
        <v>Low</v>
      </c>
      <c r="K129" s="1">
        <f t="shared" si="9"/>
        <v>0.51400000000000001</v>
      </c>
      <c r="L129" t="str">
        <f t="shared" si="10"/>
        <v>Obese</v>
      </c>
      <c r="M129" t="str">
        <f t="shared" si="11"/>
        <v>Standard</v>
      </c>
      <c r="N129" t="str">
        <f t="shared" si="12"/>
        <v>Tier 3</v>
      </c>
      <c r="O129">
        <f t="shared" si="13"/>
        <v>2</v>
      </c>
    </row>
    <row r="130" spans="1:15" x14ac:dyDescent="0.2">
      <c r="A130">
        <v>32</v>
      </c>
      <c r="B130" t="str" cm="1">
        <f t="array" ref="B130">_xlfn.IFS(A130&lt;=25,"18-25", A130&lt;=35,"26-35", A130&lt;=45,"36-45", A130&lt;=55,"46-55", A130&lt;=64,"56-64")</f>
        <v>26-35</v>
      </c>
      <c r="C130" t="s">
        <v>7</v>
      </c>
      <c r="D130">
        <v>17.765000000000001</v>
      </c>
      <c r="E130">
        <v>2</v>
      </c>
      <c r="F130" t="s">
        <v>8</v>
      </c>
      <c r="G130" t="s">
        <v>54</v>
      </c>
      <c r="H130" s="2">
        <v>32734.186300000001</v>
      </c>
      <c r="I130" s="2">
        <f t="shared" ref="I130:I193" si="14">H130/(E130+1)</f>
        <v>10911.395433333333</v>
      </c>
      <c r="J130" t="str">
        <f t="shared" ref="J130:J193" si="15">IF(H130&gt;AVERAGE($H$2:$H$1339),"High","Low")</f>
        <v>High</v>
      </c>
      <c r="K130" s="1">
        <f t="shared" ref="K130:K193" si="16">PERCENTRANK($H$2:$H$1339,H130)</f>
        <v>0.88600000000000001</v>
      </c>
      <c r="L130" t="str">
        <f t="shared" ref="L130:L193" si="17">IF(D130&lt;18.5,"Underweight",IF(D130&lt;25,"Normal",IF(D130&lt;30,"Overweight","Obese")))</f>
        <v>Underweight</v>
      </c>
      <c r="M130" t="str">
        <f t="shared" ref="M130:M193" si="18">IF(F130="yes","High Risk","Standard")</f>
        <v>High Risk</v>
      </c>
      <c r="N130" t="str">
        <f t="shared" ref="N130:N193" si="19">IF(G130="southeast","Tier 1",IF(G130="northeast","Tier 2",IF(G130="southwest","Tier 3","Tier 4")))</f>
        <v>Tier 4</v>
      </c>
      <c r="O130">
        <f t="shared" ref="O130:O193" si="20">IF(F130="yes",3,0)+IF(D130&gt;=30,2,IF(D130&gt;=25,1,0))+IF(G130="southeast",1,0)</f>
        <v>3</v>
      </c>
    </row>
    <row r="131" spans="1:15" x14ac:dyDescent="0.2">
      <c r="A131">
        <v>38</v>
      </c>
      <c r="B131" t="str" cm="1">
        <f t="array" ref="B131">_xlfn.IFS(A131&lt;=25,"18-25", A131&lt;=35,"26-35", A131&lt;=45,"36-45", A131&lt;=55,"46-55", A131&lt;=64,"56-64")</f>
        <v>36-45</v>
      </c>
      <c r="C131" t="s">
        <v>10</v>
      </c>
      <c r="D131">
        <v>34.700000000000003</v>
      </c>
      <c r="E131">
        <v>2</v>
      </c>
      <c r="F131" t="s">
        <v>11</v>
      </c>
      <c r="G131" t="s">
        <v>52</v>
      </c>
      <c r="H131" s="2">
        <v>6082.4049999999997</v>
      </c>
      <c r="I131" s="2">
        <f t="shared" si="14"/>
        <v>2027.4683333333332</v>
      </c>
      <c r="J131" t="str">
        <f t="shared" si="15"/>
        <v>Low</v>
      </c>
      <c r="K131" s="1">
        <f t="shared" si="16"/>
        <v>0.32300000000000001</v>
      </c>
      <c r="L131" t="str">
        <f t="shared" si="17"/>
        <v>Obese</v>
      </c>
      <c r="M131" t="str">
        <f t="shared" si="18"/>
        <v>Standard</v>
      </c>
      <c r="N131" t="str">
        <f t="shared" si="19"/>
        <v>Tier 3</v>
      </c>
      <c r="O131">
        <f t="shared" si="20"/>
        <v>2</v>
      </c>
    </row>
    <row r="132" spans="1:15" x14ac:dyDescent="0.2">
      <c r="A132">
        <v>59</v>
      </c>
      <c r="B132" t="str" cm="1">
        <f t="array" ref="B132">_xlfn.IFS(A132&lt;=25,"18-25", A132&lt;=35,"26-35", A132&lt;=45,"36-45", A132&lt;=55,"46-55", A132&lt;=64,"56-64")</f>
        <v>56-64</v>
      </c>
      <c r="C132" t="s">
        <v>7</v>
      </c>
      <c r="D132">
        <v>26.504999999999999</v>
      </c>
      <c r="E132">
        <v>0</v>
      </c>
      <c r="F132" t="s">
        <v>11</v>
      </c>
      <c r="G132" t="s">
        <v>53</v>
      </c>
      <c r="H132" s="2">
        <v>12815.444949999999</v>
      </c>
      <c r="I132" s="2">
        <f t="shared" si="14"/>
        <v>12815.444949999999</v>
      </c>
      <c r="J132" t="str">
        <f t="shared" si="15"/>
        <v>Low</v>
      </c>
      <c r="K132" s="1">
        <f t="shared" si="16"/>
        <v>0.66600000000000004</v>
      </c>
      <c r="L132" t="str">
        <f t="shared" si="17"/>
        <v>Overweight</v>
      </c>
      <c r="M132" t="str">
        <f t="shared" si="18"/>
        <v>Standard</v>
      </c>
      <c r="N132" t="str">
        <f t="shared" si="19"/>
        <v>Tier 2</v>
      </c>
      <c r="O132">
        <f t="shared" si="20"/>
        <v>1</v>
      </c>
    </row>
    <row r="133" spans="1:15" x14ac:dyDescent="0.2">
      <c r="A133">
        <v>61</v>
      </c>
      <c r="B133" t="str" cm="1">
        <f t="array" ref="B133">_xlfn.IFS(A133&lt;=25,"18-25", A133&lt;=35,"26-35", A133&lt;=45,"36-45", A133&lt;=55,"46-55", A133&lt;=64,"56-64")</f>
        <v>56-64</v>
      </c>
      <c r="C133" t="s">
        <v>7</v>
      </c>
      <c r="D133">
        <v>22.04</v>
      </c>
      <c r="E133">
        <v>0</v>
      </c>
      <c r="F133" t="s">
        <v>11</v>
      </c>
      <c r="G133" t="s">
        <v>53</v>
      </c>
      <c r="H133" s="2">
        <v>13616.3586</v>
      </c>
      <c r="I133" s="2">
        <f t="shared" si="14"/>
        <v>13616.3586</v>
      </c>
      <c r="J133" t="str">
        <f t="shared" si="15"/>
        <v>High</v>
      </c>
      <c r="K133" s="1">
        <f t="shared" si="16"/>
        <v>0.69699999999999995</v>
      </c>
      <c r="L133" t="str">
        <f t="shared" si="17"/>
        <v>Normal</v>
      </c>
      <c r="M133" t="str">
        <f t="shared" si="18"/>
        <v>Standard</v>
      </c>
      <c r="N133" t="str">
        <f t="shared" si="19"/>
        <v>Tier 2</v>
      </c>
      <c r="O133">
        <f t="shared" si="20"/>
        <v>0</v>
      </c>
    </row>
    <row r="134" spans="1:15" x14ac:dyDescent="0.2">
      <c r="A134">
        <v>53</v>
      </c>
      <c r="B134" t="str" cm="1">
        <f t="array" ref="B134">_xlfn.IFS(A134&lt;=25,"18-25", A134&lt;=35,"26-35", A134&lt;=45,"36-45", A134&lt;=55,"46-55", A134&lt;=64,"56-64")</f>
        <v>46-55</v>
      </c>
      <c r="C134" t="s">
        <v>7</v>
      </c>
      <c r="D134">
        <v>35.9</v>
      </c>
      <c r="E134">
        <v>2</v>
      </c>
      <c r="F134" t="s">
        <v>11</v>
      </c>
      <c r="G134" t="s">
        <v>52</v>
      </c>
      <c r="H134" s="2">
        <v>11163.567999999999</v>
      </c>
      <c r="I134" s="2">
        <f t="shared" si="14"/>
        <v>3721.1893333333333</v>
      </c>
      <c r="J134" t="str">
        <f t="shared" si="15"/>
        <v>Low</v>
      </c>
      <c r="K134" s="1">
        <f t="shared" si="16"/>
        <v>0.58399999999999996</v>
      </c>
      <c r="L134" t="str">
        <f t="shared" si="17"/>
        <v>Obese</v>
      </c>
      <c r="M134" t="str">
        <f t="shared" si="18"/>
        <v>Standard</v>
      </c>
      <c r="N134" t="str">
        <f t="shared" si="19"/>
        <v>Tier 3</v>
      </c>
      <c r="O134">
        <f t="shared" si="20"/>
        <v>2</v>
      </c>
    </row>
    <row r="135" spans="1:15" x14ac:dyDescent="0.2">
      <c r="A135">
        <v>19</v>
      </c>
      <c r="B135" t="str" cm="1">
        <f t="array" ref="B135">_xlfn.IFS(A135&lt;=25,"18-25", A135&lt;=35,"26-35", A135&lt;=45,"36-45", A135&lt;=55,"46-55", A135&lt;=64,"56-64")</f>
        <v>18-25</v>
      </c>
      <c r="C135" t="s">
        <v>10</v>
      </c>
      <c r="D135">
        <v>25.555</v>
      </c>
      <c r="E135">
        <v>0</v>
      </c>
      <c r="F135" t="s">
        <v>11</v>
      </c>
      <c r="G135" t="s">
        <v>54</v>
      </c>
      <c r="H135" s="2">
        <v>1632.5644500000001</v>
      </c>
      <c r="I135" s="2">
        <f t="shared" si="14"/>
        <v>1632.5644500000001</v>
      </c>
      <c r="J135" t="str">
        <f t="shared" si="15"/>
        <v>Low</v>
      </c>
      <c r="K135" s="1">
        <f t="shared" si="16"/>
        <v>2.5999999999999999E-2</v>
      </c>
      <c r="L135" t="str">
        <f t="shared" si="17"/>
        <v>Overweight</v>
      </c>
      <c r="M135" t="str">
        <f t="shared" si="18"/>
        <v>Standard</v>
      </c>
      <c r="N135" t="str">
        <f t="shared" si="19"/>
        <v>Tier 4</v>
      </c>
      <c r="O135">
        <f t="shared" si="20"/>
        <v>1</v>
      </c>
    </row>
    <row r="136" spans="1:15" x14ac:dyDescent="0.2">
      <c r="A136">
        <v>20</v>
      </c>
      <c r="B136" t="str" cm="1">
        <f t="array" ref="B136">_xlfn.IFS(A136&lt;=25,"18-25", A136&lt;=35,"26-35", A136&lt;=45,"36-45", A136&lt;=55,"46-55", A136&lt;=64,"56-64")</f>
        <v>18-25</v>
      </c>
      <c r="C136" t="s">
        <v>7</v>
      </c>
      <c r="D136">
        <v>28.785</v>
      </c>
      <c r="E136">
        <v>0</v>
      </c>
      <c r="F136" t="s">
        <v>11</v>
      </c>
      <c r="G136" t="s">
        <v>53</v>
      </c>
      <c r="H136" s="2">
        <v>2457.2111500000001</v>
      </c>
      <c r="I136" s="2">
        <f t="shared" si="14"/>
        <v>2457.2111500000001</v>
      </c>
      <c r="J136" t="str">
        <f t="shared" si="15"/>
        <v>Low</v>
      </c>
      <c r="K136" s="1">
        <f t="shared" si="16"/>
        <v>0.105</v>
      </c>
      <c r="L136" t="str">
        <f t="shared" si="17"/>
        <v>Overweight</v>
      </c>
      <c r="M136" t="str">
        <f t="shared" si="18"/>
        <v>Standard</v>
      </c>
      <c r="N136" t="str">
        <f t="shared" si="19"/>
        <v>Tier 2</v>
      </c>
      <c r="O136">
        <f t="shared" si="20"/>
        <v>1</v>
      </c>
    </row>
    <row r="137" spans="1:15" x14ac:dyDescent="0.2">
      <c r="A137">
        <v>22</v>
      </c>
      <c r="B137" t="str" cm="1">
        <f t="array" ref="B137">_xlfn.IFS(A137&lt;=25,"18-25", A137&lt;=35,"26-35", A137&lt;=45,"36-45", A137&lt;=55,"46-55", A137&lt;=64,"56-64")</f>
        <v>18-25</v>
      </c>
      <c r="C137" t="s">
        <v>7</v>
      </c>
      <c r="D137">
        <v>28.05</v>
      </c>
      <c r="E137">
        <v>0</v>
      </c>
      <c r="F137" t="s">
        <v>11</v>
      </c>
      <c r="G137" t="s">
        <v>51</v>
      </c>
      <c r="H137" s="2">
        <v>2155.6815000000001</v>
      </c>
      <c r="I137" s="2">
        <f t="shared" si="14"/>
        <v>2155.6815000000001</v>
      </c>
      <c r="J137" t="str">
        <f t="shared" si="15"/>
        <v>Low</v>
      </c>
      <c r="K137" s="1">
        <f t="shared" si="16"/>
        <v>8.2000000000000003E-2</v>
      </c>
      <c r="L137" t="str">
        <f t="shared" si="17"/>
        <v>Overweight</v>
      </c>
      <c r="M137" t="str">
        <f t="shared" si="18"/>
        <v>Standard</v>
      </c>
      <c r="N137" t="str">
        <f t="shared" si="19"/>
        <v>Tier 1</v>
      </c>
      <c r="O137">
        <f t="shared" si="20"/>
        <v>2</v>
      </c>
    </row>
    <row r="138" spans="1:15" x14ac:dyDescent="0.2">
      <c r="A138">
        <v>19</v>
      </c>
      <c r="B138" t="str" cm="1">
        <f t="array" ref="B138">_xlfn.IFS(A138&lt;=25,"18-25", A138&lt;=35,"26-35", A138&lt;=45,"36-45", A138&lt;=55,"46-55", A138&lt;=64,"56-64")</f>
        <v>18-25</v>
      </c>
      <c r="C138" t="s">
        <v>10</v>
      </c>
      <c r="D138">
        <v>34.1</v>
      </c>
      <c r="E138">
        <v>0</v>
      </c>
      <c r="F138" t="s">
        <v>11</v>
      </c>
      <c r="G138" t="s">
        <v>52</v>
      </c>
      <c r="H138" s="2">
        <v>1261.442</v>
      </c>
      <c r="I138" s="2">
        <f t="shared" si="14"/>
        <v>1261.442</v>
      </c>
      <c r="J138" t="str">
        <f t="shared" si="15"/>
        <v>Low</v>
      </c>
      <c r="K138" s="1">
        <f t="shared" si="16"/>
        <v>1.0999999999999999E-2</v>
      </c>
      <c r="L138" t="str">
        <f t="shared" si="17"/>
        <v>Obese</v>
      </c>
      <c r="M138" t="str">
        <f t="shared" si="18"/>
        <v>Standard</v>
      </c>
      <c r="N138" t="str">
        <f t="shared" si="19"/>
        <v>Tier 3</v>
      </c>
      <c r="O138">
        <f t="shared" si="20"/>
        <v>2</v>
      </c>
    </row>
    <row r="139" spans="1:15" x14ac:dyDescent="0.2">
      <c r="A139">
        <v>22</v>
      </c>
      <c r="B139" t="str" cm="1">
        <f t="array" ref="B139">_xlfn.IFS(A139&lt;=25,"18-25", A139&lt;=35,"26-35", A139&lt;=45,"36-45", A139&lt;=55,"46-55", A139&lt;=64,"56-64")</f>
        <v>18-25</v>
      </c>
      <c r="C139" t="s">
        <v>10</v>
      </c>
      <c r="D139">
        <v>25.175000000000001</v>
      </c>
      <c r="E139">
        <v>0</v>
      </c>
      <c r="F139" t="s">
        <v>11</v>
      </c>
      <c r="G139" t="s">
        <v>54</v>
      </c>
      <c r="H139" s="2">
        <v>2045.68525</v>
      </c>
      <c r="I139" s="2">
        <f t="shared" si="14"/>
        <v>2045.68525</v>
      </c>
      <c r="J139" t="str">
        <f t="shared" si="15"/>
        <v>Low</v>
      </c>
      <c r="K139" s="1">
        <f t="shared" si="16"/>
        <v>7.0999999999999994E-2</v>
      </c>
      <c r="L139" t="str">
        <f t="shared" si="17"/>
        <v>Overweight</v>
      </c>
      <c r="M139" t="str">
        <f t="shared" si="18"/>
        <v>Standard</v>
      </c>
      <c r="N139" t="str">
        <f t="shared" si="19"/>
        <v>Tier 4</v>
      </c>
      <c r="O139">
        <f t="shared" si="20"/>
        <v>1</v>
      </c>
    </row>
    <row r="140" spans="1:15" x14ac:dyDescent="0.2">
      <c r="A140">
        <v>54</v>
      </c>
      <c r="B140" t="str" cm="1">
        <f t="array" ref="B140">_xlfn.IFS(A140&lt;=25,"18-25", A140&lt;=35,"26-35", A140&lt;=45,"36-45", A140&lt;=55,"46-55", A140&lt;=64,"56-64")</f>
        <v>46-55</v>
      </c>
      <c r="C140" t="s">
        <v>7</v>
      </c>
      <c r="D140">
        <v>31.9</v>
      </c>
      <c r="E140">
        <v>3</v>
      </c>
      <c r="F140" t="s">
        <v>11</v>
      </c>
      <c r="G140" t="s">
        <v>51</v>
      </c>
      <c r="H140" s="2">
        <v>27322.73386</v>
      </c>
      <c r="I140" s="2">
        <f t="shared" si="14"/>
        <v>6830.6834650000001</v>
      </c>
      <c r="J140" t="str">
        <f t="shared" si="15"/>
        <v>High</v>
      </c>
      <c r="K140" s="1">
        <f t="shared" si="16"/>
        <v>0.86499999999999999</v>
      </c>
      <c r="L140" t="str">
        <f t="shared" si="17"/>
        <v>Obese</v>
      </c>
      <c r="M140" t="str">
        <f t="shared" si="18"/>
        <v>Standard</v>
      </c>
      <c r="N140" t="str">
        <f t="shared" si="19"/>
        <v>Tier 1</v>
      </c>
      <c r="O140">
        <f t="shared" si="20"/>
        <v>3</v>
      </c>
    </row>
    <row r="141" spans="1:15" x14ac:dyDescent="0.2">
      <c r="A141">
        <v>22</v>
      </c>
      <c r="B141" t="str" cm="1">
        <f t="array" ref="B141">_xlfn.IFS(A141&lt;=25,"18-25", A141&lt;=35,"26-35", A141&lt;=45,"36-45", A141&lt;=55,"46-55", A141&lt;=64,"56-64")</f>
        <v>18-25</v>
      </c>
      <c r="C141" t="s">
        <v>7</v>
      </c>
      <c r="D141">
        <v>36</v>
      </c>
      <c r="E141">
        <v>0</v>
      </c>
      <c r="F141" t="s">
        <v>11</v>
      </c>
      <c r="G141" t="s">
        <v>52</v>
      </c>
      <c r="H141" s="2">
        <v>2166.732</v>
      </c>
      <c r="I141" s="2">
        <f t="shared" si="14"/>
        <v>2166.732</v>
      </c>
      <c r="J141" t="str">
        <f t="shared" si="15"/>
        <v>Low</v>
      </c>
      <c r="K141" s="1">
        <f t="shared" si="16"/>
        <v>8.3000000000000004E-2</v>
      </c>
      <c r="L141" t="str">
        <f t="shared" si="17"/>
        <v>Obese</v>
      </c>
      <c r="M141" t="str">
        <f t="shared" si="18"/>
        <v>Standard</v>
      </c>
      <c r="N141" t="str">
        <f t="shared" si="19"/>
        <v>Tier 3</v>
      </c>
      <c r="O141">
        <f t="shared" si="20"/>
        <v>2</v>
      </c>
    </row>
    <row r="142" spans="1:15" x14ac:dyDescent="0.2">
      <c r="A142">
        <v>34</v>
      </c>
      <c r="B142" t="str" cm="1">
        <f t="array" ref="B142">_xlfn.IFS(A142&lt;=25,"18-25", A142&lt;=35,"26-35", A142&lt;=45,"36-45", A142&lt;=55,"46-55", A142&lt;=64,"56-64")</f>
        <v>26-35</v>
      </c>
      <c r="C142" t="s">
        <v>10</v>
      </c>
      <c r="D142">
        <v>22.42</v>
      </c>
      <c r="E142">
        <v>2</v>
      </c>
      <c r="F142" t="s">
        <v>11</v>
      </c>
      <c r="G142" t="s">
        <v>53</v>
      </c>
      <c r="H142" s="2">
        <v>27375.904780000001</v>
      </c>
      <c r="I142" s="2">
        <f t="shared" si="14"/>
        <v>9125.3015933333336</v>
      </c>
      <c r="J142" t="str">
        <f t="shared" si="15"/>
        <v>High</v>
      </c>
      <c r="K142" s="1">
        <f t="shared" si="16"/>
        <v>0.86599999999999999</v>
      </c>
      <c r="L142" t="str">
        <f t="shared" si="17"/>
        <v>Normal</v>
      </c>
      <c r="M142" t="str">
        <f t="shared" si="18"/>
        <v>Standard</v>
      </c>
      <c r="N142" t="str">
        <f t="shared" si="19"/>
        <v>Tier 2</v>
      </c>
      <c r="O142">
        <f t="shared" si="20"/>
        <v>0</v>
      </c>
    </row>
    <row r="143" spans="1:15" x14ac:dyDescent="0.2">
      <c r="A143">
        <v>26</v>
      </c>
      <c r="B143" t="str" cm="1">
        <f t="array" ref="B143">_xlfn.IFS(A143&lt;=25,"18-25", A143&lt;=35,"26-35", A143&lt;=45,"36-45", A143&lt;=55,"46-55", A143&lt;=64,"56-64")</f>
        <v>26-35</v>
      </c>
      <c r="C143" t="s">
        <v>10</v>
      </c>
      <c r="D143">
        <v>32.49</v>
      </c>
      <c r="E143">
        <v>1</v>
      </c>
      <c r="F143" t="s">
        <v>11</v>
      </c>
      <c r="G143" t="s">
        <v>53</v>
      </c>
      <c r="H143" s="2">
        <v>3490.5491000000002</v>
      </c>
      <c r="I143" s="2">
        <f t="shared" si="14"/>
        <v>1745.2745500000001</v>
      </c>
      <c r="J143" t="str">
        <f t="shared" si="15"/>
        <v>Low</v>
      </c>
      <c r="K143" s="1">
        <f t="shared" si="16"/>
        <v>0.17199999999999999</v>
      </c>
      <c r="L143" t="str">
        <f t="shared" si="17"/>
        <v>Obese</v>
      </c>
      <c r="M143" t="str">
        <f t="shared" si="18"/>
        <v>Standard</v>
      </c>
      <c r="N143" t="str">
        <f t="shared" si="19"/>
        <v>Tier 2</v>
      </c>
      <c r="O143">
        <f t="shared" si="20"/>
        <v>2</v>
      </c>
    </row>
    <row r="144" spans="1:15" x14ac:dyDescent="0.2">
      <c r="A144">
        <v>34</v>
      </c>
      <c r="B144" t="str" cm="1">
        <f t="array" ref="B144">_xlfn.IFS(A144&lt;=25,"18-25", A144&lt;=35,"26-35", A144&lt;=45,"36-45", A144&lt;=55,"46-55", A144&lt;=64,"56-64")</f>
        <v>26-35</v>
      </c>
      <c r="C144" t="s">
        <v>10</v>
      </c>
      <c r="D144">
        <v>25.3</v>
      </c>
      <c r="E144">
        <v>2</v>
      </c>
      <c r="F144" t="s">
        <v>8</v>
      </c>
      <c r="G144" t="s">
        <v>51</v>
      </c>
      <c r="H144" s="2">
        <v>18972.494999999999</v>
      </c>
      <c r="I144" s="2">
        <f t="shared" si="14"/>
        <v>6324.165</v>
      </c>
      <c r="J144" t="str">
        <f t="shared" si="15"/>
        <v>High</v>
      </c>
      <c r="K144" s="1">
        <f t="shared" si="16"/>
        <v>0.78</v>
      </c>
      <c r="L144" t="str">
        <f t="shared" si="17"/>
        <v>Overweight</v>
      </c>
      <c r="M144" t="str">
        <f t="shared" si="18"/>
        <v>High Risk</v>
      </c>
      <c r="N144" t="str">
        <f t="shared" si="19"/>
        <v>Tier 1</v>
      </c>
      <c r="O144">
        <f t="shared" si="20"/>
        <v>5</v>
      </c>
    </row>
    <row r="145" spans="1:15" x14ac:dyDescent="0.2">
      <c r="A145">
        <v>29</v>
      </c>
      <c r="B145" t="str" cm="1">
        <f t="array" ref="B145">_xlfn.IFS(A145&lt;=25,"18-25", A145&lt;=35,"26-35", A145&lt;=45,"36-45", A145&lt;=55,"46-55", A145&lt;=64,"56-64")</f>
        <v>26-35</v>
      </c>
      <c r="C145" t="s">
        <v>10</v>
      </c>
      <c r="D145">
        <v>29.734999999999999</v>
      </c>
      <c r="E145">
        <v>2</v>
      </c>
      <c r="F145" t="s">
        <v>11</v>
      </c>
      <c r="G145" t="s">
        <v>54</v>
      </c>
      <c r="H145" s="2">
        <v>18157.876</v>
      </c>
      <c r="I145" s="2">
        <f t="shared" si="14"/>
        <v>6052.6253333333334</v>
      </c>
      <c r="J145" t="str">
        <f t="shared" si="15"/>
        <v>High</v>
      </c>
      <c r="K145" s="1">
        <f t="shared" si="16"/>
        <v>0.76700000000000002</v>
      </c>
      <c r="L145" t="str">
        <f t="shared" si="17"/>
        <v>Overweight</v>
      </c>
      <c r="M145" t="str">
        <f t="shared" si="18"/>
        <v>Standard</v>
      </c>
      <c r="N145" t="str">
        <f t="shared" si="19"/>
        <v>Tier 4</v>
      </c>
      <c r="O145">
        <f t="shared" si="20"/>
        <v>1</v>
      </c>
    </row>
    <row r="146" spans="1:15" x14ac:dyDescent="0.2">
      <c r="A146">
        <v>30</v>
      </c>
      <c r="B146" t="str" cm="1">
        <f t="array" ref="B146">_xlfn.IFS(A146&lt;=25,"18-25", A146&lt;=35,"26-35", A146&lt;=45,"36-45", A146&lt;=55,"46-55", A146&lt;=64,"56-64")</f>
        <v>26-35</v>
      </c>
      <c r="C146" t="s">
        <v>10</v>
      </c>
      <c r="D146">
        <v>28.69</v>
      </c>
      <c r="E146">
        <v>3</v>
      </c>
      <c r="F146" t="s">
        <v>8</v>
      </c>
      <c r="G146" t="s">
        <v>54</v>
      </c>
      <c r="H146" s="2">
        <v>20745.989099999999</v>
      </c>
      <c r="I146" s="2">
        <f t="shared" si="14"/>
        <v>5186.4972749999997</v>
      </c>
      <c r="J146" t="str">
        <f t="shared" si="15"/>
        <v>High</v>
      </c>
      <c r="K146" s="1">
        <f t="shared" si="16"/>
        <v>0.80400000000000005</v>
      </c>
      <c r="L146" t="str">
        <f t="shared" si="17"/>
        <v>Overweight</v>
      </c>
      <c r="M146" t="str">
        <f t="shared" si="18"/>
        <v>High Risk</v>
      </c>
      <c r="N146" t="str">
        <f t="shared" si="19"/>
        <v>Tier 4</v>
      </c>
      <c r="O146">
        <f t="shared" si="20"/>
        <v>4</v>
      </c>
    </row>
    <row r="147" spans="1:15" x14ac:dyDescent="0.2">
      <c r="A147">
        <v>29</v>
      </c>
      <c r="B147" t="str" cm="1">
        <f t="array" ref="B147">_xlfn.IFS(A147&lt;=25,"18-25", A147&lt;=35,"26-35", A147&lt;=45,"36-45", A147&lt;=55,"46-55", A147&lt;=64,"56-64")</f>
        <v>26-35</v>
      </c>
      <c r="C147" t="s">
        <v>7</v>
      </c>
      <c r="D147">
        <v>38.83</v>
      </c>
      <c r="E147">
        <v>3</v>
      </c>
      <c r="F147" t="s">
        <v>11</v>
      </c>
      <c r="G147" t="s">
        <v>51</v>
      </c>
      <c r="H147" s="2">
        <v>5138.2566999999999</v>
      </c>
      <c r="I147" s="2">
        <f t="shared" si="14"/>
        <v>1284.564175</v>
      </c>
      <c r="J147" t="str">
        <f t="shared" si="15"/>
        <v>Low</v>
      </c>
      <c r="K147" s="1">
        <f t="shared" si="16"/>
        <v>0.27500000000000002</v>
      </c>
      <c r="L147" t="str">
        <f t="shared" si="17"/>
        <v>Obese</v>
      </c>
      <c r="M147" t="str">
        <f t="shared" si="18"/>
        <v>Standard</v>
      </c>
      <c r="N147" t="str">
        <f t="shared" si="19"/>
        <v>Tier 1</v>
      </c>
      <c r="O147">
        <f t="shared" si="20"/>
        <v>3</v>
      </c>
    </row>
    <row r="148" spans="1:15" x14ac:dyDescent="0.2">
      <c r="A148">
        <v>46</v>
      </c>
      <c r="B148" t="str" cm="1">
        <f t="array" ref="B148">_xlfn.IFS(A148&lt;=25,"18-25", A148&lt;=35,"26-35", A148&lt;=45,"36-45", A148&lt;=55,"46-55", A148&lt;=64,"56-64")</f>
        <v>46-55</v>
      </c>
      <c r="C148" t="s">
        <v>10</v>
      </c>
      <c r="D148">
        <v>30.495000000000001</v>
      </c>
      <c r="E148">
        <v>3</v>
      </c>
      <c r="F148" t="s">
        <v>8</v>
      </c>
      <c r="G148" t="s">
        <v>54</v>
      </c>
      <c r="H148" s="2">
        <v>40720.551050000002</v>
      </c>
      <c r="I148" s="2">
        <f t="shared" si="14"/>
        <v>10180.1377625</v>
      </c>
      <c r="J148" t="str">
        <f t="shared" si="15"/>
        <v>High</v>
      </c>
      <c r="K148" s="1">
        <f t="shared" si="16"/>
        <v>0.94499999999999995</v>
      </c>
      <c r="L148" t="str">
        <f t="shared" si="17"/>
        <v>Obese</v>
      </c>
      <c r="M148" t="str">
        <f t="shared" si="18"/>
        <v>High Risk</v>
      </c>
      <c r="N148" t="str">
        <f t="shared" si="19"/>
        <v>Tier 4</v>
      </c>
      <c r="O148">
        <f t="shared" si="20"/>
        <v>5</v>
      </c>
    </row>
    <row r="149" spans="1:15" x14ac:dyDescent="0.2">
      <c r="A149">
        <v>51</v>
      </c>
      <c r="B149" t="str" cm="1">
        <f t="array" ref="B149">_xlfn.IFS(A149&lt;=25,"18-25", A149&lt;=35,"26-35", A149&lt;=45,"36-45", A149&lt;=55,"46-55", A149&lt;=64,"56-64")</f>
        <v>46-55</v>
      </c>
      <c r="C149" t="s">
        <v>7</v>
      </c>
      <c r="D149">
        <v>37.729999999999997</v>
      </c>
      <c r="E149">
        <v>1</v>
      </c>
      <c r="F149" t="s">
        <v>11</v>
      </c>
      <c r="G149" t="s">
        <v>51</v>
      </c>
      <c r="H149" s="2">
        <v>9877.6077000000005</v>
      </c>
      <c r="I149" s="2">
        <f t="shared" si="14"/>
        <v>4938.8038500000002</v>
      </c>
      <c r="J149" t="str">
        <f t="shared" si="15"/>
        <v>Low</v>
      </c>
      <c r="K149" s="1">
        <f t="shared" si="16"/>
        <v>0.52800000000000002</v>
      </c>
      <c r="L149" t="str">
        <f t="shared" si="17"/>
        <v>Obese</v>
      </c>
      <c r="M149" t="str">
        <f t="shared" si="18"/>
        <v>Standard</v>
      </c>
      <c r="N149" t="str">
        <f t="shared" si="19"/>
        <v>Tier 1</v>
      </c>
      <c r="O149">
        <f t="shared" si="20"/>
        <v>3</v>
      </c>
    </row>
    <row r="150" spans="1:15" x14ac:dyDescent="0.2">
      <c r="A150">
        <v>53</v>
      </c>
      <c r="B150" t="str" cm="1">
        <f t="array" ref="B150">_xlfn.IFS(A150&lt;=25,"18-25", A150&lt;=35,"26-35", A150&lt;=45,"36-45", A150&lt;=55,"46-55", A150&lt;=64,"56-64")</f>
        <v>46-55</v>
      </c>
      <c r="C150" t="s">
        <v>7</v>
      </c>
      <c r="D150">
        <v>37.43</v>
      </c>
      <c r="E150">
        <v>1</v>
      </c>
      <c r="F150" t="s">
        <v>11</v>
      </c>
      <c r="G150" t="s">
        <v>54</v>
      </c>
      <c r="H150" s="2">
        <v>10959.6947</v>
      </c>
      <c r="I150" s="2">
        <f t="shared" si="14"/>
        <v>5479.84735</v>
      </c>
      <c r="J150" t="str">
        <f t="shared" si="15"/>
        <v>Low</v>
      </c>
      <c r="K150" s="1">
        <f t="shared" si="16"/>
        <v>0.57299999999999995</v>
      </c>
      <c r="L150" t="str">
        <f t="shared" si="17"/>
        <v>Obese</v>
      </c>
      <c r="M150" t="str">
        <f t="shared" si="18"/>
        <v>Standard</v>
      </c>
      <c r="N150" t="str">
        <f t="shared" si="19"/>
        <v>Tier 4</v>
      </c>
      <c r="O150">
        <f t="shared" si="20"/>
        <v>2</v>
      </c>
    </row>
    <row r="151" spans="1:15" x14ac:dyDescent="0.2">
      <c r="A151">
        <v>19</v>
      </c>
      <c r="B151" t="str" cm="1">
        <f t="array" ref="B151">_xlfn.IFS(A151&lt;=25,"18-25", A151&lt;=35,"26-35", A151&lt;=45,"36-45", A151&lt;=55,"46-55", A151&lt;=64,"56-64")</f>
        <v>18-25</v>
      </c>
      <c r="C151" t="s">
        <v>10</v>
      </c>
      <c r="D151">
        <v>28.4</v>
      </c>
      <c r="E151">
        <v>1</v>
      </c>
      <c r="F151" t="s">
        <v>11</v>
      </c>
      <c r="G151" t="s">
        <v>52</v>
      </c>
      <c r="H151" s="2">
        <v>1842.519</v>
      </c>
      <c r="I151" s="2">
        <f t="shared" si="14"/>
        <v>921.2595</v>
      </c>
      <c r="J151" t="str">
        <f t="shared" si="15"/>
        <v>Low</v>
      </c>
      <c r="K151" s="1">
        <f t="shared" si="16"/>
        <v>5.6000000000000001E-2</v>
      </c>
      <c r="L151" t="str">
        <f t="shared" si="17"/>
        <v>Overweight</v>
      </c>
      <c r="M151" t="str">
        <f t="shared" si="18"/>
        <v>Standard</v>
      </c>
      <c r="N151" t="str">
        <f t="shared" si="19"/>
        <v>Tier 3</v>
      </c>
      <c r="O151">
        <f t="shared" si="20"/>
        <v>1</v>
      </c>
    </row>
    <row r="152" spans="1:15" x14ac:dyDescent="0.2">
      <c r="A152">
        <v>35</v>
      </c>
      <c r="B152" t="str" cm="1">
        <f t="array" ref="B152">_xlfn.IFS(A152&lt;=25,"18-25", A152&lt;=35,"26-35", A152&lt;=45,"36-45", A152&lt;=55,"46-55", A152&lt;=64,"56-64")</f>
        <v>26-35</v>
      </c>
      <c r="C152" t="s">
        <v>10</v>
      </c>
      <c r="D152">
        <v>24.13</v>
      </c>
      <c r="E152">
        <v>1</v>
      </c>
      <c r="F152" t="s">
        <v>11</v>
      </c>
      <c r="G152" t="s">
        <v>54</v>
      </c>
      <c r="H152" s="2">
        <v>5125.2156999999997</v>
      </c>
      <c r="I152" s="2">
        <f t="shared" si="14"/>
        <v>2562.6078499999999</v>
      </c>
      <c r="J152" t="str">
        <f t="shared" si="15"/>
        <v>Low</v>
      </c>
      <c r="K152" s="1">
        <f t="shared" si="16"/>
        <v>0.27400000000000002</v>
      </c>
      <c r="L152" t="str">
        <f t="shared" si="17"/>
        <v>Normal</v>
      </c>
      <c r="M152" t="str">
        <f t="shared" si="18"/>
        <v>Standard</v>
      </c>
      <c r="N152" t="str">
        <f t="shared" si="19"/>
        <v>Tier 4</v>
      </c>
      <c r="O152">
        <f t="shared" si="20"/>
        <v>0</v>
      </c>
    </row>
    <row r="153" spans="1:15" x14ac:dyDescent="0.2">
      <c r="A153">
        <v>48</v>
      </c>
      <c r="B153" t="str" cm="1">
        <f t="array" ref="B153">_xlfn.IFS(A153&lt;=25,"18-25", A153&lt;=35,"26-35", A153&lt;=45,"36-45", A153&lt;=55,"46-55", A153&lt;=64,"56-64")</f>
        <v>46-55</v>
      </c>
      <c r="C153" t="s">
        <v>10</v>
      </c>
      <c r="D153">
        <v>29.7</v>
      </c>
      <c r="E153">
        <v>0</v>
      </c>
      <c r="F153" t="s">
        <v>11</v>
      </c>
      <c r="G153" t="s">
        <v>51</v>
      </c>
      <c r="H153" s="2">
        <v>7789.6350000000002</v>
      </c>
      <c r="I153" s="2">
        <f t="shared" si="14"/>
        <v>7789.6350000000002</v>
      </c>
      <c r="J153" t="str">
        <f t="shared" si="15"/>
        <v>Low</v>
      </c>
      <c r="K153" s="1">
        <f t="shared" si="16"/>
        <v>0.42099999999999999</v>
      </c>
      <c r="L153" t="str">
        <f t="shared" si="17"/>
        <v>Overweight</v>
      </c>
      <c r="M153" t="str">
        <f t="shared" si="18"/>
        <v>Standard</v>
      </c>
      <c r="N153" t="str">
        <f t="shared" si="19"/>
        <v>Tier 1</v>
      </c>
      <c r="O153">
        <f t="shared" si="20"/>
        <v>2</v>
      </c>
    </row>
    <row r="154" spans="1:15" x14ac:dyDescent="0.2">
      <c r="A154">
        <v>32</v>
      </c>
      <c r="B154" t="str" cm="1">
        <f t="array" ref="B154">_xlfn.IFS(A154&lt;=25,"18-25", A154&lt;=35,"26-35", A154&lt;=45,"36-45", A154&lt;=55,"46-55", A154&lt;=64,"56-64")</f>
        <v>26-35</v>
      </c>
      <c r="C154" t="s">
        <v>7</v>
      </c>
      <c r="D154">
        <v>37.145000000000003</v>
      </c>
      <c r="E154">
        <v>3</v>
      </c>
      <c r="F154" t="s">
        <v>11</v>
      </c>
      <c r="G154" t="s">
        <v>53</v>
      </c>
      <c r="H154" s="2">
        <v>6334.3435499999996</v>
      </c>
      <c r="I154" s="2">
        <f t="shared" si="14"/>
        <v>1583.5858874999999</v>
      </c>
      <c r="J154" t="str">
        <f t="shared" si="15"/>
        <v>Low</v>
      </c>
      <c r="K154" s="1">
        <f t="shared" si="16"/>
        <v>0.33700000000000002</v>
      </c>
      <c r="L154" t="str">
        <f t="shared" si="17"/>
        <v>Obese</v>
      </c>
      <c r="M154" t="str">
        <f t="shared" si="18"/>
        <v>Standard</v>
      </c>
      <c r="N154" t="str">
        <f t="shared" si="19"/>
        <v>Tier 2</v>
      </c>
      <c r="O154">
        <f t="shared" si="20"/>
        <v>2</v>
      </c>
    </row>
    <row r="155" spans="1:15" x14ac:dyDescent="0.2">
      <c r="A155">
        <v>42</v>
      </c>
      <c r="B155" t="str" cm="1">
        <f t="array" ref="B155">_xlfn.IFS(A155&lt;=25,"18-25", A155&lt;=35,"26-35", A155&lt;=45,"36-45", A155&lt;=55,"46-55", A155&lt;=64,"56-64")</f>
        <v>36-45</v>
      </c>
      <c r="C155" t="s">
        <v>7</v>
      </c>
      <c r="D155">
        <v>23.37</v>
      </c>
      <c r="E155">
        <v>0</v>
      </c>
      <c r="F155" t="s">
        <v>8</v>
      </c>
      <c r="G155" t="s">
        <v>53</v>
      </c>
      <c r="H155" s="2">
        <v>19964.746299999999</v>
      </c>
      <c r="I155" s="2">
        <f t="shared" si="14"/>
        <v>19964.746299999999</v>
      </c>
      <c r="J155" t="str">
        <f t="shared" si="15"/>
        <v>High</v>
      </c>
      <c r="K155" s="1">
        <f t="shared" si="16"/>
        <v>0.79500000000000004</v>
      </c>
      <c r="L155" t="str">
        <f t="shared" si="17"/>
        <v>Normal</v>
      </c>
      <c r="M155" t="str">
        <f t="shared" si="18"/>
        <v>High Risk</v>
      </c>
      <c r="N155" t="str">
        <f t="shared" si="19"/>
        <v>Tier 2</v>
      </c>
      <c r="O155">
        <f t="shared" si="20"/>
        <v>3</v>
      </c>
    </row>
    <row r="156" spans="1:15" x14ac:dyDescent="0.2">
      <c r="A156">
        <v>40</v>
      </c>
      <c r="B156" t="str" cm="1">
        <f t="array" ref="B156">_xlfn.IFS(A156&lt;=25,"18-25", A156&lt;=35,"26-35", A156&lt;=45,"36-45", A156&lt;=55,"46-55", A156&lt;=64,"56-64")</f>
        <v>36-45</v>
      </c>
      <c r="C156" t="s">
        <v>7</v>
      </c>
      <c r="D156">
        <v>25.46</v>
      </c>
      <c r="E156">
        <v>1</v>
      </c>
      <c r="F156" t="s">
        <v>11</v>
      </c>
      <c r="G156" t="s">
        <v>53</v>
      </c>
      <c r="H156" s="2">
        <v>7077.1894000000002</v>
      </c>
      <c r="I156" s="2">
        <f t="shared" si="14"/>
        <v>3538.5947000000001</v>
      </c>
      <c r="J156" t="str">
        <f t="shared" si="15"/>
        <v>Low</v>
      </c>
      <c r="K156" s="1">
        <f t="shared" si="16"/>
        <v>0.378</v>
      </c>
      <c r="L156" t="str">
        <f t="shared" si="17"/>
        <v>Overweight</v>
      </c>
      <c r="M156" t="str">
        <f t="shared" si="18"/>
        <v>Standard</v>
      </c>
      <c r="N156" t="str">
        <f t="shared" si="19"/>
        <v>Tier 2</v>
      </c>
      <c r="O156">
        <f t="shared" si="20"/>
        <v>1</v>
      </c>
    </row>
    <row r="157" spans="1:15" x14ac:dyDescent="0.2">
      <c r="A157">
        <v>44</v>
      </c>
      <c r="B157" t="str" cm="1">
        <f t="array" ref="B157">_xlfn.IFS(A157&lt;=25,"18-25", A157&lt;=35,"26-35", A157&lt;=45,"36-45", A157&lt;=55,"46-55", A157&lt;=64,"56-64")</f>
        <v>36-45</v>
      </c>
      <c r="C157" t="s">
        <v>10</v>
      </c>
      <c r="D157">
        <v>39.520000000000003</v>
      </c>
      <c r="E157">
        <v>0</v>
      </c>
      <c r="F157" t="s">
        <v>11</v>
      </c>
      <c r="G157" t="s">
        <v>54</v>
      </c>
      <c r="H157" s="2">
        <v>6948.7007999999996</v>
      </c>
      <c r="I157" s="2">
        <f t="shared" si="14"/>
        <v>6948.7007999999996</v>
      </c>
      <c r="J157" t="str">
        <f t="shared" si="15"/>
        <v>Low</v>
      </c>
      <c r="K157" s="1">
        <f t="shared" si="16"/>
        <v>0.373</v>
      </c>
      <c r="L157" t="str">
        <f t="shared" si="17"/>
        <v>Obese</v>
      </c>
      <c r="M157" t="str">
        <f t="shared" si="18"/>
        <v>Standard</v>
      </c>
      <c r="N157" t="str">
        <f t="shared" si="19"/>
        <v>Tier 4</v>
      </c>
      <c r="O157">
        <f t="shared" si="20"/>
        <v>2</v>
      </c>
    </row>
    <row r="158" spans="1:15" x14ac:dyDescent="0.2">
      <c r="A158">
        <v>48</v>
      </c>
      <c r="B158" t="str" cm="1">
        <f t="array" ref="B158">_xlfn.IFS(A158&lt;=25,"18-25", A158&lt;=35,"26-35", A158&lt;=45,"36-45", A158&lt;=55,"46-55", A158&lt;=64,"56-64")</f>
        <v>46-55</v>
      </c>
      <c r="C158" t="s">
        <v>10</v>
      </c>
      <c r="D158">
        <v>24.42</v>
      </c>
      <c r="E158">
        <v>0</v>
      </c>
      <c r="F158" t="s">
        <v>8</v>
      </c>
      <c r="G158" t="s">
        <v>51</v>
      </c>
      <c r="H158" s="2">
        <v>21223.675800000001</v>
      </c>
      <c r="I158" s="2">
        <f t="shared" si="14"/>
        <v>21223.675800000001</v>
      </c>
      <c r="J158" t="str">
        <f t="shared" si="15"/>
        <v>High</v>
      </c>
      <c r="K158" s="1">
        <f t="shared" si="16"/>
        <v>0.81</v>
      </c>
      <c r="L158" t="str">
        <f t="shared" si="17"/>
        <v>Normal</v>
      </c>
      <c r="M158" t="str">
        <f t="shared" si="18"/>
        <v>High Risk</v>
      </c>
      <c r="N158" t="str">
        <f t="shared" si="19"/>
        <v>Tier 1</v>
      </c>
      <c r="O158">
        <f t="shared" si="20"/>
        <v>4</v>
      </c>
    </row>
    <row r="159" spans="1:15" x14ac:dyDescent="0.2">
      <c r="A159">
        <v>18</v>
      </c>
      <c r="B159" t="str" cm="1">
        <f t="array" ref="B159">_xlfn.IFS(A159&lt;=25,"18-25", A159&lt;=35,"26-35", A159&lt;=45,"36-45", A159&lt;=55,"46-55", A159&lt;=64,"56-64")</f>
        <v>18-25</v>
      </c>
      <c r="C159" t="s">
        <v>10</v>
      </c>
      <c r="D159">
        <v>25.175000000000001</v>
      </c>
      <c r="E159">
        <v>0</v>
      </c>
      <c r="F159" t="s">
        <v>8</v>
      </c>
      <c r="G159" t="s">
        <v>53</v>
      </c>
      <c r="H159" s="2">
        <v>15518.180249999999</v>
      </c>
      <c r="I159" s="2">
        <f t="shared" si="14"/>
        <v>15518.180249999999</v>
      </c>
      <c r="J159" t="str">
        <f t="shared" si="15"/>
        <v>High</v>
      </c>
      <c r="K159" s="1">
        <f t="shared" si="16"/>
        <v>0.73699999999999999</v>
      </c>
      <c r="L159" t="str">
        <f t="shared" si="17"/>
        <v>Overweight</v>
      </c>
      <c r="M159" t="str">
        <f t="shared" si="18"/>
        <v>High Risk</v>
      </c>
      <c r="N159" t="str">
        <f t="shared" si="19"/>
        <v>Tier 2</v>
      </c>
      <c r="O159">
        <f t="shared" si="20"/>
        <v>4</v>
      </c>
    </row>
    <row r="160" spans="1:15" x14ac:dyDescent="0.2">
      <c r="A160">
        <v>30</v>
      </c>
      <c r="B160" t="str" cm="1">
        <f t="array" ref="B160">_xlfn.IFS(A160&lt;=25,"18-25", A160&lt;=35,"26-35", A160&lt;=45,"36-45", A160&lt;=55,"46-55", A160&lt;=64,"56-64")</f>
        <v>26-35</v>
      </c>
      <c r="C160" t="s">
        <v>10</v>
      </c>
      <c r="D160">
        <v>35.53</v>
      </c>
      <c r="E160">
        <v>0</v>
      </c>
      <c r="F160" t="s">
        <v>8</v>
      </c>
      <c r="G160" t="s">
        <v>51</v>
      </c>
      <c r="H160" s="2">
        <v>36950.256699999998</v>
      </c>
      <c r="I160" s="2">
        <f t="shared" si="14"/>
        <v>36950.256699999998</v>
      </c>
      <c r="J160" t="str">
        <f t="shared" si="15"/>
        <v>High</v>
      </c>
      <c r="K160" s="1">
        <f t="shared" si="16"/>
        <v>0.91500000000000004</v>
      </c>
      <c r="L160" t="str">
        <f t="shared" si="17"/>
        <v>Obese</v>
      </c>
      <c r="M160" t="str">
        <f t="shared" si="18"/>
        <v>High Risk</v>
      </c>
      <c r="N160" t="str">
        <f t="shared" si="19"/>
        <v>Tier 1</v>
      </c>
      <c r="O160">
        <f t="shared" si="20"/>
        <v>6</v>
      </c>
    </row>
    <row r="161" spans="1:15" x14ac:dyDescent="0.2">
      <c r="A161">
        <v>50</v>
      </c>
      <c r="B161" t="str" cm="1">
        <f t="array" ref="B161">_xlfn.IFS(A161&lt;=25,"18-25", A161&lt;=35,"26-35", A161&lt;=45,"36-45", A161&lt;=55,"46-55", A161&lt;=64,"56-64")</f>
        <v>46-55</v>
      </c>
      <c r="C161" t="s">
        <v>7</v>
      </c>
      <c r="D161">
        <v>27.83</v>
      </c>
      <c r="E161">
        <v>3</v>
      </c>
      <c r="F161" t="s">
        <v>11</v>
      </c>
      <c r="G161" t="s">
        <v>51</v>
      </c>
      <c r="H161" s="2">
        <v>19749.383379999999</v>
      </c>
      <c r="I161" s="2">
        <f t="shared" si="14"/>
        <v>4937.3458449999998</v>
      </c>
      <c r="J161" t="str">
        <f t="shared" si="15"/>
        <v>High</v>
      </c>
      <c r="K161" s="1">
        <f t="shared" si="16"/>
        <v>0.79300000000000004</v>
      </c>
      <c r="L161" t="str">
        <f t="shared" si="17"/>
        <v>Overweight</v>
      </c>
      <c r="M161" t="str">
        <f t="shared" si="18"/>
        <v>Standard</v>
      </c>
      <c r="N161" t="str">
        <f t="shared" si="19"/>
        <v>Tier 1</v>
      </c>
      <c r="O161">
        <f t="shared" si="20"/>
        <v>2</v>
      </c>
    </row>
    <row r="162" spans="1:15" x14ac:dyDescent="0.2">
      <c r="A162">
        <v>42</v>
      </c>
      <c r="B162" t="str" cm="1">
        <f t="array" ref="B162">_xlfn.IFS(A162&lt;=25,"18-25", A162&lt;=35,"26-35", A162&lt;=45,"36-45", A162&lt;=55,"46-55", A162&lt;=64,"56-64")</f>
        <v>36-45</v>
      </c>
      <c r="C162" t="s">
        <v>7</v>
      </c>
      <c r="D162">
        <v>26.6</v>
      </c>
      <c r="E162">
        <v>0</v>
      </c>
      <c r="F162" t="s">
        <v>8</v>
      </c>
      <c r="G162" t="s">
        <v>54</v>
      </c>
      <c r="H162" s="2">
        <v>21348.705999999998</v>
      </c>
      <c r="I162" s="2">
        <f t="shared" si="14"/>
        <v>21348.705999999998</v>
      </c>
      <c r="J162" t="str">
        <f t="shared" si="15"/>
        <v>High</v>
      </c>
      <c r="K162" s="1">
        <f t="shared" si="16"/>
        <v>0.81299999999999994</v>
      </c>
      <c r="L162" t="str">
        <f t="shared" si="17"/>
        <v>Overweight</v>
      </c>
      <c r="M162" t="str">
        <f t="shared" si="18"/>
        <v>High Risk</v>
      </c>
      <c r="N162" t="str">
        <f t="shared" si="19"/>
        <v>Tier 4</v>
      </c>
      <c r="O162">
        <f t="shared" si="20"/>
        <v>4</v>
      </c>
    </row>
    <row r="163" spans="1:15" x14ac:dyDescent="0.2">
      <c r="A163">
        <v>18</v>
      </c>
      <c r="B163" t="str" cm="1">
        <f t="array" ref="B163">_xlfn.IFS(A163&lt;=25,"18-25", A163&lt;=35,"26-35", A163&lt;=45,"36-45", A163&lt;=55,"46-55", A163&lt;=64,"56-64")</f>
        <v>18-25</v>
      </c>
      <c r="C163" t="s">
        <v>7</v>
      </c>
      <c r="D163">
        <v>36.85</v>
      </c>
      <c r="E163">
        <v>0</v>
      </c>
      <c r="F163" t="s">
        <v>8</v>
      </c>
      <c r="G163" t="s">
        <v>51</v>
      </c>
      <c r="H163" s="2">
        <v>36149.483500000002</v>
      </c>
      <c r="I163" s="2">
        <f t="shared" si="14"/>
        <v>36149.483500000002</v>
      </c>
      <c r="J163" t="str">
        <f t="shared" si="15"/>
        <v>High</v>
      </c>
      <c r="K163" s="1">
        <f t="shared" si="16"/>
        <v>0.90800000000000003</v>
      </c>
      <c r="L163" t="str">
        <f t="shared" si="17"/>
        <v>Obese</v>
      </c>
      <c r="M163" t="str">
        <f t="shared" si="18"/>
        <v>High Risk</v>
      </c>
      <c r="N163" t="str">
        <f t="shared" si="19"/>
        <v>Tier 1</v>
      </c>
      <c r="O163">
        <f t="shared" si="20"/>
        <v>6</v>
      </c>
    </row>
    <row r="164" spans="1:15" x14ac:dyDescent="0.2">
      <c r="A164">
        <v>54</v>
      </c>
      <c r="B164" t="str" cm="1">
        <f t="array" ref="B164">_xlfn.IFS(A164&lt;=25,"18-25", A164&lt;=35,"26-35", A164&lt;=45,"36-45", A164&lt;=55,"46-55", A164&lt;=64,"56-64")</f>
        <v>46-55</v>
      </c>
      <c r="C164" t="s">
        <v>10</v>
      </c>
      <c r="D164">
        <v>39.6</v>
      </c>
      <c r="E164">
        <v>1</v>
      </c>
      <c r="F164" t="s">
        <v>11</v>
      </c>
      <c r="G164" t="s">
        <v>52</v>
      </c>
      <c r="H164" s="2">
        <v>10450.552</v>
      </c>
      <c r="I164" s="2">
        <f t="shared" si="14"/>
        <v>5225.2759999999998</v>
      </c>
      <c r="J164" t="str">
        <f t="shared" si="15"/>
        <v>Low</v>
      </c>
      <c r="K164" s="1">
        <f t="shared" si="16"/>
        <v>0.55100000000000005</v>
      </c>
      <c r="L164" t="str">
        <f t="shared" si="17"/>
        <v>Obese</v>
      </c>
      <c r="M164" t="str">
        <f t="shared" si="18"/>
        <v>Standard</v>
      </c>
      <c r="N164" t="str">
        <f t="shared" si="19"/>
        <v>Tier 3</v>
      </c>
      <c r="O164">
        <f t="shared" si="20"/>
        <v>2</v>
      </c>
    </row>
    <row r="165" spans="1:15" x14ac:dyDescent="0.2">
      <c r="A165">
        <v>32</v>
      </c>
      <c r="B165" t="str" cm="1">
        <f t="array" ref="B165">_xlfn.IFS(A165&lt;=25,"18-25", A165&lt;=35,"26-35", A165&lt;=45,"36-45", A165&lt;=55,"46-55", A165&lt;=64,"56-64")</f>
        <v>26-35</v>
      </c>
      <c r="C165" t="s">
        <v>7</v>
      </c>
      <c r="D165">
        <v>29.8</v>
      </c>
      <c r="E165">
        <v>2</v>
      </c>
      <c r="F165" t="s">
        <v>11</v>
      </c>
      <c r="G165" t="s">
        <v>52</v>
      </c>
      <c r="H165" s="2">
        <v>5152.134</v>
      </c>
      <c r="I165" s="2">
        <f t="shared" si="14"/>
        <v>1717.3779999999999</v>
      </c>
      <c r="J165" t="str">
        <f t="shared" si="15"/>
        <v>Low</v>
      </c>
      <c r="K165" s="1">
        <f t="shared" si="16"/>
        <v>0.27600000000000002</v>
      </c>
      <c r="L165" t="str">
        <f t="shared" si="17"/>
        <v>Overweight</v>
      </c>
      <c r="M165" t="str">
        <f t="shared" si="18"/>
        <v>Standard</v>
      </c>
      <c r="N165" t="str">
        <f t="shared" si="19"/>
        <v>Tier 3</v>
      </c>
      <c r="O165">
        <f t="shared" si="20"/>
        <v>1</v>
      </c>
    </row>
    <row r="166" spans="1:15" x14ac:dyDescent="0.2">
      <c r="A166">
        <v>37</v>
      </c>
      <c r="B166" t="str" cm="1">
        <f t="array" ref="B166">_xlfn.IFS(A166&lt;=25,"18-25", A166&lt;=35,"26-35", A166&lt;=45,"36-45", A166&lt;=55,"46-55", A166&lt;=64,"56-64")</f>
        <v>36-45</v>
      </c>
      <c r="C166" t="s">
        <v>10</v>
      </c>
      <c r="D166">
        <v>29.64</v>
      </c>
      <c r="E166">
        <v>0</v>
      </c>
      <c r="F166" t="s">
        <v>11</v>
      </c>
      <c r="G166" t="s">
        <v>54</v>
      </c>
      <c r="H166" s="2">
        <v>5028.1466</v>
      </c>
      <c r="I166" s="2">
        <f t="shared" si="14"/>
        <v>5028.1466</v>
      </c>
      <c r="J166" t="str">
        <f t="shared" si="15"/>
        <v>Low</v>
      </c>
      <c r="K166" s="1">
        <f t="shared" si="16"/>
        <v>0.27</v>
      </c>
      <c r="L166" t="str">
        <f t="shared" si="17"/>
        <v>Overweight</v>
      </c>
      <c r="M166" t="str">
        <f t="shared" si="18"/>
        <v>Standard</v>
      </c>
      <c r="N166" t="str">
        <f t="shared" si="19"/>
        <v>Tier 4</v>
      </c>
      <c r="O166">
        <f t="shared" si="20"/>
        <v>1</v>
      </c>
    </row>
    <row r="167" spans="1:15" x14ac:dyDescent="0.2">
      <c r="A167">
        <v>47</v>
      </c>
      <c r="B167" t="str" cm="1">
        <f t="array" ref="B167">_xlfn.IFS(A167&lt;=25,"18-25", A167&lt;=35,"26-35", A167&lt;=45,"36-45", A167&lt;=55,"46-55", A167&lt;=64,"56-64")</f>
        <v>46-55</v>
      </c>
      <c r="C167" t="s">
        <v>10</v>
      </c>
      <c r="D167">
        <v>28.215</v>
      </c>
      <c r="E167">
        <v>4</v>
      </c>
      <c r="F167" t="s">
        <v>11</v>
      </c>
      <c r="G167" t="s">
        <v>53</v>
      </c>
      <c r="H167" s="2">
        <v>10407.085849999999</v>
      </c>
      <c r="I167" s="2">
        <f t="shared" si="14"/>
        <v>2081.4171699999997</v>
      </c>
      <c r="J167" t="str">
        <f t="shared" si="15"/>
        <v>Low</v>
      </c>
      <c r="K167" s="1">
        <f t="shared" si="16"/>
        <v>0.54800000000000004</v>
      </c>
      <c r="L167" t="str">
        <f t="shared" si="17"/>
        <v>Overweight</v>
      </c>
      <c r="M167" t="str">
        <f t="shared" si="18"/>
        <v>Standard</v>
      </c>
      <c r="N167" t="str">
        <f t="shared" si="19"/>
        <v>Tier 2</v>
      </c>
      <c r="O167">
        <f t="shared" si="20"/>
        <v>1</v>
      </c>
    </row>
    <row r="168" spans="1:15" x14ac:dyDescent="0.2">
      <c r="A168">
        <v>20</v>
      </c>
      <c r="B168" t="str" cm="1">
        <f t="array" ref="B168">_xlfn.IFS(A168&lt;=25,"18-25", A168&lt;=35,"26-35", A168&lt;=45,"36-45", A168&lt;=55,"46-55", A168&lt;=64,"56-64")</f>
        <v>18-25</v>
      </c>
      <c r="C168" t="s">
        <v>7</v>
      </c>
      <c r="D168">
        <v>37</v>
      </c>
      <c r="E168">
        <v>5</v>
      </c>
      <c r="F168" t="s">
        <v>11</v>
      </c>
      <c r="G168" t="s">
        <v>52</v>
      </c>
      <c r="H168" s="2">
        <v>4830.63</v>
      </c>
      <c r="I168" s="2">
        <f t="shared" si="14"/>
        <v>805.10500000000002</v>
      </c>
      <c r="J168" t="str">
        <f t="shared" si="15"/>
        <v>Low</v>
      </c>
      <c r="K168" s="1">
        <f t="shared" si="16"/>
        <v>0.25700000000000001</v>
      </c>
      <c r="L168" t="str">
        <f t="shared" si="17"/>
        <v>Obese</v>
      </c>
      <c r="M168" t="str">
        <f t="shared" si="18"/>
        <v>Standard</v>
      </c>
      <c r="N168" t="str">
        <f t="shared" si="19"/>
        <v>Tier 3</v>
      </c>
      <c r="O168">
        <f t="shared" si="20"/>
        <v>2</v>
      </c>
    </row>
    <row r="169" spans="1:15" x14ac:dyDescent="0.2">
      <c r="A169">
        <v>32</v>
      </c>
      <c r="B169" t="str" cm="1">
        <f t="array" ref="B169">_xlfn.IFS(A169&lt;=25,"18-25", A169&lt;=35,"26-35", A169&lt;=45,"36-45", A169&lt;=55,"46-55", A169&lt;=64,"56-64")</f>
        <v>26-35</v>
      </c>
      <c r="C169" t="s">
        <v>7</v>
      </c>
      <c r="D169">
        <v>33.155000000000001</v>
      </c>
      <c r="E169">
        <v>3</v>
      </c>
      <c r="F169" t="s">
        <v>11</v>
      </c>
      <c r="G169" t="s">
        <v>54</v>
      </c>
      <c r="H169" s="2">
        <v>6128.79745</v>
      </c>
      <c r="I169" s="2">
        <f t="shared" si="14"/>
        <v>1532.1993625</v>
      </c>
      <c r="J169" t="str">
        <f t="shared" si="15"/>
        <v>Low</v>
      </c>
      <c r="K169" s="1">
        <f t="shared" si="16"/>
        <v>0.32600000000000001</v>
      </c>
      <c r="L169" t="str">
        <f t="shared" si="17"/>
        <v>Obese</v>
      </c>
      <c r="M169" t="str">
        <f t="shared" si="18"/>
        <v>Standard</v>
      </c>
      <c r="N169" t="str">
        <f t="shared" si="19"/>
        <v>Tier 4</v>
      </c>
      <c r="O169">
        <f t="shared" si="20"/>
        <v>2</v>
      </c>
    </row>
    <row r="170" spans="1:15" x14ac:dyDescent="0.2">
      <c r="A170">
        <v>19</v>
      </c>
      <c r="B170" t="str" cm="1">
        <f t="array" ref="B170">_xlfn.IFS(A170&lt;=25,"18-25", A170&lt;=35,"26-35", A170&lt;=45,"36-45", A170&lt;=55,"46-55", A170&lt;=64,"56-64")</f>
        <v>18-25</v>
      </c>
      <c r="C170" t="s">
        <v>7</v>
      </c>
      <c r="D170">
        <v>31.824999999999999</v>
      </c>
      <c r="E170">
        <v>1</v>
      </c>
      <c r="F170" t="s">
        <v>11</v>
      </c>
      <c r="G170" t="s">
        <v>54</v>
      </c>
      <c r="H170" s="2">
        <v>2719.2797500000001</v>
      </c>
      <c r="I170" s="2">
        <f t="shared" si="14"/>
        <v>1359.6398750000001</v>
      </c>
      <c r="J170" t="str">
        <f t="shared" si="15"/>
        <v>Low</v>
      </c>
      <c r="K170" s="1">
        <f t="shared" si="16"/>
        <v>0.125</v>
      </c>
      <c r="L170" t="str">
        <f t="shared" si="17"/>
        <v>Obese</v>
      </c>
      <c r="M170" t="str">
        <f t="shared" si="18"/>
        <v>Standard</v>
      </c>
      <c r="N170" t="str">
        <f t="shared" si="19"/>
        <v>Tier 4</v>
      </c>
      <c r="O170">
        <f t="shared" si="20"/>
        <v>2</v>
      </c>
    </row>
    <row r="171" spans="1:15" x14ac:dyDescent="0.2">
      <c r="A171">
        <v>27</v>
      </c>
      <c r="B171" t="str" cm="1">
        <f t="array" ref="B171">_xlfn.IFS(A171&lt;=25,"18-25", A171&lt;=35,"26-35", A171&lt;=45,"36-45", A171&lt;=55,"46-55", A171&lt;=64,"56-64")</f>
        <v>26-35</v>
      </c>
      <c r="C171" t="s">
        <v>10</v>
      </c>
      <c r="D171">
        <v>18.905000000000001</v>
      </c>
      <c r="E171">
        <v>3</v>
      </c>
      <c r="F171" t="s">
        <v>11</v>
      </c>
      <c r="G171" t="s">
        <v>53</v>
      </c>
      <c r="H171" s="2">
        <v>4827.9049500000001</v>
      </c>
      <c r="I171" s="2">
        <f t="shared" si="14"/>
        <v>1206.9762375</v>
      </c>
      <c r="J171" t="str">
        <f t="shared" si="15"/>
        <v>Low</v>
      </c>
      <c r="K171" s="1">
        <f t="shared" si="16"/>
        <v>0.25600000000000001</v>
      </c>
      <c r="L171" t="str">
        <f t="shared" si="17"/>
        <v>Normal</v>
      </c>
      <c r="M171" t="str">
        <f t="shared" si="18"/>
        <v>Standard</v>
      </c>
      <c r="N171" t="str">
        <f t="shared" si="19"/>
        <v>Tier 2</v>
      </c>
      <c r="O171">
        <f t="shared" si="20"/>
        <v>0</v>
      </c>
    </row>
    <row r="172" spans="1:15" x14ac:dyDescent="0.2">
      <c r="A172">
        <v>63</v>
      </c>
      <c r="B172" t="str" cm="1">
        <f t="array" ref="B172">_xlfn.IFS(A172&lt;=25,"18-25", A172&lt;=35,"26-35", A172&lt;=45,"36-45", A172&lt;=55,"46-55", A172&lt;=64,"56-64")</f>
        <v>56-64</v>
      </c>
      <c r="C172" t="s">
        <v>10</v>
      </c>
      <c r="D172">
        <v>41.47</v>
      </c>
      <c r="E172">
        <v>0</v>
      </c>
      <c r="F172" t="s">
        <v>11</v>
      </c>
      <c r="G172" t="s">
        <v>51</v>
      </c>
      <c r="H172" s="2">
        <v>13405.390299999999</v>
      </c>
      <c r="I172" s="2">
        <f t="shared" si="14"/>
        <v>13405.390299999999</v>
      </c>
      <c r="J172" t="str">
        <f t="shared" si="15"/>
        <v>High</v>
      </c>
      <c r="K172" s="1">
        <f t="shared" si="16"/>
        <v>0.68799999999999994</v>
      </c>
      <c r="L172" t="str">
        <f t="shared" si="17"/>
        <v>Obese</v>
      </c>
      <c r="M172" t="str">
        <f t="shared" si="18"/>
        <v>Standard</v>
      </c>
      <c r="N172" t="str">
        <f t="shared" si="19"/>
        <v>Tier 1</v>
      </c>
      <c r="O172">
        <f t="shared" si="20"/>
        <v>3</v>
      </c>
    </row>
    <row r="173" spans="1:15" x14ac:dyDescent="0.2">
      <c r="A173">
        <v>49</v>
      </c>
      <c r="B173" t="str" cm="1">
        <f t="array" ref="B173">_xlfn.IFS(A173&lt;=25,"18-25", A173&lt;=35,"26-35", A173&lt;=45,"36-45", A173&lt;=55,"46-55", A173&lt;=64,"56-64")</f>
        <v>46-55</v>
      </c>
      <c r="C173" t="s">
        <v>10</v>
      </c>
      <c r="D173">
        <v>30.3</v>
      </c>
      <c r="E173">
        <v>0</v>
      </c>
      <c r="F173" t="s">
        <v>11</v>
      </c>
      <c r="G173" t="s">
        <v>52</v>
      </c>
      <c r="H173" s="2">
        <v>8116.68</v>
      </c>
      <c r="I173" s="2">
        <f t="shared" si="14"/>
        <v>8116.68</v>
      </c>
      <c r="J173" t="str">
        <f t="shared" si="15"/>
        <v>Low</v>
      </c>
      <c r="K173" s="1">
        <f t="shared" si="16"/>
        <v>0.433</v>
      </c>
      <c r="L173" t="str">
        <f t="shared" si="17"/>
        <v>Obese</v>
      </c>
      <c r="M173" t="str">
        <f t="shared" si="18"/>
        <v>Standard</v>
      </c>
      <c r="N173" t="str">
        <f t="shared" si="19"/>
        <v>Tier 3</v>
      </c>
      <c r="O173">
        <f t="shared" si="20"/>
        <v>2</v>
      </c>
    </row>
    <row r="174" spans="1:15" x14ac:dyDescent="0.2">
      <c r="A174">
        <v>18</v>
      </c>
      <c r="B174" t="str" cm="1">
        <f t="array" ref="B174">_xlfn.IFS(A174&lt;=25,"18-25", A174&lt;=35,"26-35", A174&lt;=45,"36-45", A174&lt;=55,"46-55", A174&lt;=64,"56-64")</f>
        <v>18-25</v>
      </c>
      <c r="C174" t="s">
        <v>10</v>
      </c>
      <c r="D174">
        <v>15.96</v>
      </c>
      <c r="E174">
        <v>0</v>
      </c>
      <c r="F174" t="s">
        <v>11</v>
      </c>
      <c r="G174" t="s">
        <v>53</v>
      </c>
      <c r="H174" s="2">
        <v>1694.7963999999999</v>
      </c>
      <c r="I174" s="2">
        <f t="shared" si="14"/>
        <v>1694.7963999999999</v>
      </c>
      <c r="J174" t="str">
        <f t="shared" si="15"/>
        <v>Low</v>
      </c>
      <c r="K174" s="1">
        <f t="shared" si="16"/>
        <v>3.5000000000000003E-2</v>
      </c>
      <c r="L174" t="str">
        <f t="shared" si="17"/>
        <v>Underweight</v>
      </c>
      <c r="M174" t="str">
        <f t="shared" si="18"/>
        <v>Standard</v>
      </c>
      <c r="N174" t="str">
        <f t="shared" si="19"/>
        <v>Tier 2</v>
      </c>
      <c r="O174">
        <f t="shared" si="20"/>
        <v>0</v>
      </c>
    </row>
    <row r="175" spans="1:15" x14ac:dyDescent="0.2">
      <c r="A175">
        <v>35</v>
      </c>
      <c r="B175" t="str" cm="1">
        <f t="array" ref="B175">_xlfn.IFS(A175&lt;=25,"18-25", A175&lt;=35,"26-35", A175&lt;=45,"36-45", A175&lt;=55,"46-55", A175&lt;=64,"56-64")</f>
        <v>26-35</v>
      </c>
      <c r="C175" t="s">
        <v>7</v>
      </c>
      <c r="D175">
        <v>34.799999999999997</v>
      </c>
      <c r="E175">
        <v>1</v>
      </c>
      <c r="F175" t="s">
        <v>11</v>
      </c>
      <c r="G175" t="s">
        <v>52</v>
      </c>
      <c r="H175" s="2">
        <v>5246.0469999999996</v>
      </c>
      <c r="I175" s="2">
        <f t="shared" si="14"/>
        <v>2623.0234999999998</v>
      </c>
      <c r="J175" t="str">
        <f t="shared" si="15"/>
        <v>Low</v>
      </c>
      <c r="K175" s="1">
        <f t="shared" si="16"/>
        <v>0.28000000000000003</v>
      </c>
      <c r="L175" t="str">
        <f t="shared" si="17"/>
        <v>Obese</v>
      </c>
      <c r="M175" t="str">
        <f t="shared" si="18"/>
        <v>Standard</v>
      </c>
      <c r="N175" t="str">
        <f t="shared" si="19"/>
        <v>Tier 3</v>
      </c>
      <c r="O175">
        <f t="shared" si="20"/>
        <v>2</v>
      </c>
    </row>
    <row r="176" spans="1:15" x14ac:dyDescent="0.2">
      <c r="A176">
        <v>24</v>
      </c>
      <c r="B176" t="str" cm="1">
        <f t="array" ref="B176">_xlfn.IFS(A176&lt;=25,"18-25", A176&lt;=35,"26-35", A176&lt;=45,"36-45", A176&lt;=55,"46-55", A176&lt;=64,"56-64")</f>
        <v>18-25</v>
      </c>
      <c r="C176" t="s">
        <v>7</v>
      </c>
      <c r="D176">
        <v>33.344999999999999</v>
      </c>
      <c r="E176">
        <v>0</v>
      </c>
      <c r="F176" t="s">
        <v>11</v>
      </c>
      <c r="G176" t="s">
        <v>54</v>
      </c>
      <c r="H176" s="2">
        <v>2855.4375500000001</v>
      </c>
      <c r="I176" s="2">
        <f t="shared" si="14"/>
        <v>2855.4375500000001</v>
      </c>
      <c r="J176" t="str">
        <f t="shared" si="15"/>
        <v>Low</v>
      </c>
      <c r="K176" s="1">
        <f t="shared" si="16"/>
        <v>0.13500000000000001</v>
      </c>
      <c r="L176" t="str">
        <f t="shared" si="17"/>
        <v>Obese</v>
      </c>
      <c r="M176" t="str">
        <f t="shared" si="18"/>
        <v>Standard</v>
      </c>
      <c r="N176" t="str">
        <f t="shared" si="19"/>
        <v>Tier 4</v>
      </c>
      <c r="O176">
        <f t="shared" si="20"/>
        <v>2</v>
      </c>
    </row>
    <row r="177" spans="1:15" x14ac:dyDescent="0.2">
      <c r="A177">
        <v>63</v>
      </c>
      <c r="B177" t="str" cm="1">
        <f t="array" ref="B177">_xlfn.IFS(A177&lt;=25,"18-25", A177&lt;=35,"26-35", A177&lt;=45,"36-45", A177&lt;=55,"46-55", A177&lt;=64,"56-64")</f>
        <v>56-64</v>
      </c>
      <c r="C177" t="s">
        <v>7</v>
      </c>
      <c r="D177">
        <v>37.700000000000003</v>
      </c>
      <c r="E177">
        <v>0</v>
      </c>
      <c r="F177" t="s">
        <v>8</v>
      </c>
      <c r="G177" t="s">
        <v>52</v>
      </c>
      <c r="H177" s="2">
        <v>48824.45</v>
      </c>
      <c r="I177" s="2">
        <f t="shared" si="14"/>
        <v>48824.45</v>
      </c>
      <c r="J177" t="str">
        <f t="shared" si="15"/>
        <v>High</v>
      </c>
      <c r="K177" s="1">
        <f t="shared" si="16"/>
        <v>0.99199999999999999</v>
      </c>
      <c r="L177" t="str">
        <f t="shared" si="17"/>
        <v>Obese</v>
      </c>
      <c r="M177" t="str">
        <f t="shared" si="18"/>
        <v>High Risk</v>
      </c>
      <c r="N177" t="str">
        <f t="shared" si="19"/>
        <v>Tier 3</v>
      </c>
      <c r="O177">
        <f t="shared" si="20"/>
        <v>5</v>
      </c>
    </row>
    <row r="178" spans="1:15" x14ac:dyDescent="0.2">
      <c r="A178">
        <v>38</v>
      </c>
      <c r="B178" t="str" cm="1">
        <f t="array" ref="B178">_xlfn.IFS(A178&lt;=25,"18-25", A178&lt;=35,"26-35", A178&lt;=45,"36-45", A178&lt;=55,"46-55", A178&lt;=64,"56-64")</f>
        <v>36-45</v>
      </c>
      <c r="C178" t="s">
        <v>10</v>
      </c>
      <c r="D178">
        <v>27.835000000000001</v>
      </c>
      <c r="E178">
        <v>2</v>
      </c>
      <c r="F178" t="s">
        <v>11</v>
      </c>
      <c r="G178" t="s">
        <v>54</v>
      </c>
      <c r="H178" s="2">
        <v>6455.86265</v>
      </c>
      <c r="I178" s="2">
        <f t="shared" si="14"/>
        <v>2151.9542166666665</v>
      </c>
      <c r="J178" t="str">
        <f t="shared" si="15"/>
        <v>Low</v>
      </c>
      <c r="K178" s="1">
        <f t="shared" si="16"/>
        <v>0.34599999999999997</v>
      </c>
      <c r="L178" t="str">
        <f t="shared" si="17"/>
        <v>Overweight</v>
      </c>
      <c r="M178" t="str">
        <f t="shared" si="18"/>
        <v>Standard</v>
      </c>
      <c r="N178" t="str">
        <f t="shared" si="19"/>
        <v>Tier 4</v>
      </c>
      <c r="O178">
        <f t="shared" si="20"/>
        <v>1</v>
      </c>
    </row>
    <row r="179" spans="1:15" x14ac:dyDescent="0.2">
      <c r="A179">
        <v>54</v>
      </c>
      <c r="B179" t="str" cm="1">
        <f t="array" ref="B179">_xlfn.IFS(A179&lt;=25,"18-25", A179&lt;=35,"26-35", A179&lt;=45,"36-45", A179&lt;=55,"46-55", A179&lt;=64,"56-64")</f>
        <v>46-55</v>
      </c>
      <c r="C179" t="s">
        <v>10</v>
      </c>
      <c r="D179">
        <v>29.2</v>
      </c>
      <c r="E179">
        <v>1</v>
      </c>
      <c r="F179" t="s">
        <v>11</v>
      </c>
      <c r="G179" t="s">
        <v>52</v>
      </c>
      <c r="H179" s="2">
        <v>10436.096</v>
      </c>
      <c r="I179" s="2">
        <f t="shared" si="14"/>
        <v>5218.0479999999998</v>
      </c>
      <c r="J179" t="str">
        <f t="shared" si="15"/>
        <v>Low</v>
      </c>
      <c r="K179" s="1">
        <f t="shared" si="16"/>
        <v>0.55100000000000005</v>
      </c>
      <c r="L179" t="str">
        <f t="shared" si="17"/>
        <v>Overweight</v>
      </c>
      <c r="M179" t="str">
        <f t="shared" si="18"/>
        <v>Standard</v>
      </c>
      <c r="N179" t="str">
        <f t="shared" si="19"/>
        <v>Tier 3</v>
      </c>
      <c r="O179">
        <f t="shared" si="20"/>
        <v>1</v>
      </c>
    </row>
    <row r="180" spans="1:15" x14ac:dyDescent="0.2">
      <c r="A180">
        <v>46</v>
      </c>
      <c r="B180" t="str" cm="1">
        <f t="array" ref="B180">_xlfn.IFS(A180&lt;=25,"18-25", A180&lt;=35,"26-35", A180&lt;=45,"36-45", A180&lt;=55,"46-55", A180&lt;=64,"56-64")</f>
        <v>46-55</v>
      </c>
      <c r="C180" t="s">
        <v>7</v>
      </c>
      <c r="D180">
        <v>28.9</v>
      </c>
      <c r="E180">
        <v>2</v>
      </c>
      <c r="F180" t="s">
        <v>11</v>
      </c>
      <c r="G180" t="s">
        <v>52</v>
      </c>
      <c r="H180" s="2">
        <v>8823.2790000000005</v>
      </c>
      <c r="I180" s="2">
        <f t="shared" si="14"/>
        <v>2941.0930000000003</v>
      </c>
      <c r="J180" t="str">
        <f t="shared" si="15"/>
        <v>Low</v>
      </c>
      <c r="K180" s="1">
        <f t="shared" si="16"/>
        <v>0.47299999999999998</v>
      </c>
      <c r="L180" t="str">
        <f t="shared" si="17"/>
        <v>Overweight</v>
      </c>
      <c r="M180" t="str">
        <f t="shared" si="18"/>
        <v>Standard</v>
      </c>
      <c r="N180" t="str">
        <f t="shared" si="19"/>
        <v>Tier 3</v>
      </c>
      <c r="O180">
        <f t="shared" si="20"/>
        <v>1</v>
      </c>
    </row>
    <row r="181" spans="1:15" x14ac:dyDescent="0.2">
      <c r="A181">
        <v>41</v>
      </c>
      <c r="B181" t="str" cm="1">
        <f t="array" ref="B181">_xlfn.IFS(A181&lt;=25,"18-25", A181&lt;=35,"26-35", A181&lt;=45,"36-45", A181&lt;=55,"46-55", A181&lt;=64,"56-64")</f>
        <v>36-45</v>
      </c>
      <c r="C181" t="s">
        <v>7</v>
      </c>
      <c r="D181">
        <v>33.155000000000001</v>
      </c>
      <c r="E181">
        <v>3</v>
      </c>
      <c r="F181" t="s">
        <v>11</v>
      </c>
      <c r="G181" t="s">
        <v>53</v>
      </c>
      <c r="H181" s="2">
        <v>8538.28845</v>
      </c>
      <c r="I181" s="2">
        <f t="shared" si="14"/>
        <v>2134.5721125</v>
      </c>
      <c r="J181" t="str">
        <f t="shared" si="15"/>
        <v>Low</v>
      </c>
      <c r="K181" s="1">
        <f t="shared" si="16"/>
        <v>0.45600000000000002</v>
      </c>
      <c r="L181" t="str">
        <f t="shared" si="17"/>
        <v>Obese</v>
      </c>
      <c r="M181" t="str">
        <f t="shared" si="18"/>
        <v>Standard</v>
      </c>
      <c r="N181" t="str">
        <f t="shared" si="19"/>
        <v>Tier 2</v>
      </c>
      <c r="O181">
        <f t="shared" si="20"/>
        <v>2</v>
      </c>
    </row>
    <row r="182" spans="1:15" x14ac:dyDescent="0.2">
      <c r="A182">
        <v>58</v>
      </c>
      <c r="B182" t="str" cm="1">
        <f t="array" ref="B182">_xlfn.IFS(A182&lt;=25,"18-25", A182&lt;=35,"26-35", A182&lt;=45,"36-45", A182&lt;=55,"46-55", A182&lt;=64,"56-64")</f>
        <v>56-64</v>
      </c>
      <c r="C182" t="s">
        <v>10</v>
      </c>
      <c r="D182">
        <v>28.594999999999999</v>
      </c>
      <c r="E182">
        <v>0</v>
      </c>
      <c r="F182" t="s">
        <v>11</v>
      </c>
      <c r="G182" t="s">
        <v>54</v>
      </c>
      <c r="H182" s="2">
        <v>11735.87905</v>
      </c>
      <c r="I182" s="2">
        <f t="shared" si="14"/>
        <v>11735.87905</v>
      </c>
      <c r="J182" t="str">
        <f t="shared" si="15"/>
        <v>Low</v>
      </c>
      <c r="K182" s="1">
        <f t="shared" si="16"/>
        <v>0.61399999999999999</v>
      </c>
      <c r="L182" t="str">
        <f t="shared" si="17"/>
        <v>Overweight</v>
      </c>
      <c r="M182" t="str">
        <f t="shared" si="18"/>
        <v>Standard</v>
      </c>
      <c r="N182" t="str">
        <f t="shared" si="19"/>
        <v>Tier 4</v>
      </c>
      <c r="O182">
        <f t="shared" si="20"/>
        <v>1</v>
      </c>
    </row>
    <row r="183" spans="1:15" x14ac:dyDescent="0.2">
      <c r="A183">
        <v>18</v>
      </c>
      <c r="B183" t="str" cm="1">
        <f t="array" ref="B183">_xlfn.IFS(A183&lt;=25,"18-25", A183&lt;=35,"26-35", A183&lt;=45,"36-45", A183&lt;=55,"46-55", A183&lt;=64,"56-64")</f>
        <v>18-25</v>
      </c>
      <c r="C183" t="s">
        <v>7</v>
      </c>
      <c r="D183">
        <v>38.28</v>
      </c>
      <c r="E183">
        <v>0</v>
      </c>
      <c r="F183" t="s">
        <v>11</v>
      </c>
      <c r="G183" t="s">
        <v>51</v>
      </c>
      <c r="H183" s="2">
        <v>1631.8212000000001</v>
      </c>
      <c r="I183" s="2">
        <f t="shared" si="14"/>
        <v>1631.8212000000001</v>
      </c>
      <c r="J183" t="str">
        <f t="shared" si="15"/>
        <v>Low</v>
      </c>
      <c r="K183" s="1">
        <f t="shared" si="16"/>
        <v>2.5000000000000001E-2</v>
      </c>
      <c r="L183" t="str">
        <f t="shared" si="17"/>
        <v>Obese</v>
      </c>
      <c r="M183" t="str">
        <f t="shared" si="18"/>
        <v>Standard</v>
      </c>
      <c r="N183" t="str">
        <f t="shared" si="19"/>
        <v>Tier 1</v>
      </c>
      <c r="O183">
        <f t="shared" si="20"/>
        <v>3</v>
      </c>
    </row>
    <row r="184" spans="1:15" x14ac:dyDescent="0.2">
      <c r="A184">
        <v>22</v>
      </c>
      <c r="B184" t="str" cm="1">
        <f t="array" ref="B184">_xlfn.IFS(A184&lt;=25,"18-25", A184&lt;=35,"26-35", A184&lt;=45,"36-45", A184&lt;=55,"46-55", A184&lt;=64,"56-64")</f>
        <v>18-25</v>
      </c>
      <c r="C184" t="s">
        <v>10</v>
      </c>
      <c r="D184">
        <v>19.95</v>
      </c>
      <c r="E184">
        <v>3</v>
      </c>
      <c r="F184" t="s">
        <v>11</v>
      </c>
      <c r="G184" t="s">
        <v>53</v>
      </c>
      <c r="H184" s="2">
        <v>4005.4225000000001</v>
      </c>
      <c r="I184" s="2">
        <f t="shared" si="14"/>
        <v>1001.355625</v>
      </c>
      <c r="J184" t="str">
        <f t="shared" si="15"/>
        <v>Low</v>
      </c>
      <c r="K184" s="1">
        <f t="shared" si="16"/>
        <v>0.20100000000000001</v>
      </c>
      <c r="L184" t="str">
        <f t="shared" si="17"/>
        <v>Normal</v>
      </c>
      <c r="M184" t="str">
        <f t="shared" si="18"/>
        <v>Standard</v>
      </c>
      <c r="N184" t="str">
        <f t="shared" si="19"/>
        <v>Tier 2</v>
      </c>
      <c r="O184">
        <f t="shared" si="20"/>
        <v>0</v>
      </c>
    </row>
    <row r="185" spans="1:15" x14ac:dyDescent="0.2">
      <c r="A185">
        <v>44</v>
      </c>
      <c r="B185" t="str" cm="1">
        <f t="array" ref="B185">_xlfn.IFS(A185&lt;=25,"18-25", A185&lt;=35,"26-35", A185&lt;=45,"36-45", A185&lt;=55,"46-55", A185&lt;=64,"56-64")</f>
        <v>36-45</v>
      </c>
      <c r="C185" t="s">
        <v>7</v>
      </c>
      <c r="D185">
        <v>26.41</v>
      </c>
      <c r="E185">
        <v>0</v>
      </c>
      <c r="F185" t="s">
        <v>11</v>
      </c>
      <c r="G185" t="s">
        <v>54</v>
      </c>
      <c r="H185" s="2">
        <v>7419.4778999999999</v>
      </c>
      <c r="I185" s="2">
        <f t="shared" si="14"/>
        <v>7419.4778999999999</v>
      </c>
      <c r="J185" t="str">
        <f t="shared" si="15"/>
        <v>Low</v>
      </c>
      <c r="K185" s="1">
        <f t="shared" si="16"/>
        <v>0.40100000000000002</v>
      </c>
      <c r="L185" t="str">
        <f t="shared" si="17"/>
        <v>Overweight</v>
      </c>
      <c r="M185" t="str">
        <f t="shared" si="18"/>
        <v>Standard</v>
      </c>
      <c r="N185" t="str">
        <f t="shared" si="19"/>
        <v>Tier 4</v>
      </c>
      <c r="O185">
        <f t="shared" si="20"/>
        <v>1</v>
      </c>
    </row>
    <row r="186" spans="1:15" x14ac:dyDescent="0.2">
      <c r="A186">
        <v>44</v>
      </c>
      <c r="B186" t="str" cm="1">
        <f t="array" ref="B186">_xlfn.IFS(A186&lt;=25,"18-25", A186&lt;=35,"26-35", A186&lt;=45,"36-45", A186&lt;=55,"46-55", A186&lt;=64,"56-64")</f>
        <v>36-45</v>
      </c>
      <c r="C186" t="s">
        <v>10</v>
      </c>
      <c r="D186">
        <v>30.69</v>
      </c>
      <c r="E186">
        <v>2</v>
      </c>
      <c r="F186" t="s">
        <v>11</v>
      </c>
      <c r="G186" t="s">
        <v>51</v>
      </c>
      <c r="H186" s="2">
        <v>7731.4270999999999</v>
      </c>
      <c r="I186" s="2">
        <f t="shared" si="14"/>
        <v>2577.1423666666665</v>
      </c>
      <c r="J186" t="str">
        <f t="shared" si="15"/>
        <v>Low</v>
      </c>
      <c r="K186" s="1">
        <f t="shared" si="16"/>
        <v>0.41799999999999998</v>
      </c>
      <c r="L186" t="str">
        <f t="shared" si="17"/>
        <v>Obese</v>
      </c>
      <c r="M186" t="str">
        <f t="shared" si="18"/>
        <v>Standard</v>
      </c>
      <c r="N186" t="str">
        <f t="shared" si="19"/>
        <v>Tier 1</v>
      </c>
      <c r="O186">
        <f t="shared" si="20"/>
        <v>3</v>
      </c>
    </row>
    <row r="187" spans="1:15" x14ac:dyDescent="0.2">
      <c r="A187">
        <v>36</v>
      </c>
      <c r="B187" t="str" cm="1">
        <f t="array" ref="B187">_xlfn.IFS(A187&lt;=25,"18-25", A187&lt;=35,"26-35", A187&lt;=45,"36-45", A187&lt;=55,"46-55", A187&lt;=64,"56-64")</f>
        <v>36-45</v>
      </c>
      <c r="C187" t="s">
        <v>10</v>
      </c>
      <c r="D187">
        <v>41.895000000000003</v>
      </c>
      <c r="E187">
        <v>3</v>
      </c>
      <c r="F187" t="s">
        <v>8</v>
      </c>
      <c r="G187" t="s">
        <v>53</v>
      </c>
      <c r="H187" s="2">
        <v>43753.337050000002</v>
      </c>
      <c r="I187" s="2">
        <f t="shared" si="14"/>
        <v>10938.3342625</v>
      </c>
      <c r="J187" t="str">
        <f t="shared" si="15"/>
        <v>High</v>
      </c>
      <c r="K187" s="1">
        <f t="shared" si="16"/>
        <v>0.96299999999999997</v>
      </c>
      <c r="L187" t="str">
        <f t="shared" si="17"/>
        <v>Obese</v>
      </c>
      <c r="M187" t="str">
        <f t="shared" si="18"/>
        <v>High Risk</v>
      </c>
      <c r="N187" t="str">
        <f t="shared" si="19"/>
        <v>Tier 2</v>
      </c>
      <c r="O187">
        <f t="shared" si="20"/>
        <v>5</v>
      </c>
    </row>
    <row r="188" spans="1:15" x14ac:dyDescent="0.2">
      <c r="A188">
        <v>26</v>
      </c>
      <c r="B188" t="str" cm="1">
        <f t="array" ref="B188">_xlfn.IFS(A188&lt;=25,"18-25", A188&lt;=35,"26-35", A188&lt;=45,"36-45", A188&lt;=55,"46-55", A188&lt;=64,"56-64")</f>
        <v>26-35</v>
      </c>
      <c r="C188" t="s">
        <v>7</v>
      </c>
      <c r="D188">
        <v>29.92</v>
      </c>
      <c r="E188">
        <v>2</v>
      </c>
      <c r="F188" t="s">
        <v>11</v>
      </c>
      <c r="G188" t="s">
        <v>51</v>
      </c>
      <c r="H188" s="2">
        <v>3981.9767999999999</v>
      </c>
      <c r="I188" s="2">
        <f t="shared" si="14"/>
        <v>1327.3255999999999</v>
      </c>
      <c r="J188" t="str">
        <f t="shared" si="15"/>
        <v>Low</v>
      </c>
      <c r="K188" s="1">
        <f t="shared" si="16"/>
        <v>0.19800000000000001</v>
      </c>
      <c r="L188" t="str">
        <f t="shared" si="17"/>
        <v>Overweight</v>
      </c>
      <c r="M188" t="str">
        <f t="shared" si="18"/>
        <v>Standard</v>
      </c>
      <c r="N188" t="str">
        <f t="shared" si="19"/>
        <v>Tier 1</v>
      </c>
      <c r="O188">
        <f t="shared" si="20"/>
        <v>2</v>
      </c>
    </row>
    <row r="189" spans="1:15" x14ac:dyDescent="0.2">
      <c r="A189">
        <v>30</v>
      </c>
      <c r="B189" t="str" cm="1">
        <f t="array" ref="B189">_xlfn.IFS(A189&lt;=25,"18-25", A189&lt;=35,"26-35", A189&lt;=45,"36-45", A189&lt;=55,"46-55", A189&lt;=64,"56-64")</f>
        <v>26-35</v>
      </c>
      <c r="C189" t="s">
        <v>7</v>
      </c>
      <c r="D189">
        <v>30.9</v>
      </c>
      <c r="E189">
        <v>3</v>
      </c>
      <c r="F189" t="s">
        <v>11</v>
      </c>
      <c r="G189" t="s">
        <v>52</v>
      </c>
      <c r="H189" s="2">
        <v>5325.6509999999998</v>
      </c>
      <c r="I189" s="2">
        <f t="shared" si="14"/>
        <v>1331.41275</v>
      </c>
      <c r="J189" t="str">
        <f t="shared" si="15"/>
        <v>Low</v>
      </c>
      <c r="K189" s="1">
        <f t="shared" si="16"/>
        <v>0.28599999999999998</v>
      </c>
      <c r="L189" t="str">
        <f t="shared" si="17"/>
        <v>Obese</v>
      </c>
      <c r="M189" t="str">
        <f t="shared" si="18"/>
        <v>Standard</v>
      </c>
      <c r="N189" t="str">
        <f t="shared" si="19"/>
        <v>Tier 3</v>
      </c>
      <c r="O189">
        <f t="shared" si="20"/>
        <v>2</v>
      </c>
    </row>
    <row r="190" spans="1:15" x14ac:dyDescent="0.2">
      <c r="A190">
        <v>41</v>
      </c>
      <c r="B190" t="str" cm="1">
        <f t="array" ref="B190">_xlfn.IFS(A190&lt;=25,"18-25", A190&lt;=35,"26-35", A190&lt;=45,"36-45", A190&lt;=55,"46-55", A190&lt;=64,"56-64")</f>
        <v>36-45</v>
      </c>
      <c r="C190" t="s">
        <v>7</v>
      </c>
      <c r="D190">
        <v>32.200000000000003</v>
      </c>
      <c r="E190">
        <v>1</v>
      </c>
      <c r="F190" t="s">
        <v>11</v>
      </c>
      <c r="G190" t="s">
        <v>52</v>
      </c>
      <c r="H190" s="2">
        <v>6775.9610000000002</v>
      </c>
      <c r="I190" s="2">
        <f t="shared" si="14"/>
        <v>3387.9805000000001</v>
      </c>
      <c r="J190" t="str">
        <f t="shared" si="15"/>
        <v>Low</v>
      </c>
      <c r="K190" s="1">
        <f t="shared" si="16"/>
        <v>0.36399999999999999</v>
      </c>
      <c r="L190" t="str">
        <f t="shared" si="17"/>
        <v>Obese</v>
      </c>
      <c r="M190" t="str">
        <f t="shared" si="18"/>
        <v>Standard</v>
      </c>
      <c r="N190" t="str">
        <f t="shared" si="19"/>
        <v>Tier 3</v>
      </c>
      <c r="O190">
        <f t="shared" si="20"/>
        <v>2</v>
      </c>
    </row>
    <row r="191" spans="1:15" x14ac:dyDescent="0.2">
      <c r="A191">
        <v>29</v>
      </c>
      <c r="B191" t="str" cm="1">
        <f t="array" ref="B191">_xlfn.IFS(A191&lt;=25,"18-25", A191&lt;=35,"26-35", A191&lt;=45,"36-45", A191&lt;=55,"46-55", A191&lt;=64,"56-64")</f>
        <v>26-35</v>
      </c>
      <c r="C191" t="s">
        <v>7</v>
      </c>
      <c r="D191">
        <v>32.11</v>
      </c>
      <c r="E191">
        <v>2</v>
      </c>
      <c r="F191" t="s">
        <v>11</v>
      </c>
      <c r="G191" t="s">
        <v>54</v>
      </c>
      <c r="H191" s="2">
        <v>4922.9159</v>
      </c>
      <c r="I191" s="2">
        <f t="shared" si="14"/>
        <v>1640.9719666666667</v>
      </c>
      <c r="J191" t="str">
        <f t="shared" si="15"/>
        <v>Low</v>
      </c>
      <c r="K191" s="1">
        <f t="shared" si="16"/>
        <v>0.26400000000000001</v>
      </c>
      <c r="L191" t="str">
        <f t="shared" si="17"/>
        <v>Obese</v>
      </c>
      <c r="M191" t="str">
        <f t="shared" si="18"/>
        <v>Standard</v>
      </c>
      <c r="N191" t="str">
        <f t="shared" si="19"/>
        <v>Tier 4</v>
      </c>
      <c r="O191">
        <f t="shared" si="20"/>
        <v>2</v>
      </c>
    </row>
    <row r="192" spans="1:15" x14ac:dyDescent="0.2">
      <c r="A192">
        <v>61</v>
      </c>
      <c r="B192" t="str" cm="1">
        <f t="array" ref="B192">_xlfn.IFS(A192&lt;=25,"18-25", A192&lt;=35,"26-35", A192&lt;=45,"36-45", A192&lt;=55,"46-55", A192&lt;=64,"56-64")</f>
        <v>56-64</v>
      </c>
      <c r="C192" t="s">
        <v>10</v>
      </c>
      <c r="D192">
        <v>31.57</v>
      </c>
      <c r="E192">
        <v>0</v>
      </c>
      <c r="F192" t="s">
        <v>11</v>
      </c>
      <c r="G192" t="s">
        <v>51</v>
      </c>
      <c r="H192" s="2">
        <v>12557.605299999999</v>
      </c>
      <c r="I192" s="2">
        <f t="shared" si="14"/>
        <v>12557.605299999999</v>
      </c>
      <c r="J192" t="str">
        <f t="shared" si="15"/>
        <v>Low</v>
      </c>
      <c r="K192" s="1">
        <f t="shared" si="16"/>
        <v>0.65500000000000003</v>
      </c>
      <c r="L192" t="str">
        <f t="shared" si="17"/>
        <v>Obese</v>
      </c>
      <c r="M192" t="str">
        <f t="shared" si="18"/>
        <v>Standard</v>
      </c>
      <c r="N192" t="str">
        <f t="shared" si="19"/>
        <v>Tier 1</v>
      </c>
      <c r="O192">
        <f t="shared" si="20"/>
        <v>3</v>
      </c>
    </row>
    <row r="193" spans="1:15" x14ac:dyDescent="0.2">
      <c r="A193">
        <v>36</v>
      </c>
      <c r="B193" t="str" cm="1">
        <f t="array" ref="B193">_xlfn.IFS(A193&lt;=25,"18-25", A193&lt;=35,"26-35", A193&lt;=45,"36-45", A193&lt;=55,"46-55", A193&lt;=64,"56-64")</f>
        <v>36-45</v>
      </c>
      <c r="C193" t="s">
        <v>7</v>
      </c>
      <c r="D193">
        <v>26.2</v>
      </c>
      <c r="E193">
        <v>0</v>
      </c>
      <c r="F193" t="s">
        <v>11</v>
      </c>
      <c r="G193" t="s">
        <v>52</v>
      </c>
      <c r="H193" s="2">
        <v>4883.866</v>
      </c>
      <c r="I193" s="2">
        <f t="shared" si="14"/>
        <v>4883.866</v>
      </c>
      <c r="J193" t="str">
        <f t="shared" si="15"/>
        <v>Low</v>
      </c>
      <c r="K193" s="1">
        <f t="shared" si="16"/>
        <v>0.26</v>
      </c>
      <c r="L193" t="str">
        <f t="shared" si="17"/>
        <v>Overweight</v>
      </c>
      <c r="M193" t="str">
        <f t="shared" si="18"/>
        <v>Standard</v>
      </c>
      <c r="N193" t="str">
        <f t="shared" si="19"/>
        <v>Tier 3</v>
      </c>
      <c r="O193">
        <f t="shared" si="20"/>
        <v>1</v>
      </c>
    </row>
    <row r="194" spans="1:15" x14ac:dyDescent="0.2">
      <c r="A194">
        <v>25</v>
      </c>
      <c r="B194" t="str" cm="1">
        <f t="array" ref="B194">_xlfn.IFS(A194&lt;=25,"18-25", A194&lt;=35,"26-35", A194&lt;=45,"36-45", A194&lt;=55,"46-55", A194&lt;=64,"56-64")</f>
        <v>18-25</v>
      </c>
      <c r="C194" t="s">
        <v>10</v>
      </c>
      <c r="D194">
        <v>25.74</v>
      </c>
      <c r="E194">
        <v>0</v>
      </c>
      <c r="F194" t="s">
        <v>11</v>
      </c>
      <c r="G194" t="s">
        <v>51</v>
      </c>
      <c r="H194" s="2">
        <v>2137.6536000000001</v>
      </c>
      <c r="I194" s="2">
        <f t="shared" ref="I194:I257" si="21">H194/(E194+1)</f>
        <v>2137.6536000000001</v>
      </c>
      <c r="J194" t="str">
        <f t="shared" ref="J194:J257" si="22">IF(H194&gt;AVERAGE($H$2:$H$1339),"High","Low")</f>
        <v>Low</v>
      </c>
      <c r="K194" s="1">
        <f t="shared" ref="K194:K257" si="23">PERCENTRANK($H$2:$H$1339,H194)</f>
        <v>7.9000000000000001E-2</v>
      </c>
      <c r="L194" t="str">
        <f t="shared" ref="L194:L257" si="24">IF(D194&lt;18.5,"Underweight",IF(D194&lt;25,"Normal",IF(D194&lt;30,"Overweight","Obese")))</f>
        <v>Overweight</v>
      </c>
      <c r="M194" t="str">
        <f t="shared" ref="M194:M257" si="25">IF(F194="yes","High Risk","Standard")</f>
        <v>Standard</v>
      </c>
      <c r="N194" t="str">
        <f t="shared" ref="N194:N257" si="26">IF(G194="southeast","Tier 1",IF(G194="northeast","Tier 2",IF(G194="southwest","Tier 3","Tier 4")))</f>
        <v>Tier 1</v>
      </c>
      <c r="O194">
        <f t="shared" ref="O194:O257" si="27">IF(F194="yes",3,0)+IF(D194&gt;=30,2,IF(D194&gt;=25,1,0))+IF(G194="southeast",1,0)</f>
        <v>2</v>
      </c>
    </row>
    <row r="195" spans="1:15" x14ac:dyDescent="0.2">
      <c r="A195">
        <v>56</v>
      </c>
      <c r="B195" t="str" cm="1">
        <f t="array" ref="B195">_xlfn.IFS(A195&lt;=25,"18-25", A195&lt;=35,"26-35", A195&lt;=45,"36-45", A195&lt;=55,"46-55", A195&lt;=64,"56-64")</f>
        <v>56-64</v>
      </c>
      <c r="C195" t="s">
        <v>7</v>
      </c>
      <c r="D195">
        <v>26.6</v>
      </c>
      <c r="E195">
        <v>1</v>
      </c>
      <c r="F195" t="s">
        <v>11</v>
      </c>
      <c r="G195" t="s">
        <v>54</v>
      </c>
      <c r="H195" s="2">
        <v>12044.342000000001</v>
      </c>
      <c r="I195" s="2">
        <f t="shared" si="21"/>
        <v>6022.1710000000003</v>
      </c>
      <c r="J195" t="str">
        <f t="shared" si="22"/>
        <v>Low</v>
      </c>
      <c r="K195" s="1">
        <f t="shared" si="23"/>
        <v>0.63400000000000001</v>
      </c>
      <c r="L195" t="str">
        <f t="shared" si="24"/>
        <v>Overweight</v>
      </c>
      <c r="M195" t="str">
        <f t="shared" si="25"/>
        <v>Standard</v>
      </c>
      <c r="N195" t="str">
        <f t="shared" si="26"/>
        <v>Tier 4</v>
      </c>
      <c r="O195">
        <f t="shared" si="27"/>
        <v>1</v>
      </c>
    </row>
    <row r="196" spans="1:15" x14ac:dyDescent="0.2">
      <c r="A196">
        <v>18</v>
      </c>
      <c r="B196" t="str" cm="1">
        <f t="array" ref="B196">_xlfn.IFS(A196&lt;=25,"18-25", A196&lt;=35,"26-35", A196&lt;=45,"36-45", A196&lt;=55,"46-55", A196&lt;=64,"56-64")</f>
        <v>18-25</v>
      </c>
      <c r="C196" t="s">
        <v>10</v>
      </c>
      <c r="D196">
        <v>34.43</v>
      </c>
      <c r="E196">
        <v>0</v>
      </c>
      <c r="F196" t="s">
        <v>11</v>
      </c>
      <c r="G196" t="s">
        <v>51</v>
      </c>
      <c r="H196" s="2">
        <v>1137.4697000000001</v>
      </c>
      <c r="I196" s="2">
        <f t="shared" si="21"/>
        <v>1137.4697000000001</v>
      </c>
      <c r="J196" t="str">
        <f t="shared" si="22"/>
        <v>Low</v>
      </c>
      <c r="K196" s="1">
        <f t="shared" si="23"/>
        <v>3.0000000000000001E-3</v>
      </c>
      <c r="L196" t="str">
        <f t="shared" si="24"/>
        <v>Obese</v>
      </c>
      <c r="M196" t="str">
        <f t="shared" si="25"/>
        <v>Standard</v>
      </c>
      <c r="N196" t="str">
        <f t="shared" si="26"/>
        <v>Tier 1</v>
      </c>
      <c r="O196">
        <f t="shared" si="27"/>
        <v>3</v>
      </c>
    </row>
    <row r="197" spans="1:15" x14ac:dyDescent="0.2">
      <c r="A197">
        <v>19</v>
      </c>
      <c r="B197" t="str" cm="1">
        <f t="array" ref="B197">_xlfn.IFS(A197&lt;=25,"18-25", A197&lt;=35,"26-35", A197&lt;=45,"36-45", A197&lt;=55,"46-55", A197&lt;=64,"56-64")</f>
        <v>18-25</v>
      </c>
      <c r="C197" t="s">
        <v>10</v>
      </c>
      <c r="D197">
        <v>30.59</v>
      </c>
      <c r="E197">
        <v>0</v>
      </c>
      <c r="F197" t="s">
        <v>11</v>
      </c>
      <c r="G197" t="s">
        <v>54</v>
      </c>
      <c r="H197" s="2">
        <v>1639.5631000000001</v>
      </c>
      <c r="I197" s="2">
        <f t="shared" si="21"/>
        <v>1639.5631000000001</v>
      </c>
      <c r="J197" t="str">
        <f t="shared" si="22"/>
        <v>Low</v>
      </c>
      <c r="K197" s="1">
        <f t="shared" si="23"/>
        <v>0.03</v>
      </c>
      <c r="L197" t="str">
        <f t="shared" si="24"/>
        <v>Obese</v>
      </c>
      <c r="M197" t="str">
        <f t="shared" si="25"/>
        <v>Standard</v>
      </c>
      <c r="N197" t="str">
        <f t="shared" si="26"/>
        <v>Tier 4</v>
      </c>
      <c r="O197">
        <f t="shared" si="27"/>
        <v>2</v>
      </c>
    </row>
    <row r="198" spans="1:15" x14ac:dyDescent="0.2">
      <c r="A198">
        <v>39</v>
      </c>
      <c r="B198" t="str" cm="1">
        <f t="array" ref="B198">_xlfn.IFS(A198&lt;=25,"18-25", A198&lt;=35,"26-35", A198&lt;=45,"36-45", A198&lt;=55,"46-55", A198&lt;=64,"56-64")</f>
        <v>36-45</v>
      </c>
      <c r="C198" t="s">
        <v>7</v>
      </c>
      <c r="D198">
        <v>32.799999999999997</v>
      </c>
      <c r="E198">
        <v>0</v>
      </c>
      <c r="F198" t="s">
        <v>11</v>
      </c>
      <c r="G198" t="s">
        <v>52</v>
      </c>
      <c r="H198" s="2">
        <v>5649.7150000000001</v>
      </c>
      <c r="I198" s="2">
        <f t="shared" si="21"/>
        <v>5649.7150000000001</v>
      </c>
      <c r="J198" t="str">
        <f t="shared" si="22"/>
        <v>Low</v>
      </c>
      <c r="K198" s="1">
        <f t="shared" si="23"/>
        <v>0.30399999999999999</v>
      </c>
      <c r="L198" t="str">
        <f t="shared" si="24"/>
        <v>Obese</v>
      </c>
      <c r="M198" t="str">
        <f t="shared" si="25"/>
        <v>Standard</v>
      </c>
      <c r="N198" t="str">
        <f t="shared" si="26"/>
        <v>Tier 3</v>
      </c>
      <c r="O198">
        <f t="shared" si="27"/>
        <v>2</v>
      </c>
    </row>
    <row r="199" spans="1:15" x14ac:dyDescent="0.2">
      <c r="A199">
        <v>45</v>
      </c>
      <c r="B199" t="str" cm="1">
        <f t="array" ref="B199">_xlfn.IFS(A199&lt;=25,"18-25", A199&lt;=35,"26-35", A199&lt;=45,"36-45", A199&lt;=55,"46-55", A199&lt;=64,"56-64")</f>
        <v>36-45</v>
      </c>
      <c r="C199" t="s">
        <v>7</v>
      </c>
      <c r="D199">
        <v>28.6</v>
      </c>
      <c r="E199">
        <v>2</v>
      </c>
      <c r="F199" t="s">
        <v>11</v>
      </c>
      <c r="G199" t="s">
        <v>51</v>
      </c>
      <c r="H199" s="2">
        <v>8516.8289999999997</v>
      </c>
      <c r="I199" s="2">
        <f t="shared" si="21"/>
        <v>2838.9429999999998</v>
      </c>
      <c r="J199" t="str">
        <f t="shared" si="22"/>
        <v>Low</v>
      </c>
      <c r="K199" s="1">
        <f t="shared" si="23"/>
        <v>0.45300000000000001</v>
      </c>
      <c r="L199" t="str">
        <f t="shared" si="24"/>
        <v>Overweight</v>
      </c>
      <c r="M199" t="str">
        <f t="shared" si="25"/>
        <v>Standard</v>
      </c>
      <c r="N199" t="str">
        <f t="shared" si="26"/>
        <v>Tier 1</v>
      </c>
      <c r="O199">
        <f t="shared" si="27"/>
        <v>2</v>
      </c>
    </row>
    <row r="200" spans="1:15" x14ac:dyDescent="0.2">
      <c r="A200">
        <v>51</v>
      </c>
      <c r="B200" t="str" cm="1">
        <f t="array" ref="B200">_xlfn.IFS(A200&lt;=25,"18-25", A200&lt;=35,"26-35", A200&lt;=45,"36-45", A200&lt;=55,"46-55", A200&lt;=64,"56-64")</f>
        <v>46-55</v>
      </c>
      <c r="C200" t="s">
        <v>7</v>
      </c>
      <c r="D200">
        <v>18.05</v>
      </c>
      <c r="E200">
        <v>0</v>
      </c>
      <c r="F200" t="s">
        <v>11</v>
      </c>
      <c r="G200" t="s">
        <v>54</v>
      </c>
      <c r="H200" s="2">
        <v>9644.2525000000005</v>
      </c>
      <c r="I200" s="2">
        <f t="shared" si="21"/>
        <v>9644.2525000000005</v>
      </c>
      <c r="J200" t="str">
        <f t="shared" si="22"/>
        <v>Low</v>
      </c>
      <c r="K200" s="1">
        <f t="shared" si="23"/>
        <v>0.51500000000000001</v>
      </c>
      <c r="L200" t="str">
        <f t="shared" si="24"/>
        <v>Underweight</v>
      </c>
      <c r="M200" t="str">
        <f t="shared" si="25"/>
        <v>Standard</v>
      </c>
      <c r="N200" t="str">
        <f t="shared" si="26"/>
        <v>Tier 4</v>
      </c>
      <c r="O200">
        <f t="shared" si="27"/>
        <v>0</v>
      </c>
    </row>
    <row r="201" spans="1:15" x14ac:dyDescent="0.2">
      <c r="A201">
        <v>64</v>
      </c>
      <c r="B201" t="str" cm="1">
        <f t="array" ref="B201">_xlfn.IFS(A201&lt;=25,"18-25", A201&lt;=35,"26-35", A201&lt;=45,"36-45", A201&lt;=55,"46-55", A201&lt;=64,"56-64")</f>
        <v>56-64</v>
      </c>
      <c r="C201" t="s">
        <v>7</v>
      </c>
      <c r="D201">
        <v>39.33</v>
      </c>
      <c r="E201">
        <v>0</v>
      </c>
      <c r="F201" t="s">
        <v>11</v>
      </c>
      <c r="G201" t="s">
        <v>53</v>
      </c>
      <c r="H201" s="2">
        <v>14901.5167</v>
      </c>
      <c r="I201" s="2">
        <f t="shared" si="21"/>
        <v>14901.5167</v>
      </c>
      <c r="J201" t="str">
        <f t="shared" si="22"/>
        <v>High</v>
      </c>
      <c r="K201" s="1">
        <f t="shared" si="23"/>
        <v>0.73099999999999998</v>
      </c>
      <c r="L201" t="str">
        <f t="shared" si="24"/>
        <v>Obese</v>
      </c>
      <c r="M201" t="str">
        <f t="shared" si="25"/>
        <v>Standard</v>
      </c>
      <c r="N201" t="str">
        <f t="shared" si="26"/>
        <v>Tier 2</v>
      </c>
      <c r="O201">
        <f t="shared" si="27"/>
        <v>2</v>
      </c>
    </row>
    <row r="202" spans="1:15" x14ac:dyDescent="0.2">
      <c r="A202">
        <v>19</v>
      </c>
      <c r="B202" t="str" cm="1">
        <f t="array" ref="B202">_xlfn.IFS(A202&lt;=25,"18-25", A202&lt;=35,"26-35", A202&lt;=45,"36-45", A202&lt;=55,"46-55", A202&lt;=64,"56-64")</f>
        <v>18-25</v>
      </c>
      <c r="C202" t="s">
        <v>7</v>
      </c>
      <c r="D202">
        <v>32.11</v>
      </c>
      <c r="E202">
        <v>0</v>
      </c>
      <c r="F202" t="s">
        <v>11</v>
      </c>
      <c r="G202" t="s">
        <v>54</v>
      </c>
      <c r="H202" s="2">
        <v>2130.6759000000002</v>
      </c>
      <c r="I202" s="2">
        <f t="shared" si="21"/>
        <v>2130.6759000000002</v>
      </c>
      <c r="J202" t="str">
        <f t="shared" si="22"/>
        <v>Low</v>
      </c>
      <c r="K202" s="1">
        <f t="shared" si="23"/>
        <v>7.6999999999999999E-2</v>
      </c>
      <c r="L202" t="str">
        <f t="shared" si="24"/>
        <v>Obese</v>
      </c>
      <c r="M202" t="str">
        <f t="shared" si="25"/>
        <v>Standard</v>
      </c>
      <c r="N202" t="str">
        <f t="shared" si="26"/>
        <v>Tier 4</v>
      </c>
      <c r="O202">
        <f t="shared" si="27"/>
        <v>2</v>
      </c>
    </row>
    <row r="203" spans="1:15" x14ac:dyDescent="0.2">
      <c r="A203">
        <v>48</v>
      </c>
      <c r="B203" t="str" cm="1">
        <f t="array" ref="B203">_xlfn.IFS(A203&lt;=25,"18-25", A203&lt;=35,"26-35", A203&lt;=45,"36-45", A203&lt;=55,"46-55", A203&lt;=64,"56-64")</f>
        <v>46-55</v>
      </c>
      <c r="C203" t="s">
        <v>7</v>
      </c>
      <c r="D203">
        <v>32.229999999999997</v>
      </c>
      <c r="E203">
        <v>1</v>
      </c>
      <c r="F203" t="s">
        <v>11</v>
      </c>
      <c r="G203" t="s">
        <v>51</v>
      </c>
      <c r="H203" s="2">
        <v>8871.1517000000003</v>
      </c>
      <c r="I203" s="2">
        <f t="shared" si="21"/>
        <v>4435.5758500000002</v>
      </c>
      <c r="J203" t="str">
        <f t="shared" si="22"/>
        <v>Low</v>
      </c>
      <c r="K203" s="1">
        <f t="shared" si="23"/>
        <v>0.47699999999999998</v>
      </c>
      <c r="L203" t="str">
        <f t="shared" si="24"/>
        <v>Obese</v>
      </c>
      <c r="M203" t="str">
        <f t="shared" si="25"/>
        <v>Standard</v>
      </c>
      <c r="N203" t="str">
        <f t="shared" si="26"/>
        <v>Tier 1</v>
      </c>
      <c r="O203">
        <f t="shared" si="27"/>
        <v>3</v>
      </c>
    </row>
    <row r="204" spans="1:15" x14ac:dyDescent="0.2">
      <c r="A204">
        <v>60</v>
      </c>
      <c r="B204" t="str" cm="1">
        <f t="array" ref="B204">_xlfn.IFS(A204&lt;=25,"18-25", A204&lt;=35,"26-35", A204&lt;=45,"36-45", A204&lt;=55,"46-55", A204&lt;=64,"56-64")</f>
        <v>56-64</v>
      </c>
      <c r="C204" t="s">
        <v>7</v>
      </c>
      <c r="D204">
        <v>24.035</v>
      </c>
      <c r="E204">
        <v>0</v>
      </c>
      <c r="F204" t="s">
        <v>11</v>
      </c>
      <c r="G204" t="s">
        <v>54</v>
      </c>
      <c r="H204" s="2">
        <v>13012.20865</v>
      </c>
      <c r="I204" s="2">
        <f t="shared" si="21"/>
        <v>13012.20865</v>
      </c>
      <c r="J204" t="str">
        <f t="shared" si="22"/>
        <v>Low</v>
      </c>
      <c r="K204" s="1">
        <f t="shared" si="23"/>
        <v>0.67500000000000004</v>
      </c>
      <c r="L204" t="str">
        <f t="shared" si="24"/>
        <v>Normal</v>
      </c>
      <c r="M204" t="str">
        <f t="shared" si="25"/>
        <v>Standard</v>
      </c>
      <c r="N204" t="str">
        <f t="shared" si="26"/>
        <v>Tier 4</v>
      </c>
      <c r="O204">
        <f t="shared" si="27"/>
        <v>0</v>
      </c>
    </row>
    <row r="205" spans="1:15" x14ac:dyDescent="0.2">
      <c r="A205">
        <v>27</v>
      </c>
      <c r="B205" t="str" cm="1">
        <f t="array" ref="B205">_xlfn.IFS(A205&lt;=25,"18-25", A205&lt;=35,"26-35", A205&lt;=45,"36-45", A205&lt;=55,"46-55", A205&lt;=64,"56-64")</f>
        <v>26-35</v>
      </c>
      <c r="C205" t="s">
        <v>7</v>
      </c>
      <c r="D205">
        <v>36.08</v>
      </c>
      <c r="E205">
        <v>0</v>
      </c>
      <c r="F205" t="s">
        <v>8</v>
      </c>
      <c r="G205" t="s">
        <v>51</v>
      </c>
      <c r="H205" s="2">
        <v>37133.898200000003</v>
      </c>
      <c r="I205" s="2">
        <f t="shared" si="21"/>
        <v>37133.898200000003</v>
      </c>
      <c r="J205" t="str">
        <f t="shared" si="22"/>
        <v>High</v>
      </c>
      <c r="K205" s="1">
        <f t="shared" si="23"/>
        <v>0.91600000000000004</v>
      </c>
      <c r="L205" t="str">
        <f t="shared" si="24"/>
        <v>Obese</v>
      </c>
      <c r="M205" t="str">
        <f t="shared" si="25"/>
        <v>High Risk</v>
      </c>
      <c r="N205" t="str">
        <f t="shared" si="26"/>
        <v>Tier 1</v>
      </c>
      <c r="O205">
        <f t="shared" si="27"/>
        <v>6</v>
      </c>
    </row>
    <row r="206" spans="1:15" x14ac:dyDescent="0.2">
      <c r="A206">
        <v>46</v>
      </c>
      <c r="B206" t="str" cm="1">
        <f t="array" ref="B206">_xlfn.IFS(A206&lt;=25,"18-25", A206&lt;=35,"26-35", A206&lt;=45,"36-45", A206&lt;=55,"46-55", A206&lt;=64,"56-64")</f>
        <v>46-55</v>
      </c>
      <c r="C206" t="s">
        <v>10</v>
      </c>
      <c r="D206">
        <v>22.3</v>
      </c>
      <c r="E206">
        <v>0</v>
      </c>
      <c r="F206" t="s">
        <v>11</v>
      </c>
      <c r="G206" t="s">
        <v>52</v>
      </c>
      <c r="H206" s="2">
        <v>7147.1049999999996</v>
      </c>
      <c r="I206" s="2">
        <f t="shared" si="21"/>
        <v>7147.1049999999996</v>
      </c>
      <c r="J206" t="str">
        <f t="shared" si="22"/>
        <v>Low</v>
      </c>
      <c r="K206" s="1">
        <f t="shared" si="23"/>
        <v>0.38</v>
      </c>
      <c r="L206" t="str">
        <f t="shared" si="24"/>
        <v>Normal</v>
      </c>
      <c r="M206" t="str">
        <f t="shared" si="25"/>
        <v>Standard</v>
      </c>
      <c r="N206" t="str">
        <f t="shared" si="26"/>
        <v>Tier 3</v>
      </c>
      <c r="O206">
        <f t="shared" si="27"/>
        <v>0</v>
      </c>
    </row>
    <row r="207" spans="1:15" x14ac:dyDescent="0.2">
      <c r="A207">
        <v>28</v>
      </c>
      <c r="B207" t="str" cm="1">
        <f t="array" ref="B207">_xlfn.IFS(A207&lt;=25,"18-25", A207&lt;=35,"26-35", A207&lt;=45,"36-45", A207&lt;=55,"46-55", A207&lt;=64,"56-64")</f>
        <v>26-35</v>
      </c>
      <c r="C207" t="s">
        <v>7</v>
      </c>
      <c r="D207">
        <v>28.88</v>
      </c>
      <c r="E207">
        <v>1</v>
      </c>
      <c r="F207" t="s">
        <v>11</v>
      </c>
      <c r="G207" t="s">
        <v>53</v>
      </c>
      <c r="H207" s="2">
        <v>4337.7352000000001</v>
      </c>
      <c r="I207" s="2">
        <f t="shared" si="21"/>
        <v>2168.8676</v>
      </c>
      <c r="J207" t="str">
        <f t="shared" si="22"/>
        <v>Low</v>
      </c>
      <c r="K207" s="1">
        <f t="shared" si="23"/>
        <v>0.217</v>
      </c>
      <c r="L207" t="str">
        <f t="shared" si="24"/>
        <v>Overweight</v>
      </c>
      <c r="M207" t="str">
        <f t="shared" si="25"/>
        <v>Standard</v>
      </c>
      <c r="N207" t="str">
        <f t="shared" si="26"/>
        <v>Tier 2</v>
      </c>
      <c r="O207">
        <f t="shared" si="27"/>
        <v>1</v>
      </c>
    </row>
    <row r="208" spans="1:15" x14ac:dyDescent="0.2">
      <c r="A208">
        <v>59</v>
      </c>
      <c r="B208" t="str" cm="1">
        <f t="array" ref="B208">_xlfn.IFS(A208&lt;=25,"18-25", A208&lt;=35,"26-35", A208&lt;=45,"36-45", A208&lt;=55,"46-55", A208&lt;=64,"56-64")</f>
        <v>56-64</v>
      </c>
      <c r="C208" t="s">
        <v>10</v>
      </c>
      <c r="D208">
        <v>26.4</v>
      </c>
      <c r="E208">
        <v>0</v>
      </c>
      <c r="F208" t="s">
        <v>11</v>
      </c>
      <c r="G208" t="s">
        <v>51</v>
      </c>
      <c r="H208" s="2">
        <v>11743.299000000001</v>
      </c>
      <c r="I208" s="2">
        <f t="shared" si="21"/>
        <v>11743.299000000001</v>
      </c>
      <c r="J208" t="str">
        <f t="shared" si="22"/>
        <v>Low</v>
      </c>
      <c r="K208" s="1">
        <f t="shared" si="23"/>
        <v>0.61699999999999999</v>
      </c>
      <c r="L208" t="str">
        <f t="shared" si="24"/>
        <v>Overweight</v>
      </c>
      <c r="M208" t="str">
        <f t="shared" si="25"/>
        <v>Standard</v>
      </c>
      <c r="N208" t="str">
        <f t="shared" si="26"/>
        <v>Tier 1</v>
      </c>
      <c r="O208">
        <f t="shared" si="27"/>
        <v>2</v>
      </c>
    </row>
    <row r="209" spans="1:15" x14ac:dyDescent="0.2">
      <c r="A209">
        <v>35</v>
      </c>
      <c r="B209" t="str" cm="1">
        <f t="array" ref="B209">_xlfn.IFS(A209&lt;=25,"18-25", A209&lt;=35,"26-35", A209&lt;=45,"36-45", A209&lt;=55,"46-55", A209&lt;=64,"56-64")</f>
        <v>26-35</v>
      </c>
      <c r="C209" t="s">
        <v>10</v>
      </c>
      <c r="D209">
        <v>27.74</v>
      </c>
      <c r="E209">
        <v>2</v>
      </c>
      <c r="F209" t="s">
        <v>8</v>
      </c>
      <c r="G209" t="s">
        <v>53</v>
      </c>
      <c r="H209" s="2">
        <v>20984.0936</v>
      </c>
      <c r="I209" s="2">
        <f t="shared" si="21"/>
        <v>6994.6978666666664</v>
      </c>
      <c r="J209" t="str">
        <f t="shared" si="22"/>
        <v>High</v>
      </c>
      <c r="K209" s="1">
        <f t="shared" si="23"/>
        <v>0.80700000000000005</v>
      </c>
      <c r="L209" t="str">
        <f t="shared" si="24"/>
        <v>Overweight</v>
      </c>
      <c r="M209" t="str">
        <f t="shared" si="25"/>
        <v>High Risk</v>
      </c>
      <c r="N209" t="str">
        <f t="shared" si="26"/>
        <v>Tier 2</v>
      </c>
      <c r="O209">
        <f t="shared" si="27"/>
        <v>4</v>
      </c>
    </row>
    <row r="210" spans="1:15" x14ac:dyDescent="0.2">
      <c r="A210">
        <v>63</v>
      </c>
      <c r="B210" t="str" cm="1">
        <f t="array" ref="B210">_xlfn.IFS(A210&lt;=25,"18-25", A210&lt;=35,"26-35", A210&lt;=45,"36-45", A210&lt;=55,"46-55", A210&lt;=64,"56-64")</f>
        <v>56-64</v>
      </c>
      <c r="C210" t="s">
        <v>7</v>
      </c>
      <c r="D210">
        <v>31.8</v>
      </c>
      <c r="E210">
        <v>0</v>
      </c>
      <c r="F210" t="s">
        <v>11</v>
      </c>
      <c r="G210" t="s">
        <v>52</v>
      </c>
      <c r="H210" s="2">
        <v>13880.949000000001</v>
      </c>
      <c r="I210" s="2">
        <f t="shared" si="21"/>
        <v>13880.949000000001</v>
      </c>
      <c r="J210" t="str">
        <f t="shared" si="22"/>
        <v>High</v>
      </c>
      <c r="K210" s="1">
        <f t="shared" si="23"/>
        <v>0.70299999999999996</v>
      </c>
      <c r="L210" t="str">
        <f t="shared" si="24"/>
        <v>Obese</v>
      </c>
      <c r="M210" t="str">
        <f t="shared" si="25"/>
        <v>Standard</v>
      </c>
      <c r="N210" t="str">
        <f t="shared" si="26"/>
        <v>Tier 3</v>
      </c>
      <c r="O210">
        <f t="shared" si="27"/>
        <v>2</v>
      </c>
    </row>
    <row r="211" spans="1:15" x14ac:dyDescent="0.2">
      <c r="A211">
        <v>40</v>
      </c>
      <c r="B211" t="str" cm="1">
        <f t="array" ref="B211">_xlfn.IFS(A211&lt;=25,"18-25", A211&lt;=35,"26-35", A211&lt;=45,"36-45", A211&lt;=55,"46-55", A211&lt;=64,"56-64")</f>
        <v>36-45</v>
      </c>
      <c r="C211" t="s">
        <v>10</v>
      </c>
      <c r="D211">
        <v>41.23</v>
      </c>
      <c r="E211">
        <v>1</v>
      </c>
      <c r="F211" t="s">
        <v>11</v>
      </c>
      <c r="G211" t="s">
        <v>53</v>
      </c>
      <c r="H211" s="2">
        <v>6610.1097</v>
      </c>
      <c r="I211" s="2">
        <f t="shared" si="21"/>
        <v>3305.05485</v>
      </c>
      <c r="J211" t="str">
        <f t="shared" si="22"/>
        <v>Low</v>
      </c>
      <c r="K211" s="1">
        <f t="shared" si="23"/>
        <v>0.35599999999999998</v>
      </c>
      <c r="L211" t="str">
        <f t="shared" si="24"/>
        <v>Obese</v>
      </c>
      <c r="M211" t="str">
        <f t="shared" si="25"/>
        <v>Standard</v>
      </c>
      <c r="N211" t="str">
        <f t="shared" si="26"/>
        <v>Tier 2</v>
      </c>
      <c r="O211">
        <f t="shared" si="27"/>
        <v>2</v>
      </c>
    </row>
    <row r="212" spans="1:15" x14ac:dyDescent="0.2">
      <c r="A212">
        <v>20</v>
      </c>
      <c r="B212" t="str" cm="1">
        <f t="array" ref="B212">_xlfn.IFS(A212&lt;=25,"18-25", A212&lt;=35,"26-35", A212&lt;=45,"36-45", A212&lt;=55,"46-55", A212&lt;=64,"56-64")</f>
        <v>18-25</v>
      </c>
      <c r="C212" t="s">
        <v>10</v>
      </c>
      <c r="D212">
        <v>33</v>
      </c>
      <c r="E212">
        <v>1</v>
      </c>
      <c r="F212" t="s">
        <v>11</v>
      </c>
      <c r="G212" t="s">
        <v>52</v>
      </c>
      <c r="H212" s="2">
        <v>1980.07</v>
      </c>
      <c r="I212" s="2">
        <f t="shared" si="21"/>
        <v>990.03499999999997</v>
      </c>
      <c r="J212" t="str">
        <f t="shared" si="22"/>
        <v>Low</v>
      </c>
      <c r="K212" s="1">
        <f t="shared" si="23"/>
        <v>6.5000000000000002E-2</v>
      </c>
      <c r="L212" t="str">
        <f t="shared" si="24"/>
        <v>Obese</v>
      </c>
      <c r="M212" t="str">
        <f t="shared" si="25"/>
        <v>Standard</v>
      </c>
      <c r="N212" t="str">
        <f t="shared" si="26"/>
        <v>Tier 3</v>
      </c>
      <c r="O212">
        <f t="shared" si="27"/>
        <v>2</v>
      </c>
    </row>
    <row r="213" spans="1:15" x14ac:dyDescent="0.2">
      <c r="A213">
        <v>40</v>
      </c>
      <c r="B213" t="str" cm="1">
        <f t="array" ref="B213">_xlfn.IFS(A213&lt;=25,"18-25", A213&lt;=35,"26-35", A213&lt;=45,"36-45", A213&lt;=55,"46-55", A213&lt;=64,"56-64")</f>
        <v>36-45</v>
      </c>
      <c r="C213" t="s">
        <v>10</v>
      </c>
      <c r="D213">
        <v>30.875</v>
      </c>
      <c r="E213">
        <v>4</v>
      </c>
      <c r="F213" t="s">
        <v>11</v>
      </c>
      <c r="G213" t="s">
        <v>54</v>
      </c>
      <c r="H213" s="2">
        <v>8162.7162500000004</v>
      </c>
      <c r="I213" s="2">
        <f t="shared" si="21"/>
        <v>1632.5432500000002</v>
      </c>
      <c r="J213" t="str">
        <f t="shared" si="22"/>
        <v>Low</v>
      </c>
      <c r="K213" s="1">
        <f t="shared" si="23"/>
        <v>0.435</v>
      </c>
      <c r="L213" t="str">
        <f t="shared" si="24"/>
        <v>Obese</v>
      </c>
      <c r="M213" t="str">
        <f t="shared" si="25"/>
        <v>Standard</v>
      </c>
      <c r="N213" t="str">
        <f t="shared" si="26"/>
        <v>Tier 4</v>
      </c>
      <c r="O213">
        <f t="shared" si="27"/>
        <v>2</v>
      </c>
    </row>
    <row r="214" spans="1:15" x14ac:dyDescent="0.2">
      <c r="A214">
        <v>24</v>
      </c>
      <c r="B214" t="str" cm="1">
        <f t="array" ref="B214">_xlfn.IFS(A214&lt;=25,"18-25", A214&lt;=35,"26-35", A214&lt;=45,"36-45", A214&lt;=55,"46-55", A214&lt;=64,"56-64")</f>
        <v>18-25</v>
      </c>
      <c r="C214" t="s">
        <v>10</v>
      </c>
      <c r="D214">
        <v>28.5</v>
      </c>
      <c r="E214">
        <v>2</v>
      </c>
      <c r="F214" t="s">
        <v>11</v>
      </c>
      <c r="G214" t="s">
        <v>54</v>
      </c>
      <c r="H214" s="2">
        <v>3537.703</v>
      </c>
      <c r="I214" s="2">
        <f t="shared" si="21"/>
        <v>1179.2343333333333</v>
      </c>
      <c r="J214" t="str">
        <f t="shared" si="22"/>
        <v>Low</v>
      </c>
      <c r="K214" s="1">
        <f t="shared" si="23"/>
        <v>0.17299999999999999</v>
      </c>
      <c r="L214" t="str">
        <f t="shared" si="24"/>
        <v>Overweight</v>
      </c>
      <c r="M214" t="str">
        <f t="shared" si="25"/>
        <v>Standard</v>
      </c>
      <c r="N214" t="str">
        <f t="shared" si="26"/>
        <v>Tier 4</v>
      </c>
      <c r="O214">
        <f t="shared" si="27"/>
        <v>1</v>
      </c>
    </row>
    <row r="215" spans="1:15" x14ac:dyDescent="0.2">
      <c r="A215">
        <v>34</v>
      </c>
      <c r="B215" t="str" cm="1">
        <f t="array" ref="B215">_xlfn.IFS(A215&lt;=25,"18-25", A215&lt;=35,"26-35", A215&lt;=45,"36-45", A215&lt;=55,"46-55", A215&lt;=64,"56-64")</f>
        <v>26-35</v>
      </c>
      <c r="C215" t="s">
        <v>7</v>
      </c>
      <c r="D215">
        <v>26.73</v>
      </c>
      <c r="E215">
        <v>1</v>
      </c>
      <c r="F215" t="s">
        <v>11</v>
      </c>
      <c r="G215" t="s">
        <v>51</v>
      </c>
      <c r="H215" s="2">
        <v>5002.7826999999997</v>
      </c>
      <c r="I215" s="2">
        <f t="shared" si="21"/>
        <v>2501.3913499999999</v>
      </c>
      <c r="J215" t="str">
        <f t="shared" si="22"/>
        <v>Low</v>
      </c>
      <c r="K215" s="1">
        <f t="shared" si="23"/>
        <v>0.26800000000000002</v>
      </c>
      <c r="L215" t="str">
        <f t="shared" si="24"/>
        <v>Overweight</v>
      </c>
      <c r="M215" t="str">
        <f t="shared" si="25"/>
        <v>Standard</v>
      </c>
      <c r="N215" t="str">
        <f t="shared" si="26"/>
        <v>Tier 1</v>
      </c>
      <c r="O215">
        <f t="shared" si="27"/>
        <v>2</v>
      </c>
    </row>
    <row r="216" spans="1:15" x14ac:dyDescent="0.2">
      <c r="A216">
        <v>45</v>
      </c>
      <c r="B216" t="str" cm="1">
        <f t="array" ref="B216">_xlfn.IFS(A216&lt;=25,"18-25", A216&lt;=35,"26-35", A216&lt;=45,"36-45", A216&lt;=55,"46-55", A216&lt;=64,"56-64")</f>
        <v>36-45</v>
      </c>
      <c r="C216" t="s">
        <v>7</v>
      </c>
      <c r="D216">
        <v>30.9</v>
      </c>
      <c r="E216">
        <v>2</v>
      </c>
      <c r="F216" t="s">
        <v>11</v>
      </c>
      <c r="G216" t="s">
        <v>52</v>
      </c>
      <c r="H216" s="2">
        <v>8520.0259999999998</v>
      </c>
      <c r="I216" s="2">
        <f t="shared" si="21"/>
        <v>2840.0086666666666</v>
      </c>
      <c r="J216" t="str">
        <f t="shared" si="22"/>
        <v>Low</v>
      </c>
      <c r="K216" s="1">
        <f t="shared" si="23"/>
        <v>0.45400000000000001</v>
      </c>
      <c r="L216" t="str">
        <f t="shared" si="24"/>
        <v>Obese</v>
      </c>
      <c r="M216" t="str">
        <f t="shared" si="25"/>
        <v>Standard</v>
      </c>
      <c r="N216" t="str">
        <f t="shared" si="26"/>
        <v>Tier 3</v>
      </c>
      <c r="O216">
        <f t="shared" si="27"/>
        <v>2</v>
      </c>
    </row>
    <row r="217" spans="1:15" x14ac:dyDescent="0.2">
      <c r="A217">
        <v>41</v>
      </c>
      <c r="B217" t="str" cm="1">
        <f t="array" ref="B217">_xlfn.IFS(A217&lt;=25,"18-25", A217&lt;=35,"26-35", A217&lt;=45,"36-45", A217&lt;=55,"46-55", A217&lt;=64,"56-64")</f>
        <v>36-45</v>
      </c>
      <c r="C217" t="s">
        <v>7</v>
      </c>
      <c r="D217">
        <v>37.1</v>
      </c>
      <c r="E217">
        <v>2</v>
      </c>
      <c r="F217" t="s">
        <v>11</v>
      </c>
      <c r="G217" t="s">
        <v>52</v>
      </c>
      <c r="H217" s="2">
        <v>7371.7719999999999</v>
      </c>
      <c r="I217" s="2">
        <f t="shared" si="21"/>
        <v>2457.2573333333335</v>
      </c>
      <c r="J217" t="str">
        <f t="shared" si="22"/>
        <v>Low</v>
      </c>
      <c r="K217" s="1">
        <f t="shared" si="23"/>
        <v>0.4</v>
      </c>
      <c r="L217" t="str">
        <f t="shared" si="24"/>
        <v>Obese</v>
      </c>
      <c r="M217" t="str">
        <f t="shared" si="25"/>
        <v>Standard</v>
      </c>
      <c r="N217" t="str">
        <f t="shared" si="26"/>
        <v>Tier 3</v>
      </c>
      <c r="O217">
        <f t="shared" si="27"/>
        <v>2</v>
      </c>
    </row>
    <row r="218" spans="1:15" x14ac:dyDescent="0.2">
      <c r="A218">
        <v>53</v>
      </c>
      <c r="B218" t="str" cm="1">
        <f t="array" ref="B218">_xlfn.IFS(A218&lt;=25,"18-25", A218&lt;=35,"26-35", A218&lt;=45,"36-45", A218&lt;=55,"46-55", A218&lt;=64,"56-64")</f>
        <v>46-55</v>
      </c>
      <c r="C218" t="s">
        <v>7</v>
      </c>
      <c r="D218">
        <v>26.6</v>
      </c>
      <c r="E218">
        <v>0</v>
      </c>
      <c r="F218" t="s">
        <v>11</v>
      </c>
      <c r="G218" t="s">
        <v>54</v>
      </c>
      <c r="H218" s="2">
        <v>10355.641</v>
      </c>
      <c r="I218" s="2">
        <f t="shared" si="21"/>
        <v>10355.641</v>
      </c>
      <c r="J218" t="str">
        <f t="shared" si="22"/>
        <v>Low</v>
      </c>
      <c r="K218" s="1">
        <f t="shared" si="23"/>
        <v>0.54600000000000004</v>
      </c>
      <c r="L218" t="str">
        <f t="shared" si="24"/>
        <v>Overweight</v>
      </c>
      <c r="M218" t="str">
        <f t="shared" si="25"/>
        <v>Standard</v>
      </c>
      <c r="N218" t="str">
        <f t="shared" si="26"/>
        <v>Tier 4</v>
      </c>
      <c r="O218">
        <f t="shared" si="27"/>
        <v>1</v>
      </c>
    </row>
    <row r="219" spans="1:15" x14ac:dyDescent="0.2">
      <c r="A219">
        <v>27</v>
      </c>
      <c r="B219" t="str" cm="1">
        <f t="array" ref="B219">_xlfn.IFS(A219&lt;=25,"18-25", A219&lt;=35,"26-35", A219&lt;=45,"36-45", A219&lt;=55,"46-55", A219&lt;=64,"56-64")</f>
        <v>26-35</v>
      </c>
      <c r="C219" t="s">
        <v>10</v>
      </c>
      <c r="D219">
        <v>23.1</v>
      </c>
      <c r="E219">
        <v>0</v>
      </c>
      <c r="F219" t="s">
        <v>11</v>
      </c>
      <c r="G219" t="s">
        <v>51</v>
      </c>
      <c r="H219" s="2">
        <v>2483.7359999999999</v>
      </c>
      <c r="I219" s="2">
        <f t="shared" si="21"/>
        <v>2483.7359999999999</v>
      </c>
      <c r="J219" t="str">
        <f t="shared" si="22"/>
        <v>Low</v>
      </c>
      <c r="K219" s="1">
        <f t="shared" si="23"/>
        <v>0.109</v>
      </c>
      <c r="L219" t="str">
        <f t="shared" si="24"/>
        <v>Normal</v>
      </c>
      <c r="M219" t="str">
        <f t="shared" si="25"/>
        <v>Standard</v>
      </c>
      <c r="N219" t="str">
        <f t="shared" si="26"/>
        <v>Tier 1</v>
      </c>
      <c r="O219">
        <f t="shared" si="27"/>
        <v>1</v>
      </c>
    </row>
    <row r="220" spans="1:15" x14ac:dyDescent="0.2">
      <c r="A220">
        <v>26</v>
      </c>
      <c r="B220" t="str" cm="1">
        <f t="array" ref="B220">_xlfn.IFS(A220&lt;=25,"18-25", A220&lt;=35,"26-35", A220&lt;=45,"36-45", A220&lt;=55,"46-55", A220&lt;=64,"56-64")</f>
        <v>26-35</v>
      </c>
      <c r="C220" t="s">
        <v>7</v>
      </c>
      <c r="D220">
        <v>29.92</v>
      </c>
      <c r="E220">
        <v>1</v>
      </c>
      <c r="F220" t="s">
        <v>11</v>
      </c>
      <c r="G220" t="s">
        <v>51</v>
      </c>
      <c r="H220" s="2">
        <v>3392.9767999999999</v>
      </c>
      <c r="I220" s="2">
        <f t="shared" si="21"/>
        <v>1696.4884</v>
      </c>
      <c r="J220" t="str">
        <f t="shared" si="22"/>
        <v>Low</v>
      </c>
      <c r="K220" s="1">
        <f t="shared" si="23"/>
        <v>0.16600000000000001</v>
      </c>
      <c r="L220" t="str">
        <f t="shared" si="24"/>
        <v>Overweight</v>
      </c>
      <c r="M220" t="str">
        <f t="shared" si="25"/>
        <v>Standard</v>
      </c>
      <c r="N220" t="str">
        <f t="shared" si="26"/>
        <v>Tier 1</v>
      </c>
      <c r="O220">
        <f t="shared" si="27"/>
        <v>2</v>
      </c>
    </row>
    <row r="221" spans="1:15" x14ac:dyDescent="0.2">
      <c r="A221">
        <v>24</v>
      </c>
      <c r="B221" t="str" cm="1">
        <f t="array" ref="B221">_xlfn.IFS(A221&lt;=25,"18-25", A221&lt;=35,"26-35", A221&lt;=45,"36-45", A221&lt;=55,"46-55", A221&lt;=64,"56-64")</f>
        <v>18-25</v>
      </c>
      <c r="C221" t="s">
        <v>7</v>
      </c>
      <c r="D221">
        <v>23.21</v>
      </c>
      <c r="E221">
        <v>0</v>
      </c>
      <c r="F221" t="s">
        <v>11</v>
      </c>
      <c r="G221" t="s">
        <v>51</v>
      </c>
      <c r="H221" s="2">
        <v>25081.76784</v>
      </c>
      <c r="I221" s="2">
        <f t="shared" si="21"/>
        <v>25081.76784</v>
      </c>
      <c r="J221" t="str">
        <f t="shared" si="22"/>
        <v>High</v>
      </c>
      <c r="K221" s="1">
        <f t="shared" si="23"/>
        <v>0.85</v>
      </c>
      <c r="L221" t="str">
        <f t="shared" si="24"/>
        <v>Normal</v>
      </c>
      <c r="M221" t="str">
        <f t="shared" si="25"/>
        <v>Standard</v>
      </c>
      <c r="N221" t="str">
        <f t="shared" si="26"/>
        <v>Tier 1</v>
      </c>
      <c r="O221">
        <f t="shared" si="27"/>
        <v>1</v>
      </c>
    </row>
    <row r="222" spans="1:15" x14ac:dyDescent="0.2">
      <c r="A222">
        <v>34</v>
      </c>
      <c r="B222" t="str" cm="1">
        <f t="array" ref="B222">_xlfn.IFS(A222&lt;=25,"18-25", A222&lt;=35,"26-35", A222&lt;=45,"36-45", A222&lt;=55,"46-55", A222&lt;=64,"56-64")</f>
        <v>26-35</v>
      </c>
      <c r="C222" t="s">
        <v>7</v>
      </c>
      <c r="D222">
        <v>33.700000000000003</v>
      </c>
      <c r="E222">
        <v>1</v>
      </c>
      <c r="F222" t="s">
        <v>11</v>
      </c>
      <c r="G222" t="s">
        <v>52</v>
      </c>
      <c r="H222" s="2">
        <v>5012.4709999999995</v>
      </c>
      <c r="I222" s="2">
        <f t="shared" si="21"/>
        <v>2506.2354999999998</v>
      </c>
      <c r="J222" t="str">
        <f t="shared" si="22"/>
        <v>Low</v>
      </c>
      <c r="K222" s="1">
        <f t="shared" si="23"/>
        <v>0.27</v>
      </c>
      <c r="L222" t="str">
        <f t="shared" si="24"/>
        <v>Obese</v>
      </c>
      <c r="M222" t="str">
        <f t="shared" si="25"/>
        <v>Standard</v>
      </c>
      <c r="N222" t="str">
        <f t="shared" si="26"/>
        <v>Tier 3</v>
      </c>
      <c r="O222">
        <f t="shared" si="27"/>
        <v>2</v>
      </c>
    </row>
    <row r="223" spans="1:15" x14ac:dyDescent="0.2">
      <c r="A223">
        <v>53</v>
      </c>
      <c r="B223" t="str" cm="1">
        <f t="array" ref="B223">_xlfn.IFS(A223&lt;=25,"18-25", A223&lt;=35,"26-35", A223&lt;=45,"36-45", A223&lt;=55,"46-55", A223&lt;=64,"56-64")</f>
        <v>46-55</v>
      </c>
      <c r="C223" t="s">
        <v>7</v>
      </c>
      <c r="D223">
        <v>33.25</v>
      </c>
      <c r="E223">
        <v>0</v>
      </c>
      <c r="F223" t="s">
        <v>11</v>
      </c>
      <c r="G223" t="s">
        <v>53</v>
      </c>
      <c r="H223" s="2">
        <v>10564.8845</v>
      </c>
      <c r="I223" s="2">
        <f t="shared" si="21"/>
        <v>10564.8845</v>
      </c>
      <c r="J223" t="str">
        <f t="shared" si="22"/>
        <v>Low</v>
      </c>
      <c r="K223" s="1">
        <f t="shared" si="23"/>
        <v>0.55400000000000005</v>
      </c>
      <c r="L223" t="str">
        <f t="shared" si="24"/>
        <v>Obese</v>
      </c>
      <c r="M223" t="str">
        <f t="shared" si="25"/>
        <v>Standard</v>
      </c>
      <c r="N223" t="str">
        <f t="shared" si="26"/>
        <v>Tier 2</v>
      </c>
      <c r="O223">
        <f t="shared" si="27"/>
        <v>2</v>
      </c>
    </row>
    <row r="224" spans="1:15" x14ac:dyDescent="0.2">
      <c r="A224">
        <v>32</v>
      </c>
      <c r="B224" t="str" cm="1">
        <f t="array" ref="B224">_xlfn.IFS(A224&lt;=25,"18-25", A224&lt;=35,"26-35", A224&lt;=45,"36-45", A224&lt;=55,"46-55", A224&lt;=64,"56-64")</f>
        <v>26-35</v>
      </c>
      <c r="C224" t="s">
        <v>10</v>
      </c>
      <c r="D224">
        <v>30.8</v>
      </c>
      <c r="E224">
        <v>3</v>
      </c>
      <c r="F224" t="s">
        <v>11</v>
      </c>
      <c r="G224" t="s">
        <v>52</v>
      </c>
      <c r="H224" s="2">
        <v>5253.5240000000003</v>
      </c>
      <c r="I224" s="2">
        <f t="shared" si="21"/>
        <v>1313.3810000000001</v>
      </c>
      <c r="J224" t="str">
        <f t="shared" si="22"/>
        <v>Low</v>
      </c>
      <c r="K224" s="1">
        <f t="shared" si="23"/>
        <v>0.28100000000000003</v>
      </c>
      <c r="L224" t="str">
        <f t="shared" si="24"/>
        <v>Obese</v>
      </c>
      <c r="M224" t="str">
        <f t="shared" si="25"/>
        <v>Standard</v>
      </c>
      <c r="N224" t="str">
        <f t="shared" si="26"/>
        <v>Tier 3</v>
      </c>
      <c r="O224">
        <f t="shared" si="27"/>
        <v>2</v>
      </c>
    </row>
    <row r="225" spans="1:15" x14ac:dyDescent="0.2">
      <c r="A225">
        <v>19</v>
      </c>
      <c r="B225" t="str" cm="1">
        <f t="array" ref="B225">_xlfn.IFS(A225&lt;=25,"18-25", A225&lt;=35,"26-35", A225&lt;=45,"36-45", A225&lt;=55,"46-55", A225&lt;=64,"56-64")</f>
        <v>18-25</v>
      </c>
      <c r="C225" t="s">
        <v>10</v>
      </c>
      <c r="D225">
        <v>34.799999999999997</v>
      </c>
      <c r="E225">
        <v>0</v>
      </c>
      <c r="F225" t="s">
        <v>8</v>
      </c>
      <c r="G225" t="s">
        <v>52</v>
      </c>
      <c r="H225" s="2">
        <v>34779.614999999998</v>
      </c>
      <c r="I225" s="2">
        <f t="shared" si="21"/>
        <v>34779.614999999998</v>
      </c>
      <c r="J225" t="str">
        <f t="shared" si="22"/>
        <v>High</v>
      </c>
      <c r="K225" s="1">
        <f t="shared" si="23"/>
        <v>0.89800000000000002</v>
      </c>
      <c r="L225" t="str">
        <f t="shared" si="24"/>
        <v>Obese</v>
      </c>
      <c r="M225" t="str">
        <f t="shared" si="25"/>
        <v>High Risk</v>
      </c>
      <c r="N225" t="str">
        <f t="shared" si="26"/>
        <v>Tier 3</v>
      </c>
      <c r="O225">
        <f t="shared" si="27"/>
        <v>5</v>
      </c>
    </row>
    <row r="226" spans="1:15" x14ac:dyDescent="0.2">
      <c r="A226">
        <v>42</v>
      </c>
      <c r="B226" t="str" cm="1">
        <f t="array" ref="B226">_xlfn.IFS(A226&lt;=25,"18-25", A226&lt;=35,"26-35", A226&lt;=45,"36-45", A226&lt;=55,"46-55", A226&lt;=64,"56-64")</f>
        <v>36-45</v>
      </c>
      <c r="C226" t="s">
        <v>10</v>
      </c>
      <c r="D226">
        <v>24.64</v>
      </c>
      <c r="E226">
        <v>0</v>
      </c>
      <c r="F226" t="s">
        <v>8</v>
      </c>
      <c r="G226" t="s">
        <v>51</v>
      </c>
      <c r="H226" s="2">
        <v>19515.5416</v>
      </c>
      <c r="I226" s="2">
        <f t="shared" si="21"/>
        <v>19515.5416</v>
      </c>
      <c r="J226" t="str">
        <f t="shared" si="22"/>
        <v>High</v>
      </c>
      <c r="K226" s="1">
        <f t="shared" si="23"/>
        <v>0.78900000000000003</v>
      </c>
      <c r="L226" t="str">
        <f t="shared" si="24"/>
        <v>Normal</v>
      </c>
      <c r="M226" t="str">
        <f t="shared" si="25"/>
        <v>High Risk</v>
      </c>
      <c r="N226" t="str">
        <f t="shared" si="26"/>
        <v>Tier 1</v>
      </c>
      <c r="O226">
        <f t="shared" si="27"/>
        <v>4</v>
      </c>
    </row>
    <row r="227" spans="1:15" x14ac:dyDescent="0.2">
      <c r="A227">
        <v>55</v>
      </c>
      <c r="B227" t="str" cm="1">
        <f t="array" ref="B227">_xlfn.IFS(A227&lt;=25,"18-25", A227&lt;=35,"26-35", A227&lt;=45,"36-45", A227&lt;=55,"46-55", A227&lt;=64,"56-64")</f>
        <v>46-55</v>
      </c>
      <c r="C227" t="s">
        <v>10</v>
      </c>
      <c r="D227">
        <v>33.880000000000003</v>
      </c>
      <c r="E227">
        <v>3</v>
      </c>
      <c r="F227" t="s">
        <v>11</v>
      </c>
      <c r="G227" t="s">
        <v>51</v>
      </c>
      <c r="H227" s="2">
        <v>11987.1682</v>
      </c>
      <c r="I227" s="2">
        <f t="shared" si="21"/>
        <v>2996.79205</v>
      </c>
      <c r="J227" t="str">
        <f t="shared" si="22"/>
        <v>Low</v>
      </c>
      <c r="K227" s="1">
        <f t="shared" si="23"/>
        <v>0.63200000000000001</v>
      </c>
      <c r="L227" t="str">
        <f t="shared" si="24"/>
        <v>Obese</v>
      </c>
      <c r="M227" t="str">
        <f t="shared" si="25"/>
        <v>Standard</v>
      </c>
      <c r="N227" t="str">
        <f t="shared" si="26"/>
        <v>Tier 1</v>
      </c>
      <c r="O227">
        <f t="shared" si="27"/>
        <v>3</v>
      </c>
    </row>
    <row r="228" spans="1:15" x14ac:dyDescent="0.2">
      <c r="A228">
        <v>28</v>
      </c>
      <c r="B228" t="str" cm="1">
        <f t="array" ref="B228">_xlfn.IFS(A228&lt;=25,"18-25", A228&lt;=35,"26-35", A228&lt;=45,"36-45", A228&lt;=55,"46-55", A228&lt;=64,"56-64")</f>
        <v>26-35</v>
      </c>
      <c r="C228" t="s">
        <v>10</v>
      </c>
      <c r="D228">
        <v>38.06</v>
      </c>
      <c r="E228">
        <v>0</v>
      </c>
      <c r="F228" t="s">
        <v>11</v>
      </c>
      <c r="G228" t="s">
        <v>51</v>
      </c>
      <c r="H228" s="2">
        <v>2689.4953999999998</v>
      </c>
      <c r="I228" s="2">
        <f t="shared" si="21"/>
        <v>2689.4953999999998</v>
      </c>
      <c r="J228" t="str">
        <f t="shared" si="22"/>
        <v>Low</v>
      </c>
      <c r="K228" s="1">
        <f t="shared" si="23"/>
        <v>0.121</v>
      </c>
      <c r="L228" t="str">
        <f t="shared" si="24"/>
        <v>Obese</v>
      </c>
      <c r="M228" t="str">
        <f t="shared" si="25"/>
        <v>Standard</v>
      </c>
      <c r="N228" t="str">
        <f t="shared" si="26"/>
        <v>Tier 1</v>
      </c>
      <c r="O228">
        <f t="shared" si="27"/>
        <v>3</v>
      </c>
    </row>
    <row r="229" spans="1:15" x14ac:dyDescent="0.2">
      <c r="A229">
        <v>58</v>
      </c>
      <c r="B229" t="str" cm="1">
        <f t="array" ref="B229">_xlfn.IFS(A229&lt;=25,"18-25", A229&lt;=35,"26-35", A229&lt;=45,"36-45", A229&lt;=55,"46-55", A229&lt;=64,"56-64")</f>
        <v>56-64</v>
      </c>
      <c r="C229" t="s">
        <v>7</v>
      </c>
      <c r="D229">
        <v>41.91</v>
      </c>
      <c r="E229">
        <v>0</v>
      </c>
      <c r="F229" t="s">
        <v>11</v>
      </c>
      <c r="G229" t="s">
        <v>51</v>
      </c>
      <c r="H229" s="2">
        <v>24227.337240000001</v>
      </c>
      <c r="I229" s="2">
        <f t="shared" si="21"/>
        <v>24227.337240000001</v>
      </c>
      <c r="J229" t="str">
        <f t="shared" si="22"/>
        <v>High</v>
      </c>
      <c r="K229" s="1">
        <f t="shared" si="23"/>
        <v>0.84</v>
      </c>
      <c r="L229" t="str">
        <f t="shared" si="24"/>
        <v>Obese</v>
      </c>
      <c r="M229" t="str">
        <f t="shared" si="25"/>
        <v>Standard</v>
      </c>
      <c r="N229" t="str">
        <f t="shared" si="26"/>
        <v>Tier 1</v>
      </c>
      <c r="O229">
        <f t="shared" si="27"/>
        <v>3</v>
      </c>
    </row>
    <row r="230" spans="1:15" x14ac:dyDescent="0.2">
      <c r="A230">
        <v>41</v>
      </c>
      <c r="B230" t="str" cm="1">
        <f t="array" ref="B230">_xlfn.IFS(A230&lt;=25,"18-25", A230&lt;=35,"26-35", A230&lt;=45,"36-45", A230&lt;=55,"46-55", A230&lt;=64,"56-64")</f>
        <v>36-45</v>
      </c>
      <c r="C230" t="s">
        <v>7</v>
      </c>
      <c r="D230">
        <v>31.635000000000002</v>
      </c>
      <c r="E230">
        <v>1</v>
      </c>
      <c r="F230" t="s">
        <v>11</v>
      </c>
      <c r="G230" t="s">
        <v>53</v>
      </c>
      <c r="H230" s="2">
        <v>7358.1756500000001</v>
      </c>
      <c r="I230" s="2">
        <f t="shared" si="21"/>
        <v>3679.0878250000001</v>
      </c>
      <c r="J230" t="str">
        <f t="shared" si="22"/>
        <v>Low</v>
      </c>
      <c r="K230" s="1">
        <f t="shared" si="23"/>
        <v>0.39900000000000002</v>
      </c>
      <c r="L230" t="str">
        <f t="shared" si="24"/>
        <v>Obese</v>
      </c>
      <c r="M230" t="str">
        <f t="shared" si="25"/>
        <v>Standard</v>
      </c>
      <c r="N230" t="str">
        <f t="shared" si="26"/>
        <v>Tier 2</v>
      </c>
      <c r="O230">
        <f t="shared" si="27"/>
        <v>2</v>
      </c>
    </row>
    <row r="231" spans="1:15" x14ac:dyDescent="0.2">
      <c r="A231">
        <v>47</v>
      </c>
      <c r="B231" t="str" cm="1">
        <f t="array" ref="B231">_xlfn.IFS(A231&lt;=25,"18-25", A231&lt;=35,"26-35", A231&lt;=45,"36-45", A231&lt;=55,"46-55", A231&lt;=64,"56-64")</f>
        <v>46-55</v>
      </c>
      <c r="C231" t="s">
        <v>10</v>
      </c>
      <c r="D231">
        <v>25.46</v>
      </c>
      <c r="E231">
        <v>2</v>
      </c>
      <c r="F231" t="s">
        <v>11</v>
      </c>
      <c r="G231" t="s">
        <v>53</v>
      </c>
      <c r="H231" s="2">
        <v>9225.2564000000002</v>
      </c>
      <c r="I231" s="2">
        <f t="shared" si="21"/>
        <v>3075.0854666666669</v>
      </c>
      <c r="J231" t="str">
        <f t="shared" si="22"/>
        <v>Low</v>
      </c>
      <c r="K231" s="1">
        <f t="shared" si="23"/>
        <v>0.49199999999999999</v>
      </c>
      <c r="L231" t="str">
        <f t="shared" si="24"/>
        <v>Overweight</v>
      </c>
      <c r="M231" t="str">
        <f t="shared" si="25"/>
        <v>Standard</v>
      </c>
      <c r="N231" t="str">
        <f t="shared" si="26"/>
        <v>Tier 2</v>
      </c>
      <c r="O231">
        <f t="shared" si="27"/>
        <v>1</v>
      </c>
    </row>
    <row r="232" spans="1:15" x14ac:dyDescent="0.2">
      <c r="A232">
        <v>42</v>
      </c>
      <c r="B232" t="str" cm="1">
        <f t="array" ref="B232">_xlfn.IFS(A232&lt;=25,"18-25", A232&lt;=35,"26-35", A232&lt;=45,"36-45", A232&lt;=55,"46-55", A232&lt;=64,"56-64")</f>
        <v>36-45</v>
      </c>
      <c r="C232" t="s">
        <v>7</v>
      </c>
      <c r="D232">
        <v>36.195</v>
      </c>
      <c r="E232">
        <v>1</v>
      </c>
      <c r="F232" t="s">
        <v>11</v>
      </c>
      <c r="G232" t="s">
        <v>54</v>
      </c>
      <c r="H232" s="2">
        <v>7443.6430499999997</v>
      </c>
      <c r="I232" s="2">
        <f t="shared" si="21"/>
        <v>3721.8215249999998</v>
      </c>
      <c r="J232" t="str">
        <f t="shared" si="22"/>
        <v>Low</v>
      </c>
      <c r="K232" s="1">
        <f t="shared" si="23"/>
        <v>0.40400000000000003</v>
      </c>
      <c r="L232" t="str">
        <f t="shared" si="24"/>
        <v>Obese</v>
      </c>
      <c r="M232" t="str">
        <f t="shared" si="25"/>
        <v>Standard</v>
      </c>
      <c r="N232" t="str">
        <f t="shared" si="26"/>
        <v>Tier 4</v>
      </c>
      <c r="O232">
        <f t="shared" si="27"/>
        <v>2</v>
      </c>
    </row>
    <row r="233" spans="1:15" x14ac:dyDescent="0.2">
      <c r="A233">
        <v>59</v>
      </c>
      <c r="B233" t="str" cm="1">
        <f t="array" ref="B233">_xlfn.IFS(A233&lt;=25,"18-25", A233&lt;=35,"26-35", A233&lt;=45,"36-45", A233&lt;=55,"46-55", A233&lt;=64,"56-64")</f>
        <v>56-64</v>
      </c>
      <c r="C233" t="s">
        <v>7</v>
      </c>
      <c r="D233">
        <v>27.83</v>
      </c>
      <c r="E233">
        <v>3</v>
      </c>
      <c r="F233" t="s">
        <v>11</v>
      </c>
      <c r="G233" t="s">
        <v>51</v>
      </c>
      <c r="H233" s="2">
        <v>14001.286700000001</v>
      </c>
      <c r="I233" s="2">
        <f t="shared" si="21"/>
        <v>3500.3216750000001</v>
      </c>
      <c r="J233" t="str">
        <f t="shared" si="22"/>
        <v>High</v>
      </c>
      <c r="K233" s="1">
        <f t="shared" si="23"/>
        <v>0.70899999999999996</v>
      </c>
      <c r="L233" t="str">
        <f t="shared" si="24"/>
        <v>Overweight</v>
      </c>
      <c r="M233" t="str">
        <f t="shared" si="25"/>
        <v>Standard</v>
      </c>
      <c r="N233" t="str">
        <f t="shared" si="26"/>
        <v>Tier 1</v>
      </c>
      <c r="O233">
        <f t="shared" si="27"/>
        <v>2</v>
      </c>
    </row>
    <row r="234" spans="1:15" x14ac:dyDescent="0.2">
      <c r="A234">
        <v>19</v>
      </c>
      <c r="B234" t="str" cm="1">
        <f t="array" ref="B234">_xlfn.IFS(A234&lt;=25,"18-25", A234&lt;=35,"26-35", A234&lt;=45,"36-45", A234&lt;=55,"46-55", A234&lt;=64,"56-64")</f>
        <v>18-25</v>
      </c>
      <c r="C234" t="s">
        <v>7</v>
      </c>
      <c r="D234">
        <v>17.8</v>
      </c>
      <c r="E234">
        <v>0</v>
      </c>
      <c r="F234" t="s">
        <v>11</v>
      </c>
      <c r="G234" t="s">
        <v>52</v>
      </c>
      <c r="H234" s="2">
        <v>1727.7850000000001</v>
      </c>
      <c r="I234" s="2">
        <f t="shared" si="21"/>
        <v>1727.7850000000001</v>
      </c>
      <c r="J234" t="str">
        <f t="shared" si="22"/>
        <v>Low</v>
      </c>
      <c r="K234" s="1">
        <f t="shared" si="23"/>
        <v>4.3999999999999997E-2</v>
      </c>
      <c r="L234" t="str">
        <f t="shared" si="24"/>
        <v>Underweight</v>
      </c>
      <c r="M234" t="str">
        <f t="shared" si="25"/>
        <v>Standard</v>
      </c>
      <c r="N234" t="str">
        <f t="shared" si="26"/>
        <v>Tier 3</v>
      </c>
      <c r="O234">
        <f t="shared" si="27"/>
        <v>0</v>
      </c>
    </row>
    <row r="235" spans="1:15" x14ac:dyDescent="0.2">
      <c r="A235">
        <v>59</v>
      </c>
      <c r="B235" t="str" cm="1">
        <f t="array" ref="B235">_xlfn.IFS(A235&lt;=25,"18-25", A235&lt;=35,"26-35", A235&lt;=45,"36-45", A235&lt;=55,"46-55", A235&lt;=64,"56-64")</f>
        <v>56-64</v>
      </c>
      <c r="C235" t="s">
        <v>10</v>
      </c>
      <c r="D235">
        <v>27.5</v>
      </c>
      <c r="E235">
        <v>1</v>
      </c>
      <c r="F235" t="s">
        <v>11</v>
      </c>
      <c r="G235" t="s">
        <v>52</v>
      </c>
      <c r="H235" s="2">
        <v>12333.828</v>
      </c>
      <c r="I235" s="2">
        <f t="shared" si="21"/>
        <v>6166.9139999999998</v>
      </c>
      <c r="J235" t="str">
        <f t="shared" si="22"/>
        <v>Low</v>
      </c>
      <c r="K235" s="1">
        <f t="shared" si="23"/>
        <v>0.64700000000000002</v>
      </c>
      <c r="L235" t="str">
        <f t="shared" si="24"/>
        <v>Overweight</v>
      </c>
      <c r="M235" t="str">
        <f t="shared" si="25"/>
        <v>Standard</v>
      </c>
      <c r="N235" t="str">
        <f t="shared" si="26"/>
        <v>Tier 3</v>
      </c>
      <c r="O235">
        <f t="shared" si="27"/>
        <v>1</v>
      </c>
    </row>
    <row r="236" spans="1:15" x14ac:dyDescent="0.2">
      <c r="A236">
        <v>39</v>
      </c>
      <c r="B236" t="str" cm="1">
        <f t="array" ref="B236">_xlfn.IFS(A236&lt;=25,"18-25", A236&lt;=35,"26-35", A236&lt;=45,"36-45", A236&lt;=55,"46-55", A236&lt;=64,"56-64")</f>
        <v>36-45</v>
      </c>
      <c r="C236" t="s">
        <v>10</v>
      </c>
      <c r="D236">
        <v>24.51</v>
      </c>
      <c r="E236">
        <v>2</v>
      </c>
      <c r="F236" t="s">
        <v>11</v>
      </c>
      <c r="G236" t="s">
        <v>54</v>
      </c>
      <c r="H236" s="2">
        <v>6710.1918999999998</v>
      </c>
      <c r="I236" s="2">
        <f t="shared" si="21"/>
        <v>2236.7306333333331</v>
      </c>
      <c r="J236" t="str">
        <f t="shared" si="22"/>
        <v>Low</v>
      </c>
      <c r="K236" s="1">
        <f t="shared" si="23"/>
        <v>0.36099999999999999</v>
      </c>
      <c r="L236" t="str">
        <f t="shared" si="24"/>
        <v>Normal</v>
      </c>
      <c r="M236" t="str">
        <f t="shared" si="25"/>
        <v>Standard</v>
      </c>
      <c r="N236" t="str">
        <f t="shared" si="26"/>
        <v>Tier 4</v>
      </c>
      <c r="O236">
        <f t="shared" si="27"/>
        <v>0</v>
      </c>
    </row>
    <row r="237" spans="1:15" x14ac:dyDescent="0.2">
      <c r="A237">
        <v>40</v>
      </c>
      <c r="B237" t="str" cm="1">
        <f t="array" ref="B237">_xlfn.IFS(A237&lt;=25,"18-25", A237&lt;=35,"26-35", A237&lt;=45,"36-45", A237&lt;=55,"46-55", A237&lt;=64,"56-64")</f>
        <v>36-45</v>
      </c>
      <c r="C237" t="s">
        <v>7</v>
      </c>
      <c r="D237">
        <v>22.22</v>
      </c>
      <c r="E237">
        <v>2</v>
      </c>
      <c r="F237" t="s">
        <v>8</v>
      </c>
      <c r="G237" t="s">
        <v>51</v>
      </c>
      <c r="H237" s="2">
        <v>19444.265800000001</v>
      </c>
      <c r="I237" s="2">
        <f t="shared" si="21"/>
        <v>6481.421933333334</v>
      </c>
      <c r="J237" t="str">
        <f t="shared" si="22"/>
        <v>High</v>
      </c>
      <c r="K237" s="1">
        <f t="shared" si="23"/>
        <v>0.78700000000000003</v>
      </c>
      <c r="L237" t="str">
        <f t="shared" si="24"/>
        <v>Normal</v>
      </c>
      <c r="M237" t="str">
        <f t="shared" si="25"/>
        <v>High Risk</v>
      </c>
      <c r="N237" t="str">
        <f t="shared" si="26"/>
        <v>Tier 1</v>
      </c>
      <c r="O237">
        <f t="shared" si="27"/>
        <v>4</v>
      </c>
    </row>
    <row r="238" spans="1:15" x14ac:dyDescent="0.2">
      <c r="A238">
        <v>18</v>
      </c>
      <c r="B238" t="str" cm="1">
        <f t="array" ref="B238">_xlfn.IFS(A238&lt;=25,"18-25", A238&lt;=35,"26-35", A238&lt;=45,"36-45", A238&lt;=55,"46-55", A238&lt;=64,"56-64")</f>
        <v>18-25</v>
      </c>
      <c r="C238" t="s">
        <v>7</v>
      </c>
      <c r="D238">
        <v>26.73</v>
      </c>
      <c r="E238">
        <v>0</v>
      </c>
      <c r="F238" t="s">
        <v>11</v>
      </c>
      <c r="G238" t="s">
        <v>51</v>
      </c>
      <c r="H238" s="2">
        <v>1615.7666999999999</v>
      </c>
      <c r="I238" s="2">
        <f t="shared" si="21"/>
        <v>1615.7666999999999</v>
      </c>
      <c r="J238" t="str">
        <f t="shared" si="22"/>
        <v>Low</v>
      </c>
      <c r="K238" s="1">
        <f t="shared" si="23"/>
        <v>1.7999999999999999E-2</v>
      </c>
      <c r="L238" t="str">
        <f t="shared" si="24"/>
        <v>Overweight</v>
      </c>
      <c r="M238" t="str">
        <f t="shared" si="25"/>
        <v>Standard</v>
      </c>
      <c r="N238" t="str">
        <f t="shared" si="26"/>
        <v>Tier 1</v>
      </c>
      <c r="O238">
        <f t="shared" si="27"/>
        <v>2</v>
      </c>
    </row>
    <row r="239" spans="1:15" x14ac:dyDescent="0.2">
      <c r="A239">
        <v>31</v>
      </c>
      <c r="B239" t="str" cm="1">
        <f t="array" ref="B239">_xlfn.IFS(A239&lt;=25,"18-25", A239&lt;=35,"26-35", A239&lt;=45,"36-45", A239&lt;=55,"46-55", A239&lt;=64,"56-64")</f>
        <v>26-35</v>
      </c>
      <c r="C239" t="s">
        <v>10</v>
      </c>
      <c r="D239">
        <v>38.39</v>
      </c>
      <c r="E239">
        <v>2</v>
      </c>
      <c r="F239" t="s">
        <v>11</v>
      </c>
      <c r="G239" t="s">
        <v>51</v>
      </c>
      <c r="H239" s="2">
        <v>4463.2051000000001</v>
      </c>
      <c r="I239" s="2">
        <f t="shared" si="21"/>
        <v>1487.7350333333334</v>
      </c>
      <c r="J239" t="str">
        <f t="shared" si="22"/>
        <v>Low</v>
      </c>
      <c r="K239" s="1">
        <f t="shared" si="23"/>
        <v>0.23100000000000001</v>
      </c>
      <c r="L239" t="str">
        <f t="shared" si="24"/>
        <v>Obese</v>
      </c>
      <c r="M239" t="str">
        <f t="shared" si="25"/>
        <v>Standard</v>
      </c>
      <c r="N239" t="str">
        <f t="shared" si="26"/>
        <v>Tier 1</v>
      </c>
      <c r="O239">
        <f t="shared" si="27"/>
        <v>3</v>
      </c>
    </row>
    <row r="240" spans="1:15" x14ac:dyDescent="0.2">
      <c r="A240">
        <v>19</v>
      </c>
      <c r="B240" t="str" cm="1">
        <f t="array" ref="B240">_xlfn.IFS(A240&lt;=25,"18-25", A240&lt;=35,"26-35", A240&lt;=45,"36-45", A240&lt;=55,"46-55", A240&lt;=64,"56-64")</f>
        <v>18-25</v>
      </c>
      <c r="C240" t="s">
        <v>10</v>
      </c>
      <c r="D240">
        <v>29.07</v>
      </c>
      <c r="E240">
        <v>0</v>
      </c>
      <c r="F240" t="s">
        <v>8</v>
      </c>
      <c r="G240" t="s">
        <v>54</v>
      </c>
      <c r="H240" s="2">
        <v>17352.6803</v>
      </c>
      <c r="I240" s="2">
        <f t="shared" si="21"/>
        <v>17352.6803</v>
      </c>
      <c r="J240" t="str">
        <f t="shared" si="22"/>
        <v>High</v>
      </c>
      <c r="K240" s="1">
        <f t="shared" si="23"/>
        <v>0.75700000000000001</v>
      </c>
      <c r="L240" t="str">
        <f t="shared" si="24"/>
        <v>Overweight</v>
      </c>
      <c r="M240" t="str">
        <f t="shared" si="25"/>
        <v>High Risk</v>
      </c>
      <c r="N240" t="str">
        <f t="shared" si="26"/>
        <v>Tier 4</v>
      </c>
      <c r="O240">
        <f t="shared" si="27"/>
        <v>4</v>
      </c>
    </row>
    <row r="241" spans="1:15" x14ac:dyDescent="0.2">
      <c r="A241">
        <v>44</v>
      </c>
      <c r="B241" t="str" cm="1">
        <f t="array" ref="B241">_xlfn.IFS(A241&lt;=25,"18-25", A241&lt;=35,"26-35", A241&lt;=45,"36-45", A241&lt;=55,"46-55", A241&lt;=64,"56-64")</f>
        <v>36-45</v>
      </c>
      <c r="C241" t="s">
        <v>10</v>
      </c>
      <c r="D241">
        <v>38.06</v>
      </c>
      <c r="E241">
        <v>1</v>
      </c>
      <c r="F241" t="s">
        <v>11</v>
      </c>
      <c r="G241" t="s">
        <v>51</v>
      </c>
      <c r="H241" s="2">
        <v>7152.6714000000002</v>
      </c>
      <c r="I241" s="2">
        <f t="shared" si="21"/>
        <v>3576.3357000000001</v>
      </c>
      <c r="J241" t="str">
        <f t="shared" si="22"/>
        <v>Low</v>
      </c>
      <c r="K241" s="1">
        <f t="shared" si="23"/>
        <v>0.38200000000000001</v>
      </c>
      <c r="L241" t="str">
        <f t="shared" si="24"/>
        <v>Obese</v>
      </c>
      <c r="M241" t="str">
        <f t="shared" si="25"/>
        <v>Standard</v>
      </c>
      <c r="N241" t="str">
        <f t="shared" si="26"/>
        <v>Tier 1</v>
      </c>
      <c r="O241">
        <f t="shared" si="27"/>
        <v>3</v>
      </c>
    </row>
    <row r="242" spans="1:15" x14ac:dyDescent="0.2">
      <c r="A242">
        <v>23</v>
      </c>
      <c r="B242" t="str" cm="1">
        <f t="array" ref="B242">_xlfn.IFS(A242&lt;=25,"18-25", A242&lt;=35,"26-35", A242&lt;=45,"36-45", A242&lt;=55,"46-55", A242&lt;=64,"56-64")</f>
        <v>18-25</v>
      </c>
      <c r="C242" t="s">
        <v>7</v>
      </c>
      <c r="D242">
        <v>36.67</v>
      </c>
      <c r="E242">
        <v>2</v>
      </c>
      <c r="F242" t="s">
        <v>8</v>
      </c>
      <c r="G242" t="s">
        <v>53</v>
      </c>
      <c r="H242" s="2">
        <v>38511.628299999997</v>
      </c>
      <c r="I242" s="2">
        <f t="shared" si="21"/>
        <v>12837.209433333332</v>
      </c>
      <c r="J242" t="str">
        <f t="shared" si="22"/>
        <v>High</v>
      </c>
      <c r="K242" s="1">
        <f t="shared" si="23"/>
        <v>0.92700000000000005</v>
      </c>
      <c r="L242" t="str">
        <f t="shared" si="24"/>
        <v>Obese</v>
      </c>
      <c r="M242" t="str">
        <f t="shared" si="25"/>
        <v>High Risk</v>
      </c>
      <c r="N242" t="str">
        <f t="shared" si="26"/>
        <v>Tier 2</v>
      </c>
      <c r="O242">
        <f t="shared" si="27"/>
        <v>5</v>
      </c>
    </row>
    <row r="243" spans="1:15" x14ac:dyDescent="0.2">
      <c r="A243">
        <v>33</v>
      </c>
      <c r="B243" t="str" cm="1">
        <f t="array" ref="B243">_xlfn.IFS(A243&lt;=25,"18-25", A243&lt;=35,"26-35", A243&lt;=45,"36-45", A243&lt;=55,"46-55", A243&lt;=64,"56-64")</f>
        <v>26-35</v>
      </c>
      <c r="C243" t="s">
        <v>7</v>
      </c>
      <c r="D243">
        <v>22.135000000000002</v>
      </c>
      <c r="E243">
        <v>1</v>
      </c>
      <c r="F243" t="s">
        <v>11</v>
      </c>
      <c r="G243" t="s">
        <v>53</v>
      </c>
      <c r="H243" s="2">
        <v>5354.0746499999996</v>
      </c>
      <c r="I243" s="2">
        <f t="shared" si="21"/>
        <v>2677.0373249999998</v>
      </c>
      <c r="J243" t="str">
        <f t="shared" si="22"/>
        <v>Low</v>
      </c>
      <c r="K243" s="1">
        <f t="shared" si="23"/>
        <v>0.28699999999999998</v>
      </c>
      <c r="L243" t="str">
        <f t="shared" si="24"/>
        <v>Normal</v>
      </c>
      <c r="M243" t="str">
        <f t="shared" si="25"/>
        <v>Standard</v>
      </c>
      <c r="N243" t="str">
        <f t="shared" si="26"/>
        <v>Tier 2</v>
      </c>
      <c r="O243">
        <f t="shared" si="27"/>
        <v>0</v>
      </c>
    </row>
    <row r="244" spans="1:15" x14ac:dyDescent="0.2">
      <c r="A244">
        <v>55</v>
      </c>
      <c r="B244" t="str" cm="1">
        <f t="array" ref="B244">_xlfn.IFS(A244&lt;=25,"18-25", A244&lt;=35,"26-35", A244&lt;=45,"36-45", A244&lt;=55,"46-55", A244&lt;=64,"56-64")</f>
        <v>46-55</v>
      </c>
      <c r="C244" t="s">
        <v>7</v>
      </c>
      <c r="D244">
        <v>26.8</v>
      </c>
      <c r="E244">
        <v>1</v>
      </c>
      <c r="F244" t="s">
        <v>11</v>
      </c>
      <c r="G244" t="s">
        <v>52</v>
      </c>
      <c r="H244" s="2">
        <v>35160.134570000002</v>
      </c>
      <c r="I244" s="2">
        <f t="shared" si="21"/>
        <v>17580.067285000001</v>
      </c>
      <c r="J244" t="str">
        <f t="shared" si="22"/>
        <v>High</v>
      </c>
      <c r="K244" s="1">
        <f t="shared" si="23"/>
        <v>0.90200000000000002</v>
      </c>
      <c r="L244" t="str">
        <f t="shared" si="24"/>
        <v>Overweight</v>
      </c>
      <c r="M244" t="str">
        <f t="shared" si="25"/>
        <v>Standard</v>
      </c>
      <c r="N244" t="str">
        <f t="shared" si="26"/>
        <v>Tier 3</v>
      </c>
      <c r="O244">
        <f t="shared" si="27"/>
        <v>1</v>
      </c>
    </row>
    <row r="245" spans="1:15" x14ac:dyDescent="0.2">
      <c r="A245">
        <v>40</v>
      </c>
      <c r="B245" t="str" cm="1">
        <f t="array" ref="B245">_xlfn.IFS(A245&lt;=25,"18-25", A245&lt;=35,"26-35", A245&lt;=45,"36-45", A245&lt;=55,"46-55", A245&lt;=64,"56-64")</f>
        <v>36-45</v>
      </c>
      <c r="C245" t="s">
        <v>10</v>
      </c>
      <c r="D245">
        <v>35.299999999999997</v>
      </c>
      <c r="E245">
        <v>3</v>
      </c>
      <c r="F245" t="s">
        <v>11</v>
      </c>
      <c r="G245" t="s">
        <v>52</v>
      </c>
      <c r="H245" s="2">
        <v>7196.8670000000002</v>
      </c>
      <c r="I245" s="2">
        <f t="shared" si="21"/>
        <v>1799.21675</v>
      </c>
      <c r="J245" t="str">
        <f t="shared" si="22"/>
        <v>Low</v>
      </c>
      <c r="K245" s="1">
        <f t="shared" si="23"/>
        <v>0.38700000000000001</v>
      </c>
      <c r="L245" t="str">
        <f t="shared" si="24"/>
        <v>Obese</v>
      </c>
      <c r="M245" t="str">
        <f t="shared" si="25"/>
        <v>Standard</v>
      </c>
      <c r="N245" t="str">
        <f t="shared" si="26"/>
        <v>Tier 3</v>
      </c>
      <c r="O245">
        <f t="shared" si="27"/>
        <v>2</v>
      </c>
    </row>
    <row r="246" spans="1:15" x14ac:dyDescent="0.2">
      <c r="A246">
        <v>63</v>
      </c>
      <c r="B246" t="str" cm="1">
        <f t="array" ref="B246">_xlfn.IFS(A246&lt;=25,"18-25", A246&lt;=35,"26-35", A246&lt;=45,"36-45", A246&lt;=55,"46-55", A246&lt;=64,"56-64")</f>
        <v>56-64</v>
      </c>
      <c r="C246" t="s">
        <v>7</v>
      </c>
      <c r="D246">
        <v>27.74</v>
      </c>
      <c r="E246">
        <v>0</v>
      </c>
      <c r="F246" t="s">
        <v>8</v>
      </c>
      <c r="G246" t="s">
        <v>53</v>
      </c>
      <c r="H246" s="2">
        <v>29523.1656</v>
      </c>
      <c r="I246" s="2">
        <f t="shared" si="21"/>
        <v>29523.1656</v>
      </c>
      <c r="J246" t="str">
        <f t="shared" si="22"/>
        <v>High</v>
      </c>
      <c r="K246" s="1">
        <f t="shared" si="23"/>
        <v>0.878</v>
      </c>
      <c r="L246" t="str">
        <f t="shared" si="24"/>
        <v>Overweight</v>
      </c>
      <c r="M246" t="str">
        <f t="shared" si="25"/>
        <v>High Risk</v>
      </c>
      <c r="N246" t="str">
        <f t="shared" si="26"/>
        <v>Tier 2</v>
      </c>
      <c r="O246">
        <f t="shared" si="27"/>
        <v>4</v>
      </c>
    </row>
    <row r="247" spans="1:15" x14ac:dyDescent="0.2">
      <c r="A247">
        <v>54</v>
      </c>
      <c r="B247" t="str" cm="1">
        <f t="array" ref="B247">_xlfn.IFS(A247&lt;=25,"18-25", A247&lt;=35,"26-35", A247&lt;=45,"36-45", A247&lt;=55,"46-55", A247&lt;=64,"56-64")</f>
        <v>46-55</v>
      </c>
      <c r="C247" t="s">
        <v>10</v>
      </c>
      <c r="D247">
        <v>30.02</v>
      </c>
      <c r="E247">
        <v>0</v>
      </c>
      <c r="F247" t="s">
        <v>11</v>
      </c>
      <c r="G247" t="s">
        <v>54</v>
      </c>
      <c r="H247" s="2">
        <v>24476.478510000001</v>
      </c>
      <c r="I247" s="2">
        <f t="shared" si="21"/>
        <v>24476.478510000001</v>
      </c>
      <c r="J247" t="str">
        <f t="shared" si="22"/>
        <v>High</v>
      </c>
      <c r="K247" s="1">
        <f t="shared" si="23"/>
        <v>0.84199999999999997</v>
      </c>
      <c r="L247" t="str">
        <f t="shared" si="24"/>
        <v>Obese</v>
      </c>
      <c r="M247" t="str">
        <f t="shared" si="25"/>
        <v>Standard</v>
      </c>
      <c r="N247" t="str">
        <f t="shared" si="26"/>
        <v>Tier 4</v>
      </c>
      <c r="O247">
        <f t="shared" si="27"/>
        <v>2</v>
      </c>
    </row>
    <row r="248" spans="1:15" x14ac:dyDescent="0.2">
      <c r="A248">
        <v>60</v>
      </c>
      <c r="B248" t="str" cm="1">
        <f t="array" ref="B248">_xlfn.IFS(A248&lt;=25,"18-25", A248&lt;=35,"26-35", A248&lt;=45,"36-45", A248&lt;=55,"46-55", A248&lt;=64,"56-64")</f>
        <v>56-64</v>
      </c>
      <c r="C248" t="s">
        <v>7</v>
      </c>
      <c r="D248">
        <v>38.06</v>
      </c>
      <c r="E248">
        <v>0</v>
      </c>
      <c r="F248" t="s">
        <v>11</v>
      </c>
      <c r="G248" t="s">
        <v>51</v>
      </c>
      <c r="H248" s="2">
        <v>12648.7034</v>
      </c>
      <c r="I248" s="2">
        <f t="shared" si="21"/>
        <v>12648.7034</v>
      </c>
      <c r="J248" t="str">
        <f t="shared" si="22"/>
        <v>Low</v>
      </c>
      <c r="K248" s="1">
        <f t="shared" si="23"/>
        <v>0.66300000000000003</v>
      </c>
      <c r="L248" t="str">
        <f t="shared" si="24"/>
        <v>Obese</v>
      </c>
      <c r="M248" t="str">
        <f t="shared" si="25"/>
        <v>Standard</v>
      </c>
      <c r="N248" t="str">
        <f t="shared" si="26"/>
        <v>Tier 1</v>
      </c>
      <c r="O248">
        <f t="shared" si="27"/>
        <v>3</v>
      </c>
    </row>
    <row r="249" spans="1:15" x14ac:dyDescent="0.2">
      <c r="A249">
        <v>24</v>
      </c>
      <c r="B249" t="str" cm="1">
        <f t="array" ref="B249">_xlfn.IFS(A249&lt;=25,"18-25", A249&lt;=35,"26-35", A249&lt;=45,"36-45", A249&lt;=55,"46-55", A249&lt;=64,"56-64")</f>
        <v>18-25</v>
      </c>
      <c r="C249" t="s">
        <v>10</v>
      </c>
      <c r="D249">
        <v>35.86</v>
      </c>
      <c r="E249">
        <v>0</v>
      </c>
      <c r="F249" t="s">
        <v>11</v>
      </c>
      <c r="G249" t="s">
        <v>51</v>
      </c>
      <c r="H249" s="2">
        <v>1986.9333999999999</v>
      </c>
      <c r="I249" s="2">
        <f t="shared" si="21"/>
        <v>1986.9333999999999</v>
      </c>
      <c r="J249" t="str">
        <f t="shared" si="22"/>
        <v>Low</v>
      </c>
      <c r="K249" s="1">
        <f t="shared" si="23"/>
        <v>6.8000000000000005E-2</v>
      </c>
      <c r="L249" t="str">
        <f t="shared" si="24"/>
        <v>Obese</v>
      </c>
      <c r="M249" t="str">
        <f t="shared" si="25"/>
        <v>Standard</v>
      </c>
      <c r="N249" t="str">
        <f t="shared" si="26"/>
        <v>Tier 1</v>
      </c>
      <c r="O249">
        <f t="shared" si="27"/>
        <v>3</v>
      </c>
    </row>
    <row r="250" spans="1:15" x14ac:dyDescent="0.2">
      <c r="A250">
        <v>19</v>
      </c>
      <c r="B250" t="str" cm="1">
        <f t="array" ref="B250">_xlfn.IFS(A250&lt;=25,"18-25", A250&lt;=35,"26-35", A250&lt;=45,"36-45", A250&lt;=55,"46-55", A250&lt;=64,"56-64")</f>
        <v>18-25</v>
      </c>
      <c r="C250" t="s">
        <v>10</v>
      </c>
      <c r="D250">
        <v>20.9</v>
      </c>
      <c r="E250">
        <v>1</v>
      </c>
      <c r="F250" t="s">
        <v>11</v>
      </c>
      <c r="G250" t="s">
        <v>52</v>
      </c>
      <c r="H250" s="2">
        <v>1832.0940000000001</v>
      </c>
      <c r="I250" s="2">
        <f t="shared" si="21"/>
        <v>916.04700000000003</v>
      </c>
      <c r="J250" t="str">
        <f t="shared" si="22"/>
        <v>Low</v>
      </c>
      <c r="K250" s="1">
        <f t="shared" si="23"/>
        <v>5.2999999999999999E-2</v>
      </c>
      <c r="L250" t="str">
        <f t="shared" si="24"/>
        <v>Normal</v>
      </c>
      <c r="M250" t="str">
        <f t="shared" si="25"/>
        <v>Standard</v>
      </c>
      <c r="N250" t="str">
        <f t="shared" si="26"/>
        <v>Tier 3</v>
      </c>
      <c r="O250">
        <f t="shared" si="27"/>
        <v>0</v>
      </c>
    </row>
    <row r="251" spans="1:15" x14ac:dyDescent="0.2">
      <c r="A251">
        <v>29</v>
      </c>
      <c r="B251" t="str" cm="1">
        <f t="array" ref="B251">_xlfn.IFS(A251&lt;=25,"18-25", A251&lt;=35,"26-35", A251&lt;=45,"36-45", A251&lt;=55,"46-55", A251&lt;=64,"56-64")</f>
        <v>26-35</v>
      </c>
      <c r="C251" t="s">
        <v>10</v>
      </c>
      <c r="D251">
        <v>28.975000000000001</v>
      </c>
      <c r="E251">
        <v>1</v>
      </c>
      <c r="F251" t="s">
        <v>11</v>
      </c>
      <c r="G251" t="s">
        <v>53</v>
      </c>
      <c r="H251" s="2">
        <v>4040.55825</v>
      </c>
      <c r="I251" s="2">
        <f t="shared" si="21"/>
        <v>2020.279125</v>
      </c>
      <c r="J251" t="str">
        <f t="shared" si="22"/>
        <v>Low</v>
      </c>
      <c r="K251" s="1">
        <f t="shared" si="23"/>
        <v>0.20200000000000001</v>
      </c>
      <c r="L251" t="str">
        <f t="shared" si="24"/>
        <v>Overweight</v>
      </c>
      <c r="M251" t="str">
        <f t="shared" si="25"/>
        <v>Standard</v>
      </c>
      <c r="N251" t="str">
        <f t="shared" si="26"/>
        <v>Tier 2</v>
      </c>
      <c r="O251">
        <f t="shared" si="27"/>
        <v>1</v>
      </c>
    </row>
    <row r="252" spans="1:15" x14ac:dyDescent="0.2">
      <c r="A252">
        <v>18</v>
      </c>
      <c r="B252" t="str" cm="1">
        <f t="array" ref="B252">_xlfn.IFS(A252&lt;=25,"18-25", A252&lt;=35,"26-35", A252&lt;=45,"36-45", A252&lt;=55,"46-55", A252&lt;=64,"56-64")</f>
        <v>18-25</v>
      </c>
      <c r="C252" t="s">
        <v>10</v>
      </c>
      <c r="D252">
        <v>17.29</v>
      </c>
      <c r="E252">
        <v>2</v>
      </c>
      <c r="F252" t="s">
        <v>8</v>
      </c>
      <c r="G252" t="s">
        <v>53</v>
      </c>
      <c r="H252" s="2">
        <v>12829.455099999999</v>
      </c>
      <c r="I252" s="2">
        <f t="shared" si="21"/>
        <v>4276.4850333333334</v>
      </c>
      <c r="J252" t="str">
        <f t="shared" si="22"/>
        <v>Low</v>
      </c>
      <c r="K252" s="1">
        <f t="shared" si="23"/>
        <v>0.66700000000000004</v>
      </c>
      <c r="L252" t="str">
        <f t="shared" si="24"/>
        <v>Underweight</v>
      </c>
      <c r="M252" t="str">
        <f t="shared" si="25"/>
        <v>High Risk</v>
      </c>
      <c r="N252" t="str">
        <f t="shared" si="26"/>
        <v>Tier 2</v>
      </c>
      <c r="O252">
        <f t="shared" si="27"/>
        <v>3</v>
      </c>
    </row>
    <row r="253" spans="1:15" x14ac:dyDescent="0.2">
      <c r="A253">
        <v>63</v>
      </c>
      <c r="B253" t="str" cm="1">
        <f t="array" ref="B253">_xlfn.IFS(A253&lt;=25,"18-25", A253&lt;=35,"26-35", A253&lt;=45,"36-45", A253&lt;=55,"46-55", A253&lt;=64,"56-64")</f>
        <v>56-64</v>
      </c>
      <c r="C253" t="s">
        <v>7</v>
      </c>
      <c r="D253">
        <v>32.200000000000003</v>
      </c>
      <c r="E253">
        <v>2</v>
      </c>
      <c r="F253" t="s">
        <v>8</v>
      </c>
      <c r="G253" t="s">
        <v>52</v>
      </c>
      <c r="H253" s="2">
        <v>47305.305</v>
      </c>
      <c r="I253" s="2">
        <f t="shared" si="21"/>
        <v>15768.434999999999</v>
      </c>
      <c r="J253" t="str">
        <f t="shared" si="22"/>
        <v>High</v>
      </c>
      <c r="K253" s="1">
        <f t="shared" si="23"/>
        <v>0.98399999999999999</v>
      </c>
      <c r="L253" t="str">
        <f t="shared" si="24"/>
        <v>Obese</v>
      </c>
      <c r="M253" t="str">
        <f t="shared" si="25"/>
        <v>High Risk</v>
      </c>
      <c r="N253" t="str">
        <f t="shared" si="26"/>
        <v>Tier 3</v>
      </c>
      <c r="O253">
        <f t="shared" si="27"/>
        <v>5</v>
      </c>
    </row>
    <row r="254" spans="1:15" x14ac:dyDescent="0.2">
      <c r="A254">
        <v>54</v>
      </c>
      <c r="B254" t="str" cm="1">
        <f t="array" ref="B254">_xlfn.IFS(A254&lt;=25,"18-25", A254&lt;=35,"26-35", A254&lt;=45,"36-45", A254&lt;=55,"46-55", A254&lt;=64,"56-64")</f>
        <v>46-55</v>
      </c>
      <c r="C254" t="s">
        <v>10</v>
      </c>
      <c r="D254">
        <v>34.21</v>
      </c>
      <c r="E254">
        <v>2</v>
      </c>
      <c r="F254" t="s">
        <v>8</v>
      </c>
      <c r="G254" t="s">
        <v>51</v>
      </c>
      <c r="H254" s="2">
        <v>44260.749900000003</v>
      </c>
      <c r="I254" s="2">
        <f t="shared" si="21"/>
        <v>14753.5833</v>
      </c>
      <c r="J254" t="str">
        <f t="shared" si="22"/>
        <v>High</v>
      </c>
      <c r="K254" s="1">
        <f t="shared" si="23"/>
        <v>0.96699999999999997</v>
      </c>
      <c r="L254" t="str">
        <f t="shared" si="24"/>
        <v>Obese</v>
      </c>
      <c r="M254" t="str">
        <f t="shared" si="25"/>
        <v>High Risk</v>
      </c>
      <c r="N254" t="str">
        <f t="shared" si="26"/>
        <v>Tier 1</v>
      </c>
      <c r="O254">
        <f t="shared" si="27"/>
        <v>6</v>
      </c>
    </row>
    <row r="255" spans="1:15" x14ac:dyDescent="0.2">
      <c r="A255">
        <v>27</v>
      </c>
      <c r="B255" t="str" cm="1">
        <f t="array" ref="B255">_xlfn.IFS(A255&lt;=25,"18-25", A255&lt;=35,"26-35", A255&lt;=45,"36-45", A255&lt;=55,"46-55", A255&lt;=64,"56-64")</f>
        <v>26-35</v>
      </c>
      <c r="C255" t="s">
        <v>10</v>
      </c>
      <c r="D255">
        <v>30.3</v>
      </c>
      <c r="E255">
        <v>3</v>
      </c>
      <c r="F255" t="s">
        <v>11</v>
      </c>
      <c r="G255" t="s">
        <v>52</v>
      </c>
      <c r="H255" s="2">
        <v>4260.7439999999997</v>
      </c>
      <c r="I255" s="2">
        <f t="shared" si="21"/>
        <v>1065.1859999999999</v>
      </c>
      <c r="J255" t="str">
        <f t="shared" si="22"/>
        <v>Low</v>
      </c>
      <c r="K255" s="1">
        <f t="shared" si="23"/>
        <v>0.214</v>
      </c>
      <c r="L255" t="str">
        <f t="shared" si="24"/>
        <v>Obese</v>
      </c>
      <c r="M255" t="str">
        <f t="shared" si="25"/>
        <v>Standard</v>
      </c>
      <c r="N255" t="str">
        <f t="shared" si="26"/>
        <v>Tier 3</v>
      </c>
      <c r="O255">
        <f t="shared" si="27"/>
        <v>2</v>
      </c>
    </row>
    <row r="256" spans="1:15" x14ac:dyDescent="0.2">
      <c r="A256">
        <v>50</v>
      </c>
      <c r="B256" t="str" cm="1">
        <f t="array" ref="B256">_xlfn.IFS(A256&lt;=25,"18-25", A256&lt;=35,"26-35", A256&lt;=45,"36-45", A256&lt;=55,"46-55", A256&lt;=64,"56-64")</f>
        <v>46-55</v>
      </c>
      <c r="C256" t="s">
        <v>10</v>
      </c>
      <c r="D256">
        <v>31.824999999999999</v>
      </c>
      <c r="E256">
        <v>0</v>
      </c>
      <c r="F256" t="s">
        <v>8</v>
      </c>
      <c r="G256" t="s">
        <v>53</v>
      </c>
      <c r="H256" s="2">
        <v>41097.161749999999</v>
      </c>
      <c r="I256" s="2">
        <f t="shared" si="21"/>
        <v>41097.161749999999</v>
      </c>
      <c r="J256" t="str">
        <f t="shared" si="22"/>
        <v>High</v>
      </c>
      <c r="K256" s="1">
        <f t="shared" si="23"/>
        <v>0.94899999999999995</v>
      </c>
      <c r="L256" t="str">
        <f t="shared" si="24"/>
        <v>Obese</v>
      </c>
      <c r="M256" t="str">
        <f t="shared" si="25"/>
        <v>High Risk</v>
      </c>
      <c r="N256" t="str">
        <f t="shared" si="26"/>
        <v>Tier 2</v>
      </c>
      <c r="O256">
        <f t="shared" si="27"/>
        <v>5</v>
      </c>
    </row>
    <row r="257" spans="1:15" x14ac:dyDescent="0.2">
      <c r="A257">
        <v>55</v>
      </c>
      <c r="B257" t="str" cm="1">
        <f t="array" ref="B257">_xlfn.IFS(A257&lt;=25,"18-25", A257&lt;=35,"26-35", A257&lt;=45,"36-45", A257&lt;=55,"46-55", A257&lt;=64,"56-64")</f>
        <v>46-55</v>
      </c>
      <c r="C257" t="s">
        <v>7</v>
      </c>
      <c r="D257">
        <v>25.364999999999998</v>
      </c>
      <c r="E257">
        <v>3</v>
      </c>
      <c r="F257" t="s">
        <v>11</v>
      </c>
      <c r="G257" t="s">
        <v>53</v>
      </c>
      <c r="H257" s="2">
        <v>13047.332350000001</v>
      </c>
      <c r="I257" s="2">
        <f t="shared" si="21"/>
        <v>3261.8330875000001</v>
      </c>
      <c r="J257" t="str">
        <f t="shared" si="22"/>
        <v>Low</v>
      </c>
      <c r="K257" s="1">
        <f t="shared" si="23"/>
        <v>0.67700000000000005</v>
      </c>
      <c r="L257" t="str">
        <f t="shared" si="24"/>
        <v>Overweight</v>
      </c>
      <c r="M257" t="str">
        <f t="shared" si="25"/>
        <v>Standard</v>
      </c>
      <c r="N257" t="str">
        <f t="shared" si="26"/>
        <v>Tier 2</v>
      </c>
      <c r="O257">
        <f t="shared" si="27"/>
        <v>1</v>
      </c>
    </row>
    <row r="258" spans="1:15" x14ac:dyDescent="0.2">
      <c r="A258">
        <v>56</v>
      </c>
      <c r="B258" t="str" cm="1">
        <f t="array" ref="B258">_xlfn.IFS(A258&lt;=25,"18-25", A258&lt;=35,"26-35", A258&lt;=45,"36-45", A258&lt;=55,"46-55", A258&lt;=64,"56-64")</f>
        <v>56-64</v>
      </c>
      <c r="C258" t="s">
        <v>10</v>
      </c>
      <c r="D258">
        <v>33.630000000000003</v>
      </c>
      <c r="E258">
        <v>0</v>
      </c>
      <c r="F258" t="s">
        <v>8</v>
      </c>
      <c r="G258" t="s">
        <v>54</v>
      </c>
      <c r="H258" s="2">
        <v>43921.183700000001</v>
      </c>
      <c r="I258" s="2">
        <f t="shared" ref="I258:I321" si="28">H258/(E258+1)</f>
        <v>43921.183700000001</v>
      </c>
      <c r="J258" t="str">
        <f t="shared" ref="J258:J321" si="29">IF(H258&gt;AVERAGE($H$2:$H$1339),"High","Low")</f>
        <v>High</v>
      </c>
      <c r="K258" s="1">
        <f t="shared" ref="K258:K321" si="30">PERCENTRANK($H$2:$H$1339,H258)</f>
        <v>0.96499999999999997</v>
      </c>
      <c r="L258" t="str">
        <f t="shared" ref="L258:L321" si="31">IF(D258&lt;18.5,"Underweight",IF(D258&lt;25,"Normal",IF(D258&lt;30,"Overweight","Obese")))</f>
        <v>Obese</v>
      </c>
      <c r="M258" t="str">
        <f t="shared" ref="M258:M321" si="32">IF(F258="yes","High Risk","Standard")</f>
        <v>High Risk</v>
      </c>
      <c r="N258" t="str">
        <f t="shared" ref="N258:N321" si="33">IF(G258="southeast","Tier 1",IF(G258="northeast","Tier 2",IF(G258="southwest","Tier 3","Tier 4")))</f>
        <v>Tier 4</v>
      </c>
      <c r="O258">
        <f t="shared" ref="O258:O321" si="34">IF(F258="yes",3,0)+IF(D258&gt;=30,2,IF(D258&gt;=25,1,0))+IF(G258="southeast",1,0)</f>
        <v>5</v>
      </c>
    </row>
    <row r="259" spans="1:15" x14ac:dyDescent="0.2">
      <c r="A259">
        <v>38</v>
      </c>
      <c r="B259" t="str" cm="1">
        <f t="array" ref="B259">_xlfn.IFS(A259&lt;=25,"18-25", A259&lt;=35,"26-35", A259&lt;=45,"36-45", A259&lt;=55,"46-55", A259&lt;=64,"56-64")</f>
        <v>36-45</v>
      </c>
      <c r="C259" t="s">
        <v>7</v>
      </c>
      <c r="D259">
        <v>40.15</v>
      </c>
      <c r="E259">
        <v>0</v>
      </c>
      <c r="F259" t="s">
        <v>11</v>
      </c>
      <c r="G259" t="s">
        <v>51</v>
      </c>
      <c r="H259" s="2">
        <v>5400.9804999999997</v>
      </c>
      <c r="I259" s="2">
        <f t="shared" si="28"/>
        <v>5400.9804999999997</v>
      </c>
      <c r="J259" t="str">
        <f t="shared" si="29"/>
        <v>Low</v>
      </c>
      <c r="K259" s="1">
        <f t="shared" si="30"/>
        <v>0.29299999999999998</v>
      </c>
      <c r="L259" t="str">
        <f t="shared" si="31"/>
        <v>Obese</v>
      </c>
      <c r="M259" t="str">
        <f t="shared" si="32"/>
        <v>Standard</v>
      </c>
      <c r="N259" t="str">
        <f t="shared" si="33"/>
        <v>Tier 1</v>
      </c>
      <c r="O259">
        <f t="shared" si="34"/>
        <v>3</v>
      </c>
    </row>
    <row r="260" spans="1:15" x14ac:dyDescent="0.2">
      <c r="A260">
        <v>51</v>
      </c>
      <c r="B260" t="str" cm="1">
        <f t="array" ref="B260">_xlfn.IFS(A260&lt;=25,"18-25", A260&lt;=35,"26-35", A260&lt;=45,"36-45", A260&lt;=55,"46-55", A260&lt;=64,"56-64")</f>
        <v>46-55</v>
      </c>
      <c r="C260" t="s">
        <v>10</v>
      </c>
      <c r="D260">
        <v>24.414999999999999</v>
      </c>
      <c r="E260">
        <v>4</v>
      </c>
      <c r="F260" t="s">
        <v>11</v>
      </c>
      <c r="G260" t="s">
        <v>54</v>
      </c>
      <c r="H260" s="2">
        <v>11520.099850000001</v>
      </c>
      <c r="I260" s="2">
        <f t="shared" si="28"/>
        <v>2304.0199700000003</v>
      </c>
      <c r="J260" t="str">
        <f t="shared" si="29"/>
        <v>Low</v>
      </c>
      <c r="K260" s="1">
        <f t="shared" si="30"/>
        <v>0.60499999999999998</v>
      </c>
      <c r="L260" t="str">
        <f t="shared" si="31"/>
        <v>Normal</v>
      </c>
      <c r="M260" t="str">
        <f t="shared" si="32"/>
        <v>Standard</v>
      </c>
      <c r="N260" t="str">
        <f t="shared" si="33"/>
        <v>Tier 4</v>
      </c>
      <c r="O260">
        <f t="shared" si="34"/>
        <v>0</v>
      </c>
    </row>
    <row r="261" spans="1:15" x14ac:dyDescent="0.2">
      <c r="A261">
        <v>19</v>
      </c>
      <c r="B261" t="str" cm="1">
        <f t="array" ref="B261">_xlfn.IFS(A261&lt;=25,"18-25", A261&lt;=35,"26-35", A261&lt;=45,"36-45", A261&lt;=55,"46-55", A261&lt;=64,"56-64")</f>
        <v>18-25</v>
      </c>
      <c r="C261" t="s">
        <v>10</v>
      </c>
      <c r="D261">
        <v>31.92</v>
      </c>
      <c r="E261">
        <v>0</v>
      </c>
      <c r="F261" t="s">
        <v>8</v>
      </c>
      <c r="G261" t="s">
        <v>54</v>
      </c>
      <c r="H261" s="2">
        <v>33750.291799999999</v>
      </c>
      <c r="I261" s="2">
        <f t="shared" si="28"/>
        <v>33750.291799999999</v>
      </c>
      <c r="J261" t="str">
        <f t="shared" si="29"/>
        <v>High</v>
      </c>
      <c r="K261" s="1">
        <f t="shared" si="30"/>
        <v>0.89</v>
      </c>
      <c r="L261" t="str">
        <f t="shared" si="31"/>
        <v>Obese</v>
      </c>
      <c r="M261" t="str">
        <f t="shared" si="32"/>
        <v>High Risk</v>
      </c>
      <c r="N261" t="str">
        <f t="shared" si="33"/>
        <v>Tier 4</v>
      </c>
      <c r="O261">
        <f t="shared" si="34"/>
        <v>5</v>
      </c>
    </row>
    <row r="262" spans="1:15" x14ac:dyDescent="0.2">
      <c r="A262">
        <v>58</v>
      </c>
      <c r="B262" t="str" cm="1">
        <f t="array" ref="B262">_xlfn.IFS(A262&lt;=25,"18-25", A262&lt;=35,"26-35", A262&lt;=45,"36-45", A262&lt;=55,"46-55", A262&lt;=64,"56-64")</f>
        <v>56-64</v>
      </c>
      <c r="C262" t="s">
        <v>7</v>
      </c>
      <c r="D262">
        <v>25.2</v>
      </c>
      <c r="E262">
        <v>0</v>
      </c>
      <c r="F262" t="s">
        <v>11</v>
      </c>
      <c r="G262" t="s">
        <v>52</v>
      </c>
      <c r="H262" s="2">
        <v>11837.16</v>
      </c>
      <c r="I262" s="2">
        <f t="shared" si="28"/>
        <v>11837.16</v>
      </c>
      <c r="J262" t="str">
        <f t="shared" si="29"/>
        <v>Low</v>
      </c>
      <c r="K262" s="1">
        <f t="shared" si="30"/>
        <v>0.62</v>
      </c>
      <c r="L262" t="str">
        <f t="shared" si="31"/>
        <v>Overweight</v>
      </c>
      <c r="M262" t="str">
        <f t="shared" si="32"/>
        <v>Standard</v>
      </c>
      <c r="N262" t="str">
        <f t="shared" si="33"/>
        <v>Tier 3</v>
      </c>
      <c r="O262">
        <f t="shared" si="34"/>
        <v>1</v>
      </c>
    </row>
    <row r="263" spans="1:15" x14ac:dyDescent="0.2">
      <c r="A263">
        <v>20</v>
      </c>
      <c r="B263" t="str" cm="1">
        <f t="array" ref="B263">_xlfn.IFS(A263&lt;=25,"18-25", A263&lt;=35,"26-35", A263&lt;=45,"36-45", A263&lt;=55,"46-55", A263&lt;=64,"56-64")</f>
        <v>18-25</v>
      </c>
      <c r="C263" t="s">
        <v>7</v>
      </c>
      <c r="D263">
        <v>26.84</v>
      </c>
      <c r="E263">
        <v>1</v>
      </c>
      <c r="F263" t="s">
        <v>8</v>
      </c>
      <c r="G263" t="s">
        <v>51</v>
      </c>
      <c r="H263" s="2">
        <v>17085.267599999999</v>
      </c>
      <c r="I263" s="2">
        <f t="shared" si="28"/>
        <v>8542.6337999999996</v>
      </c>
      <c r="J263" t="str">
        <f t="shared" si="29"/>
        <v>High</v>
      </c>
      <c r="K263" s="1">
        <f t="shared" si="30"/>
        <v>0.754</v>
      </c>
      <c r="L263" t="str">
        <f t="shared" si="31"/>
        <v>Overweight</v>
      </c>
      <c r="M263" t="str">
        <f t="shared" si="32"/>
        <v>High Risk</v>
      </c>
      <c r="N263" t="str">
        <f t="shared" si="33"/>
        <v>Tier 1</v>
      </c>
      <c r="O263">
        <f t="shared" si="34"/>
        <v>5</v>
      </c>
    </row>
    <row r="264" spans="1:15" x14ac:dyDescent="0.2">
      <c r="A264">
        <v>52</v>
      </c>
      <c r="B264" t="str" cm="1">
        <f t="array" ref="B264">_xlfn.IFS(A264&lt;=25,"18-25", A264&lt;=35,"26-35", A264&lt;=45,"36-45", A264&lt;=55,"46-55", A264&lt;=64,"56-64")</f>
        <v>46-55</v>
      </c>
      <c r="C264" t="s">
        <v>10</v>
      </c>
      <c r="D264">
        <v>24.32</v>
      </c>
      <c r="E264">
        <v>3</v>
      </c>
      <c r="F264" t="s">
        <v>8</v>
      </c>
      <c r="G264" t="s">
        <v>53</v>
      </c>
      <c r="H264" s="2">
        <v>24869.836800000001</v>
      </c>
      <c r="I264" s="2">
        <f t="shared" si="28"/>
        <v>6217.4592000000002</v>
      </c>
      <c r="J264" t="str">
        <f t="shared" si="29"/>
        <v>High</v>
      </c>
      <c r="K264" s="1">
        <f t="shared" si="30"/>
        <v>0.84699999999999998</v>
      </c>
      <c r="L264" t="str">
        <f t="shared" si="31"/>
        <v>Normal</v>
      </c>
      <c r="M264" t="str">
        <f t="shared" si="32"/>
        <v>High Risk</v>
      </c>
      <c r="N264" t="str">
        <f t="shared" si="33"/>
        <v>Tier 2</v>
      </c>
      <c r="O264">
        <f t="shared" si="34"/>
        <v>3</v>
      </c>
    </row>
    <row r="265" spans="1:15" x14ac:dyDescent="0.2">
      <c r="A265">
        <v>19</v>
      </c>
      <c r="B265" t="str" cm="1">
        <f t="array" ref="B265">_xlfn.IFS(A265&lt;=25,"18-25", A265&lt;=35,"26-35", A265&lt;=45,"36-45", A265&lt;=55,"46-55", A265&lt;=64,"56-64")</f>
        <v>18-25</v>
      </c>
      <c r="C265" t="s">
        <v>10</v>
      </c>
      <c r="D265">
        <v>36.954999999999998</v>
      </c>
      <c r="E265">
        <v>0</v>
      </c>
      <c r="F265" t="s">
        <v>8</v>
      </c>
      <c r="G265" t="s">
        <v>54</v>
      </c>
      <c r="H265" s="2">
        <v>36219.405449999998</v>
      </c>
      <c r="I265" s="2">
        <f t="shared" si="28"/>
        <v>36219.405449999998</v>
      </c>
      <c r="J265" t="str">
        <f t="shared" si="29"/>
        <v>High</v>
      </c>
      <c r="K265" s="1">
        <f t="shared" si="30"/>
        <v>0.91</v>
      </c>
      <c r="L265" t="str">
        <f t="shared" si="31"/>
        <v>Obese</v>
      </c>
      <c r="M265" t="str">
        <f t="shared" si="32"/>
        <v>High Risk</v>
      </c>
      <c r="N265" t="str">
        <f t="shared" si="33"/>
        <v>Tier 4</v>
      </c>
      <c r="O265">
        <f t="shared" si="34"/>
        <v>5</v>
      </c>
    </row>
    <row r="266" spans="1:15" x14ac:dyDescent="0.2">
      <c r="A266">
        <v>53</v>
      </c>
      <c r="B266" t="str" cm="1">
        <f t="array" ref="B266">_xlfn.IFS(A266&lt;=25,"18-25", A266&lt;=35,"26-35", A266&lt;=45,"36-45", A266&lt;=55,"46-55", A266&lt;=64,"56-64")</f>
        <v>46-55</v>
      </c>
      <c r="C266" t="s">
        <v>7</v>
      </c>
      <c r="D266">
        <v>38.06</v>
      </c>
      <c r="E266">
        <v>3</v>
      </c>
      <c r="F266" t="s">
        <v>11</v>
      </c>
      <c r="G266" t="s">
        <v>51</v>
      </c>
      <c r="H266" s="2">
        <v>20462.997660000001</v>
      </c>
      <c r="I266" s="2">
        <f t="shared" si="28"/>
        <v>5115.7494150000002</v>
      </c>
      <c r="J266" t="str">
        <f t="shared" si="29"/>
        <v>High</v>
      </c>
      <c r="K266" s="1">
        <f t="shared" si="30"/>
        <v>0.80200000000000005</v>
      </c>
      <c r="L266" t="str">
        <f t="shared" si="31"/>
        <v>Obese</v>
      </c>
      <c r="M266" t="str">
        <f t="shared" si="32"/>
        <v>Standard</v>
      </c>
      <c r="N266" t="str">
        <f t="shared" si="33"/>
        <v>Tier 1</v>
      </c>
      <c r="O266">
        <f t="shared" si="34"/>
        <v>3</v>
      </c>
    </row>
    <row r="267" spans="1:15" x14ac:dyDescent="0.2">
      <c r="A267">
        <v>46</v>
      </c>
      <c r="B267" t="str" cm="1">
        <f t="array" ref="B267">_xlfn.IFS(A267&lt;=25,"18-25", A267&lt;=35,"26-35", A267&lt;=45,"36-45", A267&lt;=55,"46-55", A267&lt;=64,"56-64")</f>
        <v>46-55</v>
      </c>
      <c r="C267" t="s">
        <v>10</v>
      </c>
      <c r="D267">
        <v>42.35</v>
      </c>
      <c r="E267">
        <v>3</v>
      </c>
      <c r="F267" t="s">
        <v>8</v>
      </c>
      <c r="G267" t="s">
        <v>51</v>
      </c>
      <c r="H267" s="2">
        <v>46151.124499999998</v>
      </c>
      <c r="I267" s="2">
        <f t="shared" si="28"/>
        <v>11537.781125</v>
      </c>
      <c r="J267" t="str">
        <f t="shared" si="29"/>
        <v>High</v>
      </c>
      <c r="K267" s="1">
        <f t="shared" si="30"/>
        <v>0.97599999999999998</v>
      </c>
      <c r="L267" t="str">
        <f t="shared" si="31"/>
        <v>Obese</v>
      </c>
      <c r="M267" t="str">
        <f t="shared" si="32"/>
        <v>High Risk</v>
      </c>
      <c r="N267" t="str">
        <f t="shared" si="33"/>
        <v>Tier 1</v>
      </c>
      <c r="O267">
        <f t="shared" si="34"/>
        <v>6</v>
      </c>
    </row>
    <row r="268" spans="1:15" x14ac:dyDescent="0.2">
      <c r="A268">
        <v>40</v>
      </c>
      <c r="B268" t="str" cm="1">
        <f t="array" ref="B268">_xlfn.IFS(A268&lt;=25,"18-25", A268&lt;=35,"26-35", A268&lt;=45,"36-45", A268&lt;=55,"46-55", A268&lt;=64,"56-64")</f>
        <v>36-45</v>
      </c>
      <c r="C268" t="s">
        <v>10</v>
      </c>
      <c r="D268">
        <v>19.8</v>
      </c>
      <c r="E268">
        <v>1</v>
      </c>
      <c r="F268" t="s">
        <v>8</v>
      </c>
      <c r="G268" t="s">
        <v>51</v>
      </c>
      <c r="H268" s="2">
        <v>17179.522000000001</v>
      </c>
      <c r="I268" s="2">
        <f t="shared" si="28"/>
        <v>8589.7610000000004</v>
      </c>
      <c r="J268" t="str">
        <f t="shared" si="29"/>
        <v>High</v>
      </c>
      <c r="K268" s="1">
        <f t="shared" si="30"/>
        <v>0.75600000000000001</v>
      </c>
      <c r="L268" t="str">
        <f t="shared" si="31"/>
        <v>Normal</v>
      </c>
      <c r="M268" t="str">
        <f t="shared" si="32"/>
        <v>High Risk</v>
      </c>
      <c r="N268" t="str">
        <f t="shared" si="33"/>
        <v>Tier 1</v>
      </c>
      <c r="O268">
        <f t="shared" si="34"/>
        <v>4</v>
      </c>
    </row>
    <row r="269" spans="1:15" x14ac:dyDescent="0.2">
      <c r="A269">
        <v>59</v>
      </c>
      <c r="B269" t="str" cm="1">
        <f t="array" ref="B269">_xlfn.IFS(A269&lt;=25,"18-25", A269&lt;=35,"26-35", A269&lt;=45,"36-45", A269&lt;=55,"46-55", A269&lt;=64,"56-64")</f>
        <v>56-64</v>
      </c>
      <c r="C269" t="s">
        <v>7</v>
      </c>
      <c r="D269">
        <v>32.395000000000003</v>
      </c>
      <c r="E269">
        <v>3</v>
      </c>
      <c r="F269" t="s">
        <v>11</v>
      </c>
      <c r="G269" t="s">
        <v>53</v>
      </c>
      <c r="H269" s="2">
        <v>14590.63205</v>
      </c>
      <c r="I269" s="2">
        <f t="shared" si="28"/>
        <v>3647.6580125</v>
      </c>
      <c r="J269" t="str">
        <f t="shared" si="29"/>
        <v>High</v>
      </c>
      <c r="K269" s="1">
        <f t="shared" si="30"/>
        <v>0.72899999999999998</v>
      </c>
      <c r="L269" t="str">
        <f t="shared" si="31"/>
        <v>Obese</v>
      </c>
      <c r="M269" t="str">
        <f t="shared" si="32"/>
        <v>Standard</v>
      </c>
      <c r="N269" t="str">
        <f t="shared" si="33"/>
        <v>Tier 2</v>
      </c>
      <c r="O269">
        <f t="shared" si="34"/>
        <v>2</v>
      </c>
    </row>
    <row r="270" spans="1:15" x14ac:dyDescent="0.2">
      <c r="A270">
        <v>45</v>
      </c>
      <c r="B270" t="str" cm="1">
        <f t="array" ref="B270">_xlfn.IFS(A270&lt;=25,"18-25", A270&lt;=35,"26-35", A270&lt;=45,"36-45", A270&lt;=55,"46-55", A270&lt;=64,"56-64")</f>
        <v>36-45</v>
      </c>
      <c r="C270" t="s">
        <v>10</v>
      </c>
      <c r="D270">
        <v>30.2</v>
      </c>
      <c r="E270">
        <v>1</v>
      </c>
      <c r="F270" t="s">
        <v>11</v>
      </c>
      <c r="G270" t="s">
        <v>52</v>
      </c>
      <c r="H270" s="2">
        <v>7441.0529999999999</v>
      </c>
      <c r="I270" s="2">
        <f t="shared" si="28"/>
        <v>3720.5264999999999</v>
      </c>
      <c r="J270" t="str">
        <f t="shared" si="29"/>
        <v>Low</v>
      </c>
      <c r="K270" s="1">
        <f t="shared" si="30"/>
        <v>0.40300000000000002</v>
      </c>
      <c r="L270" t="str">
        <f t="shared" si="31"/>
        <v>Obese</v>
      </c>
      <c r="M270" t="str">
        <f t="shared" si="32"/>
        <v>Standard</v>
      </c>
      <c r="N270" t="str">
        <f t="shared" si="33"/>
        <v>Tier 3</v>
      </c>
      <c r="O270">
        <f t="shared" si="34"/>
        <v>2</v>
      </c>
    </row>
    <row r="271" spans="1:15" x14ac:dyDescent="0.2">
      <c r="A271">
        <v>49</v>
      </c>
      <c r="B271" t="str" cm="1">
        <f t="array" ref="B271">_xlfn.IFS(A271&lt;=25,"18-25", A271&lt;=35,"26-35", A271&lt;=45,"36-45", A271&lt;=55,"46-55", A271&lt;=64,"56-64")</f>
        <v>46-55</v>
      </c>
      <c r="C271" t="s">
        <v>10</v>
      </c>
      <c r="D271">
        <v>25.84</v>
      </c>
      <c r="E271">
        <v>1</v>
      </c>
      <c r="F271" t="s">
        <v>11</v>
      </c>
      <c r="G271" t="s">
        <v>53</v>
      </c>
      <c r="H271" s="2">
        <v>9282.4806000000008</v>
      </c>
      <c r="I271" s="2">
        <f t="shared" si="28"/>
        <v>4641.2403000000004</v>
      </c>
      <c r="J271" t="str">
        <f t="shared" si="29"/>
        <v>Low</v>
      </c>
      <c r="K271" s="1">
        <f t="shared" si="30"/>
        <v>0.49399999999999999</v>
      </c>
      <c r="L271" t="str">
        <f t="shared" si="31"/>
        <v>Overweight</v>
      </c>
      <c r="M271" t="str">
        <f t="shared" si="32"/>
        <v>Standard</v>
      </c>
      <c r="N271" t="str">
        <f t="shared" si="33"/>
        <v>Tier 2</v>
      </c>
      <c r="O271">
        <f t="shared" si="34"/>
        <v>1</v>
      </c>
    </row>
    <row r="272" spans="1:15" x14ac:dyDescent="0.2">
      <c r="A272">
        <v>18</v>
      </c>
      <c r="B272" t="str" cm="1">
        <f t="array" ref="B272">_xlfn.IFS(A272&lt;=25,"18-25", A272&lt;=35,"26-35", A272&lt;=45,"36-45", A272&lt;=55,"46-55", A272&lt;=64,"56-64")</f>
        <v>18-25</v>
      </c>
      <c r="C272" t="s">
        <v>10</v>
      </c>
      <c r="D272">
        <v>29.37</v>
      </c>
      <c r="E272">
        <v>1</v>
      </c>
      <c r="F272" t="s">
        <v>11</v>
      </c>
      <c r="G272" t="s">
        <v>51</v>
      </c>
      <c r="H272" s="2">
        <v>1719.4363000000001</v>
      </c>
      <c r="I272" s="2">
        <f t="shared" si="28"/>
        <v>859.71815000000004</v>
      </c>
      <c r="J272" t="str">
        <f t="shared" si="29"/>
        <v>Low</v>
      </c>
      <c r="K272" s="1">
        <f t="shared" si="30"/>
        <v>4.1000000000000002E-2</v>
      </c>
      <c r="L272" t="str">
        <f t="shared" si="31"/>
        <v>Overweight</v>
      </c>
      <c r="M272" t="str">
        <f t="shared" si="32"/>
        <v>Standard</v>
      </c>
      <c r="N272" t="str">
        <f t="shared" si="33"/>
        <v>Tier 1</v>
      </c>
      <c r="O272">
        <f t="shared" si="34"/>
        <v>2</v>
      </c>
    </row>
    <row r="273" spans="1:15" x14ac:dyDescent="0.2">
      <c r="A273">
        <v>50</v>
      </c>
      <c r="B273" t="str" cm="1">
        <f t="array" ref="B273">_xlfn.IFS(A273&lt;=25,"18-25", A273&lt;=35,"26-35", A273&lt;=45,"36-45", A273&lt;=55,"46-55", A273&lt;=64,"56-64")</f>
        <v>46-55</v>
      </c>
      <c r="C273" t="s">
        <v>10</v>
      </c>
      <c r="D273">
        <v>34.200000000000003</v>
      </c>
      <c r="E273">
        <v>2</v>
      </c>
      <c r="F273" t="s">
        <v>8</v>
      </c>
      <c r="G273" t="s">
        <v>52</v>
      </c>
      <c r="H273" s="2">
        <v>42856.838000000003</v>
      </c>
      <c r="I273" s="2">
        <f t="shared" si="28"/>
        <v>14285.612666666668</v>
      </c>
      <c r="J273" t="str">
        <f t="shared" si="29"/>
        <v>High</v>
      </c>
      <c r="K273" s="1">
        <f t="shared" si="30"/>
        <v>0.95899999999999996</v>
      </c>
      <c r="L273" t="str">
        <f t="shared" si="31"/>
        <v>Obese</v>
      </c>
      <c r="M273" t="str">
        <f t="shared" si="32"/>
        <v>High Risk</v>
      </c>
      <c r="N273" t="str">
        <f t="shared" si="33"/>
        <v>Tier 3</v>
      </c>
      <c r="O273">
        <f t="shared" si="34"/>
        <v>5</v>
      </c>
    </row>
    <row r="274" spans="1:15" x14ac:dyDescent="0.2">
      <c r="A274">
        <v>41</v>
      </c>
      <c r="B274" t="str" cm="1">
        <f t="array" ref="B274">_xlfn.IFS(A274&lt;=25,"18-25", A274&lt;=35,"26-35", A274&lt;=45,"36-45", A274&lt;=55,"46-55", A274&lt;=64,"56-64")</f>
        <v>36-45</v>
      </c>
      <c r="C274" t="s">
        <v>10</v>
      </c>
      <c r="D274">
        <v>37.049999999999997</v>
      </c>
      <c r="E274">
        <v>2</v>
      </c>
      <c r="F274" t="s">
        <v>11</v>
      </c>
      <c r="G274" t="s">
        <v>54</v>
      </c>
      <c r="H274" s="2">
        <v>7265.7025000000003</v>
      </c>
      <c r="I274" s="2">
        <f t="shared" si="28"/>
        <v>2421.9008333333336</v>
      </c>
      <c r="J274" t="str">
        <f t="shared" si="29"/>
        <v>Low</v>
      </c>
      <c r="K274" s="1">
        <f t="shared" si="30"/>
        <v>0.39300000000000002</v>
      </c>
      <c r="L274" t="str">
        <f t="shared" si="31"/>
        <v>Obese</v>
      </c>
      <c r="M274" t="str">
        <f t="shared" si="32"/>
        <v>Standard</v>
      </c>
      <c r="N274" t="str">
        <f t="shared" si="33"/>
        <v>Tier 4</v>
      </c>
      <c r="O274">
        <f t="shared" si="34"/>
        <v>2</v>
      </c>
    </row>
    <row r="275" spans="1:15" x14ac:dyDescent="0.2">
      <c r="A275">
        <v>50</v>
      </c>
      <c r="B275" t="str" cm="1">
        <f t="array" ref="B275">_xlfn.IFS(A275&lt;=25,"18-25", A275&lt;=35,"26-35", A275&lt;=45,"36-45", A275&lt;=55,"46-55", A275&lt;=64,"56-64")</f>
        <v>46-55</v>
      </c>
      <c r="C275" t="s">
        <v>10</v>
      </c>
      <c r="D275">
        <v>27.454999999999998</v>
      </c>
      <c r="E275">
        <v>1</v>
      </c>
      <c r="F275" t="s">
        <v>11</v>
      </c>
      <c r="G275" t="s">
        <v>53</v>
      </c>
      <c r="H275" s="2">
        <v>9617.6624499999998</v>
      </c>
      <c r="I275" s="2">
        <f t="shared" si="28"/>
        <v>4808.8312249999999</v>
      </c>
      <c r="J275" t="str">
        <f t="shared" si="29"/>
        <v>Low</v>
      </c>
      <c r="K275" s="1">
        <f t="shared" si="30"/>
        <v>0.51100000000000001</v>
      </c>
      <c r="L275" t="str">
        <f t="shared" si="31"/>
        <v>Overweight</v>
      </c>
      <c r="M275" t="str">
        <f t="shared" si="32"/>
        <v>Standard</v>
      </c>
      <c r="N275" t="str">
        <f t="shared" si="33"/>
        <v>Tier 2</v>
      </c>
      <c r="O275">
        <f t="shared" si="34"/>
        <v>1</v>
      </c>
    </row>
    <row r="276" spans="1:15" x14ac:dyDescent="0.2">
      <c r="A276">
        <v>25</v>
      </c>
      <c r="B276" t="str" cm="1">
        <f t="array" ref="B276">_xlfn.IFS(A276&lt;=25,"18-25", A276&lt;=35,"26-35", A276&lt;=45,"36-45", A276&lt;=55,"46-55", A276&lt;=64,"56-64")</f>
        <v>18-25</v>
      </c>
      <c r="C276" t="s">
        <v>10</v>
      </c>
      <c r="D276">
        <v>27.55</v>
      </c>
      <c r="E276">
        <v>0</v>
      </c>
      <c r="F276" t="s">
        <v>11</v>
      </c>
      <c r="G276" t="s">
        <v>54</v>
      </c>
      <c r="H276" s="2">
        <v>2523.1695</v>
      </c>
      <c r="I276" s="2">
        <f t="shared" si="28"/>
        <v>2523.1695</v>
      </c>
      <c r="J276" t="str">
        <f t="shared" si="29"/>
        <v>Low</v>
      </c>
      <c r="K276" s="1">
        <f t="shared" si="30"/>
        <v>0.112</v>
      </c>
      <c r="L276" t="str">
        <f t="shared" si="31"/>
        <v>Overweight</v>
      </c>
      <c r="M276" t="str">
        <f t="shared" si="32"/>
        <v>Standard</v>
      </c>
      <c r="N276" t="str">
        <f t="shared" si="33"/>
        <v>Tier 4</v>
      </c>
      <c r="O276">
        <f t="shared" si="34"/>
        <v>1</v>
      </c>
    </row>
    <row r="277" spans="1:15" x14ac:dyDescent="0.2">
      <c r="A277">
        <v>47</v>
      </c>
      <c r="B277" t="str" cm="1">
        <f t="array" ref="B277">_xlfn.IFS(A277&lt;=25,"18-25", A277&lt;=35,"26-35", A277&lt;=45,"36-45", A277&lt;=55,"46-55", A277&lt;=64,"56-64")</f>
        <v>46-55</v>
      </c>
      <c r="C277" t="s">
        <v>7</v>
      </c>
      <c r="D277">
        <v>26.6</v>
      </c>
      <c r="E277">
        <v>2</v>
      </c>
      <c r="F277" t="s">
        <v>11</v>
      </c>
      <c r="G277" t="s">
        <v>53</v>
      </c>
      <c r="H277" s="2">
        <v>9715.8410000000003</v>
      </c>
      <c r="I277" s="2">
        <f t="shared" si="28"/>
        <v>3238.6136666666666</v>
      </c>
      <c r="J277" t="str">
        <f t="shared" si="29"/>
        <v>Low</v>
      </c>
      <c r="K277" s="1">
        <f t="shared" si="30"/>
        <v>0.51600000000000001</v>
      </c>
      <c r="L277" t="str">
        <f t="shared" si="31"/>
        <v>Overweight</v>
      </c>
      <c r="M277" t="str">
        <f t="shared" si="32"/>
        <v>Standard</v>
      </c>
      <c r="N277" t="str">
        <f t="shared" si="33"/>
        <v>Tier 2</v>
      </c>
      <c r="O277">
        <f t="shared" si="34"/>
        <v>1</v>
      </c>
    </row>
    <row r="278" spans="1:15" x14ac:dyDescent="0.2">
      <c r="A278">
        <v>19</v>
      </c>
      <c r="B278" t="str" cm="1">
        <f t="array" ref="B278">_xlfn.IFS(A278&lt;=25,"18-25", A278&lt;=35,"26-35", A278&lt;=45,"36-45", A278&lt;=55,"46-55", A278&lt;=64,"56-64")</f>
        <v>18-25</v>
      </c>
      <c r="C278" t="s">
        <v>10</v>
      </c>
      <c r="D278">
        <v>20.614999999999998</v>
      </c>
      <c r="E278">
        <v>2</v>
      </c>
      <c r="F278" t="s">
        <v>11</v>
      </c>
      <c r="G278" t="s">
        <v>54</v>
      </c>
      <c r="H278" s="2">
        <v>2803.69785</v>
      </c>
      <c r="I278" s="2">
        <f t="shared" si="28"/>
        <v>934.56595000000004</v>
      </c>
      <c r="J278" t="str">
        <f t="shared" si="29"/>
        <v>Low</v>
      </c>
      <c r="K278" s="1">
        <f t="shared" si="30"/>
        <v>0.13300000000000001</v>
      </c>
      <c r="L278" t="str">
        <f t="shared" si="31"/>
        <v>Normal</v>
      </c>
      <c r="M278" t="str">
        <f t="shared" si="32"/>
        <v>Standard</v>
      </c>
      <c r="N278" t="str">
        <f t="shared" si="33"/>
        <v>Tier 4</v>
      </c>
      <c r="O278">
        <f t="shared" si="34"/>
        <v>0</v>
      </c>
    </row>
    <row r="279" spans="1:15" x14ac:dyDescent="0.2">
      <c r="A279">
        <v>22</v>
      </c>
      <c r="B279" t="str" cm="1">
        <f t="array" ref="B279">_xlfn.IFS(A279&lt;=25,"18-25", A279&lt;=35,"26-35", A279&lt;=45,"36-45", A279&lt;=55,"46-55", A279&lt;=64,"56-64")</f>
        <v>18-25</v>
      </c>
      <c r="C279" t="s">
        <v>7</v>
      </c>
      <c r="D279">
        <v>24.3</v>
      </c>
      <c r="E279">
        <v>0</v>
      </c>
      <c r="F279" t="s">
        <v>11</v>
      </c>
      <c r="G279" t="s">
        <v>52</v>
      </c>
      <c r="H279" s="2">
        <v>2150.4690000000001</v>
      </c>
      <c r="I279" s="2">
        <f t="shared" si="28"/>
        <v>2150.4690000000001</v>
      </c>
      <c r="J279" t="str">
        <f t="shared" si="29"/>
        <v>Low</v>
      </c>
      <c r="K279" s="1">
        <f t="shared" si="30"/>
        <v>0.08</v>
      </c>
      <c r="L279" t="str">
        <f t="shared" si="31"/>
        <v>Normal</v>
      </c>
      <c r="M279" t="str">
        <f t="shared" si="32"/>
        <v>Standard</v>
      </c>
      <c r="N279" t="str">
        <f t="shared" si="33"/>
        <v>Tier 3</v>
      </c>
      <c r="O279">
        <f t="shared" si="34"/>
        <v>0</v>
      </c>
    </row>
    <row r="280" spans="1:15" x14ac:dyDescent="0.2">
      <c r="A280">
        <v>59</v>
      </c>
      <c r="B280" t="str" cm="1">
        <f t="array" ref="B280">_xlfn.IFS(A280&lt;=25,"18-25", A280&lt;=35,"26-35", A280&lt;=45,"36-45", A280&lt;=55,"46-55", A280&lt;=64,"56-64")</f>
        <v>56-64</v>
      </c>
      <c r="C280" t="s">
        <v>10</v>
      </c>
      <c r="D280">
        <v>31.79</v>
      </c>
      <c r="E280">
        <v>2</v>
      </c>
      <c r="F280" t="s">
        <v>11</v>
      </c>
      <c r="G280" t="s">
        <v>51</v>
      </c>
      <c r="H280" s="2">
        <v>12928.7911</v>
      </c>
      <c r="I280" s="2">
        <f t="shared" si="28"/>
        <v>4309.5970333333335</v>
      </c>
      <c r="J280" t="str">
        <f t="shared" si="29"/>
        <v>Low</v>
      </c>
      <c r="K280" s="1">
        <f t="shared" si="30"/>
        <v>0.67</v>
      </c>
      <c r="L280" t="str">
        <f t="shared" si="31"/>
        <v>Obese</v>
      </c>
      <c r="M280" t="str">
        <f t="shared" si="32"/>
        <v>Standard</v>
      </c>
      <c r="N280" t="str">
        <f t="shared" si="33"/>
        <v>Tier 1</v>
      </c>
      <c r="O280">
        <f t="shared" si="34"/>
        <v>3</v>
      </c>
    </row>
    <row r="281" spans="1:15" x14ac:dyDescent="0.2">
      <c r="A281">
        <v>51</v>
      </c>
      <c r="B281" t="str" cm="1">
        <f t="array" ref="B281">_xlfn.IFS(A281&lt;=25,"18-25", A281&lt;=35,"26-35", A281&lt;=45,"36-45", A281&lt;=55,"46-55", A281&lt;=64,"56-64")</f>
        <v>46-55</v>
      </c>
      <c r="C281" t="s">
        <v>7</v>
      </c>
      <c r="D281">
        <v>21.56</v>
      </c>
      <c r="E281">
        <v>1</v>
      </c>
      <c r="F281" t="s">
        <v>11</v>
      </c>
      <c r="G281" t="s">
        <v>51</v>
      </c>
      <c r="H281" s="2">
        <v>9855.1314000000002</v>
      </c>
      <c r="I281" s="2">
        <f t="shared" si="28"/>
        <v>4927.5657000000001</v>
      </c>
      <c r="J281" t="str">
        <f t="shared" si="29"/>
        <v>Low</v>
      </c>
      <c r="K281" s="1">
        <f t="shared" si="30"/>
        <v>0.52200000000000002</v>
      </c>
      <c r="L281" t="str">
        <f t="shared" si="31"/>
        <v>Normal</v>
      </c>
      <c r="M281" t="str">
        <f t="shared" si="32"/>
        <v>Standard</v>
      </c>
      <c r="N281" t="str">
        <f t="shared" si="33"/>
        <v>Tier 1</v>
      </c>
      <c r="O281">
        <f t="shared" si="34"/>
        <v>1</v>
      </c>
    </row>
    <row r="282" spans="1:15" x14ac:dyDescent="0.2">
      <c r="A282">
        <v>40</v>
      </c>
      <c r="B282" t="str" cm="1">
        <f t="array" ref="B282">_xlfn.IFS(A282&lt;=25,"18-25", A282&lt;=35,"26-35", A282&lt;=45,"36-45", A282&lt;=55,"46-55", A282&lt;=64,"56-64")</f>
        <v>36-45</v>
      </c>
      <c r="C282" t="s">
        <v>7</v>
      </c>
      <c r="D282">
        <v>28.12</v>
      </c>
      <c r="E282">
        <v>1</v>
      </c>
      <c r="F282" t="s">
        <v>8</v>
      </c>
      <c r="G282" t="s">
        <v>53</v>
      </c>
      <c r="H282" s="2">
        <v>22331.566800000001</v>
      </c>
      <c r="I282" s="2">
        <f t="shared" si="28"/>
        <v>11165.7834</v>
      </c>
      <c r="J282" t="str">
        <f t="shared" si="29"/>
        <v>High</v>
      </c>
      <c r="K282" s="1">
        <f t="shared" si="30"/>
        <v>0.82399999999999995</v>
      </c>
      <c r="L282" t="str">
        <f t="shared" si="31"/>
        <v>Overweight</v>
      </c>
      <c r="M282" t="str">
        <f t="shared" si="32"/>
        <v>High Risk</v>
      </c>
      <c r="N282" t="str">
        <f t="shared" si="33"/>
        <v>Tier 2</v>
      </c>
      <c r="O282">
        <f t="shared" si="34"/>
        <v>4</v>
      </c>
    </row>
    <row r="283" spans="1:15" x14ac:dyDescent="0.2">
      <c r="A283">
        <v>54</v>
      </c>
      <c r="B283" t="str" cm="1">
        <f t="array" ref="B283">_xlfn.IFS(A283&lt;=25,"18-25", A283&lt;=35,"26-35", A283&lt;=45,"36-45", A283&lt;=55,"46-55", A283&lt;=64,"56-64")</f>
        <v>46-55</v>
      </c>
      <c r="C283" t="s">
        <v>10</v>
      </c>
      <c r="D283">
        <v>40.564999999999998</v>
      </c>
      <c r="E283">
        <v>3</v>
      </c>
      <c r="F283" t="s">
        <v>8</v>
      </c>
      <c r="G283" t="s">
        <v>53</v>
      </c>
      <c r="H283" s="2">
        <v>48549.178350000002</v>
      </c>
      <c r="I283" s="2">
        <f t="shared" si="28"/>
        <v>12137.2945875</v>
      </c>
      <c r="J283" t="str">
        <f t="shared" si="29"/>
        <v>High</v>
      </c>
      <c r="K283" s="1">
        <f t="shared" si="30"/>
        <v>0.99</v>
      </c>
      <c r="L283" t="str">
        <f t="shared" si="31"/>
        <v>Obese</v>
      </c>
      <c r="M283" t="str">
        <f t="shared" si="32"/>
        <v>High Risk</v>
      </c>
      <c r="N283" t="str">
        <f t="shared" si="33"/>
        <v>Tier 2</v>
      </c>
      <c r="O283">
        <f t="shared" si="34"/>
        <v>5</v>
      </c>
    </row>
    <row r="284" spans="1:15" x14ac:dyDescent="0.2">
      <c r="A284">
        <v>30</v>
      </c>
      <c r="B284" t="str" cm="1">
        <f t="array" ref="B284">_xlfn.IFS(A284&lt;=25,"18-25", A284&lt;=35,"26-35", A284&lt;=45,"36-45", A284&lt;=55,"46-55", A284&lt;=64,"56-64")</f>
        <v>26-35</v>
      </c>
      <c r="C284" t="s">
        <v>10</v>
      </c>
      <c r="D284">
        <v>27.645</v>
      </c>
      <c r="E284">
        <v>1</v>
      </c>
      <c r="F284" t="s">
        <v>11</v>
      </c>
      <c r="G284" t="s">
        <v>53</v>
      </c>
      <c r="H284" s="2">
        <v>4237.12655</v>
      </c>
      <c r="I284" s="2">
        <f t="shared" si="28"/>
        <v>2118.563275</v>
      </c>
      <c r="J284" t="str">
        <f t="shared" si="29"/>
        <v>Low</v>
      </c>
      <c r="K284" s="1">
        <f t="shared" si="30"/>
        <v>0.21199999999999999</v>
      </c>
      <c r="L284" t="str">
        <f t="shared" si="31"/>
        <v>Overweight</v>
      </c>
      <c r="M284" t="str">
        <f t="shared" si="32"/>
        <v>Standard</v>
      </c>
      <c r="N284" t="str">
        <f t="shared" si="33"/>
        <v>Tier 2</v>
      </c>
      <c r="O284">
        <f t="shared" si="34"/>
        <v>1</v>
      </c>
    </row>
    <row r="285" spans="1:15" x14ac:dyDescent="0.2">
      <c r="A285">
        <v>55</v>
      </c>
      <c r="B285" t="str" cm="1">
        <f t="array" ref="B285">_xlfn.IFS(A285&lt;=25,"18-25", A285&lt;=35,"26-35", A285&lt;=45,"36-45", A285&lt;=55,"46-55", A285&lt;=64,"56-64")</f>
        <v>46-55</v>
      </c>
      <c r="C285" t="s">
        <v>7</v>
      </c>
      <c r="D285">
        <v>32.395000000000003</v>
      </c>
      <c r="E285">
        <v>1</v>
      </c>
      <c r="F285" t="s">
        <v>11</v>
      </c>
      <c r="G285" t="s">
        <v>53</v>
      </c>
      <c r="H285" s="2">
        <v>11879.10405</v>
      </c>
      <c r="I285" s="2">
        <f t="shared" si="28"/>
        <v>5939.552025</v>
      </c>
      <c r="J285" t="str">
        <f t="shared" si="29"/>
        <v>Low</v>
      </c>
      <c r="K285" s="1">
        <f t="shared" si="30"/>
        <v>0.625</v>
      </c>
      <c r="L285" t="str">
        <f t="shared" si="31"/>
        <v>Obese</v>
      </c>
      <c r="M285" t="str">
        <f t="shared" si="32"/>
        <v>Standard</v>
      </c>
      <c r="N285" t="str">
        <f t="shared" si="33"/>
        <v>Tier 2</v>
      </c>
      <c r="O285">
        <f t="shared" si="34"/>
        <v>2</v>
      </c>
    </row>
    <row r="286" spans="1:15" x14ac:dyDescent="0.2">
      <c r="A286">
        <v>52</v>
      </c>
      <c r="B286" t="str" cm="1">
        <f t="array" ref="B286">_xlfn.IFS(A286&lt;=25,"18-25", A286&lt;=35,"26-35", A286&lt;=45,"36-45", A286&lt;=55,"46-55", A286&lt;=64,"56-64")</f>
        <v>46-55</v>
      </c>
      <c r="C286" t="s">
        <v>7</v>
      </c>
      <c r="D286">
        <v>31.2</v>
      </c>
      <c r="E286">
        <v>0</v>
      </c>
      <c r="F286" t="s">
        <v>11</v>
      </c>
      <c r="G286" t="s">
        <v>52</v>
      </c>
      <c r="H286" s="2">
        <v>9625.92</v>
      </c>
      <c r="I286" s="2">
        <f t="shared" si="28"/>
        <v>9625.92</v>
      </c>
      <c r="J286" t="str">
        <f t="shared" si="29"/>
        <v>Low</v>
      </c>
      <c r="K286" s="1">
        <f t="shared" si="30"/>
        <v>0.51300000000000001</v>
      </c>
      <c r="L286" t="str">
        <f t="shared" si="31"/>
        <v>Obese</v>
      </c>
      <c r="M286" t="str">
        <f t="shared" si="32"/>
        <v>Standard</v>
      </c>
      <c r="N286" t="str">
        <f t="shared" si="33"/>
        <v>Tier 3</v>
      </c>
      <c r="O286">
        <f t="shared" si="34"/>
        <v>2</v>
      </c>
    </row>
    <row r="287" spans="1:15" x14ac:dyDescent="0.2">
      <c r="A287">
        <v>46</v>
      </c>
      <c r="B287" t="str" cm="1">
        <f t="array" ref="B287">_xlfn.IFS(A287&lt;=25,"18-25", A287&lt;=35,"26-35", A287&lt;=45,"36-45", A287&lt;=55,"46-55", A287&lt;=64,"56-64")</f>
        <v>46-55</v>
      </c>
      <c r="C287" t="s">
        <v>10</v>
      </c>
      <c r="D287">
        <v>26.62</v>
      </c>
      <c r="E287">
        <v>1</v>
      </c>
      <c r="F287" t="s">
        <v>11</v>
      </c>
      <c r="G287" t="s">
        <v>51</v>
      </c>
      <c r="H287" s="2">
        <v>7742.1098000000002</v>
      </c>
      <c r="I287" s="2">
        <f t="shared" si="28"/>
        <v>3871.0549000000001</v>
      </c>
      <c r="J287" t="str">
        <f t="shared" si="29"/>
        <v>Low</v>
      </c>
      <c r="K287" s="1">
        <f t="shared" si="30"/>
        <v>0.42</v>
      </c>
      <c r="L287" t="str">
        <f t="shared" si="31"/>
        <v>Overweight</v>
      </c>
      <c r="M287" t="str">
        <f t="shared" si="32"/>
        <v>Standard</v>
      </c>
      <c r="N287" t="str">
        <f t="shared" si="33"/>
        <v>Tier 1</v>
      </c>
      <c r="O287">
        <f t="shared" si="34"/>
        <v>2</v>
      </c>
    </row>
    <row r="288" spans="1:15" x14ac:dyDescent="0.2">
      <c r="A288">
        <v>46</v>
      </c>
      <c r="B288" t="str" cm="1">
        <f t="array" ref="B288">_xlfn.IFS(A288&lt;=25,"18-25", A288&lt;=35,"26-35", A288&lt;=45,"36-45", A288&lt;=55,"46-55", A288&lt;=64,"56-64")</f>
        <v>46-55</v>
      </c>
      <c r="C288" t="s">
        <v>7</v>
      </c>
      <c r="D288">
        <v>48.07</v>
      </c>
      <c r="E288">
        <v>2</v>
      </c>
      <c r="F288" t="s">
        <v>11</v>
      </c>
      <c r="G288" t="s">
        <v>53</v>
      </c>
      <c r="H288" s="2">
        <v>9432.9253000000008</v>
      </c>
      <c r="I288" s="2">
        <f t="shared" si="28"/>
        <v>3144.3084333333336</v>
      </c>
      <c r="J288" t="str">
        <f t="shared" si="29"/>
        <v>Low</v>
      </c>
      <c r="K288" s="1">
        <f t="shared" si="30"/>
        <v>0.503</v>
      </c>
      <c r="L288" t="str">
        <f t="shared" si="31"/>
        <v>Obese</v>
      </c>
      <c r="M288" t="str">
        <f t="shared" si="32"/>
        <v>Standard</v>
      </c>
      <c r="N288" t="str">
        <f t="shared" si="33"/>
        <v>Tier 2</v>
      </c>
      <c r="O288">
        <f t="shared" si="34"/>
        <v>2</v>
      </c>
    </row>
    <row r="289" spans="1:15" x14ac:dyDescent="0.2">
      <c r="A289">
        <v>63</v>
      </c>
      <c r="B289" t="str" cm="1">
        <f t="array" ref="B289">_xlfn.IFS(A289&lt;=25,"18-25", A289&lt;=35,"26-35", A289&lt;=45,"36-45", A289&lt;=55,"46-55", A289&lt;=64,"56-64")</f>
        <v>56-64</v>
      </c>
      <c r="C289" t="s">
        <v>7</v>
      </c>
      <c r="D289">
        <v>26.22</v>
      </c>
      <c r="E289">
        <v>0</v>
      </c>
      <c r="F289" t="s">
        <v>11</v>
      </c>
      <c r="G289" t="s">
        <v>54</v>
      </c>
      <c r="H289" s="2">
        <v>14256.192800000001</v>
      </c>
      <c r="I289" s="2">
        <f t="shared" si="28"/>
        <v>14256.192800000001</v>
      </c>
      <c r="J289" t="str">
        <f t="shared" si="29"/>
        <v>High</v>
      </c>
      <c r="K289" s="1">
        <f t="shared" si="30"/>
        <v>0.71499999999999997</v>
      </c>
      <c r="L289" t="str">
        <f t="shared" si="31"/>
        <v>Overweight</v>
      </c>
      <c r="M289" t="str">
        <f t="shared" si="32"/>
        <v>Standard</v>
      </c>
      <c r="N289" t="str">
        <f t="shared" si="33"/>
        <v>Tier 4</v>
      </c>
      <c r="O289">
        <f t="shared" si="34"/>
        <v>1</v>
      </c>
    </row>
    <row r="290" spans="1:15" x14ac:dyDescent="0.2">
      <c r="A290">
        <v>59</v>
      </c>
      <c r="B290" t="str" cm="1">
        <f t="array" ref="B290">_xlfn.IFS(A290&lt;=25,"18-25", A290&lt;=35,"26-35", A290&lt;=45,"36-45", A290&lt;=55,"46-55", A290&lt;=64,"56-64")</f>
        <v>56-64</v>
      </c>
      <c r="C290" t="s">
        <v>7</v>
      </c>
      <c r="D290">
        <v>36.765000000000001</v>
      </c>
      <c r="E290">
        <v>1</v>
      </c>
      <c r="F290" t="s">
        <v>8</v>
      </c>
      <c r="G290" t="s">
        <v>53</v>
      </c>
      <c r="H290" s="2">
        <v>47896.79135</v>
      </c>
      <c r="I290" s="2">
        <f t="shared" si="28"/>
        <v>23948.395675</v>
      </c>
      <c r="J290" t="str">
        <f t="shared" si="29"/>
        <v>High</v>
      </c>
      <c r="K290" s="1">
        <f t="shared" si="30"/>
        <v>0.98699999999999999</v>
      </c>
      <c r="L290" t="str">
        <f t="shared" si="31"/>
        <v>Obese</v>
      </c>
      <c r="M290" t="str">
        <f t="shared" si="32"/>
        <v>High Risk</v>
      </c>
      <c r="N290" t="str">
        <f t="shared" si="33"/>
        <v>Tier 2</v>
      </c>
      <c r="O290">
        <f t="shared" si="34"/>
        <v>5</v>
      </c>
    </row>
    <row r="291" spans="1:15" x14ac:dyDescent="0.2">
      <c r="A291">
        <v>52</v>
      </c>
      <c r="B291" t="str" cm="1">
        <f t="array" ref="B291">_xlfn.IFS(A291&lt;=25,"18-25", A291&lt;=35,"26-35", A291&lt;=45,"36-45", A291&lt;=55,"46-55", A291&lt;=64,"56-64")</f>
        <v>46-55</v>
      </c>
      <c r="C291" t="s">
        <v>10</v>
      </c>
      <c r="D291">
        <v>26.4</v>
      </c>
      <c r="E291">
        <v>3</v>
      </c>
      <c r="F291" t="s">
        <v>11</v>
      </c>
      <c r="G291" t="s">
        <v>51</v>
      </c>
      <c r="H291" s="2">
        <v>25992.821039999999</v>
      </c>
      <c r="I291" s="2">
        <f t="shared" si="28"/>
        <v>6498.2052599999997</v>
      </c>
      <c r="J291" t="str">
        <f t="shared" si="29"/>
        <v>High</v>
      </c>
      <c r="K291" s="1">
        <f t="shared" si="30"/>
        <v>0.85499999999999998</v>
      </c>
      <c r="L291" t="str">
        <f t="shared" si="31"/>
        <v>Overweight</v>
      </c>
      <c r="M291" t="str">
        <f t="shared" si="32"/>
        <v>Standard</v>
      </c>
      <c r="N291" t="str">
        <f t="shared" si="33"/>
        <v>Tier 1</v>
      </c>
      <c r="O291">
        <f t="shared" si="34"/>
        <v>2</v>
      </c>
    </row>
    <row r="292" spans="1:15" x14ac:dyDescent="0.2">
      <c r="A292">
        <v>28</v>
      </c>
      <c r="B292" t="str" cm="1">
        <f t="array" ref="B292">_xlfn.IFS(A292&lt;=25,"18-25", A292&lt;=35,"26-35", A292&lt;=45,"36-45", A292&lt;=55,"46-55", A292&lt;=64,"56-64")</f>
        <v>26-35</v>
      </c>
      <c r="C292" t="s">
        <v>7</v>
      </c>
      <c r="D292">
        <v>33.4</v>
      </c>
      <c r="E292">
        <v>0</v>
      </c>
      <c r="F292" t="s">
        <v>11</v>
      </c>
      <c r="G292" t="s">
        <v>52</v>
      </c>
      <c r="H292" s="2">
        <v>3172.018</v>
      </c>
      <c r="I292" s="2">
        <f t="shared" si="28"/>
        <v>3172.018</v>
      </c>
      <c r="J292" t="str">
        <f t="shared" si="29"/>
        <v>Low</v>
      </c>
      <c r="K292" s="1">
        <f t="shared" si="30"/>
        <v>0.15</v>
      </c>
      <c r="L292" t="str">
        <f t="shared" si="31"/>
        <v>Obese</v>
      </c>
      <c r="M292" t="str">
        <f t="shared" si="32"/>
        <v>Standard</v>
      </c>
      <c r="N292" t="str">
        <f t="shared" si="33"/>
        <v>Tier 3</v>
      </c>
      <c r="O292">
        <f t="shared" si="34"/>
        <v>2</v>
      </c>
    </row>
    <row r="293" spans="1:15" x14ac:dyDescent="0.2">
      <c r="A293">
        <v>29</v>
      </c>
      <c r="B293" t="str" cm="1">
        <f t="array" ref="B293">_xlfn.IFS(A293&lt;=25,"18-25", A293&lt;=35,"26-35", A293&lt;=45,"36-45", A293&lt;=55,"46-55", A293&lt;=64,"56-64")</f>
        <v>26-35</v>
      </c>
      <c r="C293" t="s">
        <v>10</v>
      </c>
      <c r="D293">
        <v>29.64</v>
      </c>
      <c r="E293">
        <v>1</v>
      </c>
      <c r="F293" t="s">
        <v>11</v>
      </c>
      <c r="G293" t="s">
        <v>53</v>
      </c>
      <c r="H293" s="2">
        <v>20277.807509999999</v>
      </c>
      <c r="I293" s="2">
        <f t="shared" si="28"/>
        <v>10138.903754999999</v>
      </c>
      <c r="J293" t="str">
        <f t="shared" si="29"/>
        <v>High</v>
      </c>
      <c r="K293" s="1">
        <f t="shared" si="30"/>
        <v>0.8</v>
      </c>
      <c r="L293" t="str">
        <f t="shared" si="31"/>
        <v>Overweight</v>
      </c>
      <c r="M293" t="str">
        <f t="shared" si="32"/>
        <v>Standard</v>
      </c>
      <c r="N293" t="str">
        <f t="shared" si="33"/>
        <v>Tier 2</v>
      </c>
      <c r="O293">
        <f t="shared" si="34"/>
        <v>1</v>
      </c>
    </row>
    <row r="294" spans="1:15" x14ac:dyDescent="0.2">
      <c r="A294">
        <v>25</v>
      </c>
      <c r="B294" t="str" cm="1">
        <f t="array" ref="B294">_xlfn.IFS(A294&lt;=25,"18-25", A294&lt;=35,"26-35", A294&lt;=45,"36-45", A294&lt;=55,"46-55", A294&lt;=64,"56-64")</f>
        <v>18-25</v>
      </c>
      <c r="C294" t="s">
        <v>10</v>
      </c>
      <c r="D294">
        <v>45.54</v>
      </c>
      <c r="E294">
        <v>2</v>
      </c>
      <c r="F294" t="s">
        <v>8</v>
      </c>
      <c r="G294" t="s">
        <v>51</v>
      </c>
      <c r="H294" s="2">
        <v>42112.2356</v>
      </c>
      <c r="I294" s="2">
        <f t="shared" si="28"/>
        <v>14037.411866666667</v>
      </c>
      <c r="J294" t="str">
        <f t="shared" si="29"/>
        <v>High</v>
      </c>
      <c r="K294" s="1">
        <f t="shared" si="30"/>
        <v>0.95499999999999996</v>
      </c>
      <c r="L294" t="str">
        <f t="shared" si="31"/>
        <v>Obese</v>
      </c>
      <c r="M294" t="str">
        <f t="shared" si="32"/>
        <v>High Risk</v>
      </c>
      <c r="N294" t="str">
        <f t="shared" si="33"/>
        <v>Tier 1</v>
      </c>
      <c r="O294">
        <f t="shared" si="34"/>
        <v>6</v>
      </c>
    </row>
    <row r="295" spans="1:15" x14ac:dyDescent="0.2">
      <c r="A295">
        <v>22</v>
      </c>
      <c r="B295" t="str" cm="1">
        <f t="array" ref="B295">_xlfn.IFS(A295&lt;=25,"18-25", A295&lt;=35,"26-35", A295&lt;=45,"36-45", A295&lt;=55,"46-55", A295&lt;=64,"56-64")</f>
        <v>18-25</v>
      </c>
      <c r="C295" t="s">
        <v>7</v>
      </c>
      <c r="D295">
        <v>28.82</v>
      </c>
      <c r="E295">
        <v>0</v>
      </c>
      <c r="F295" t="s">
        <v>11</v>
      </c>
      <c r="G295" t="s">
        <v>51</v>
      </c>
      <c r="H295" s="2">
        <v>2156.7518</v>
      </c>
      <c r="I295" s="2">
        <f t="shared" si="28"/>
        <v>2156.7518</v>
      </c>
      <c r="J295" t="str">
        <f t="shared" si="29"/>
        <v>Low</v>
      </c>
      <c r="K295" s="1">
        <f t="shared" si="30"/>
        <v>8.3000000000000004E-2</v>
      </c>
      <c r="L295" t="str">
        <f t="shared" si="31"/>
        <v>Overweight</v>
      </c>
      <c r="M295" t="str">
        <f t="shared" si="32"/>
        <v>Standard</v>
      </c>
      <c r="N295" t="str">
        <f t="shared" si="33"/>
        <v>Tier 1</v>
      </c>
      <c r="O295">
        <f t="shared" si="34"/>
        <v>2</v>
      </c>
    </row>
    <row r="296" spans="1:15" x14ac:dyDescent="0.2">
      <c r="A296">
        <v>25</v>
      </c>
      <c r="B296" t="str" cm="1">
        <f t="array" ref="B296">_xlfn.IFS(A296&lt;=25,"18-25", A296&lt;=35,"26-35", A296&lt;=45,"36-45", A296&lt;=55,"46-55", A296&lt;=64,"56-64")</f>
        <v>18-25</v>
      </c>
      <c r="C296" t="s">
        <v>10</v>
      </c>
      <c r="D296">
        <v>26.8</v>
      </c>
      <c r="E296">
        <v>3</v>
      </c>
      <c r="F296" t="s">
        <v>11</v>
      </c>
      <c r="G296" t="s">
        <v>52</v>
      </c>
      <c r="H296" s="2">
        <v>3906.127</v>
      </c>
      <c r="I296" s="2">
        <f t="shared" si="28"/>
        <v>976.53174999999999</v>
      </c>
      <c r="J296" t="str">
        <f t="shared" si="29"/>
        <v>Low</v>
      </c>
      <c r="K296" s="1">
        <f t="shared" si="30"/>
        <v>0.192</v>
      </c>
      <c r="L296" t="str">
        <f t="shared" si="31"/>
        <v>Overweight</v>
      </c>
      <c r="M296" t="str">
        <f t="shared" si="32"/>
        <v>Standard</v>
      </c>
      <c r="N296" t="str">
        <f t="shared" si="33"/>
        <v>Tier 3</v>
      </c>
      <c r="O296">
        <f t="shared" si="34"/>
        <v>1</v>
      </c>
    </row>
    <row r="297" spans="1:15" x14ac:dyDescent="0.2">
      <c r="A297">
        <v>18</v>
      </c>
      <c r="B297" t="str" cm="1">
        <f t="array" ref="B297">_xlfn.IFS(A297&lt;=25,"18-25", A297&lt;=35,"26-35", A297&lt;=45,"36-45", A297&lt;=55,"46-55", A297&lt;=64,"56-64")</f>
        <v>18-25</v>
      </c>
      <c r="C297" t="s">
        <v>10</v>
      </c>
      <c r="D297">
        <v>22.99</v>
      </c>
      <c r="E297">
        <v>0</v>
      </c>
      <c r="F297" t="s">
        <v>11</v>
      </c>
      <c r="G297" t="s">
        <v>53</v>
      </c>
      <c r="H297" s="2">
        <v>1704.5681</v>
      </c>
      <c r="I297" s="2">
        <f t="shared" si="28"/>
        <v>1704.5681</v>
      </c>
      <c r="J297" t="str">
        <f t="shared" si="29"/>
        <v>Low</v>
      </c>
      <c r="K297" s="1">
        <f t="shared" si="30"/>
        <v>3.5999999999999997E-2</v>
      </c>
      <c r="L297" t="str">
        <f t="shared" si="31"/>
        <v>Normal</v>
      </c>
      <c r="M297" t="str">
        <f t="shared" si="32"/>
        <v>Standard</v>
      </c>
      <c r="N297" t="str">
        <f t="shared" si="33"/>
        <v>Tier 2</v>
      </c>
      <c r="O297">
        <f t="shared" si="34"/>
        <v>0</v>
      </c>
    </row>
    <row r="298" spans="1:15" x14ac:dyDescent="0.2">
      <c r="A298">
        <v>19</v>
      </c>
      <c r="B298" t="str" cm="1">
        <f t="array" ref="B298">_xlfn.IFS(A298&lt;=25,"18-25", A298&lt;=35,"26-35", A298&lt;=45,"36-45", A298&lt;=55,"46-55", A298&lt;=64,"56-64")</f>
        <v>18-25</v>
      </c>
      <c r="C298" t="s">
        <v>10</v>
      </c>
      <c r="D298">
        <v>27.7</v>
      </c>
      <c r="E298">
        <v>0</v>
      </c>
      <c r="F298" t="s">
        <v>8</v>
      </c>
      <c r="G298" t="s">
        <v>52</v>
      </c>
      <c r="H298" s="2">
        <v>16297.846</v>
      </c>
      <c r="I298" s="2">
        <f t="shared" si="28"/>
        <v>16297.846</v>
      </c>
      <c r="J298" t="str">
        <f t="shared" si="29"/>
        <v>High</v>
      </c>
      <c r="K298" s="1">
        <f t="shared" si="30"/>
        <v>0.745</v>
      </c>
      <c r="L298" t="str">
        <f t="shared" si="31"/>
        <v>Overweight</v>
      </c>
      <c r="M298" t="str">
        <f t="shared" si="32"/>
        <v>High Risk</v>
      </c>
      <c r="N298" t="str">
        <f t="shared" si="33"/>
        <v>Tier 3</v>
      </c>
      <c r="O298">
        <f t="shared" si="34"/>
        <v>4</v>
      </c>
    </row>
    <row r="299" spans="1:15" x14ac:dyDescent="0.2">
      <c r="A299">
        <v>47</v>
      </c>
      <c r="B299" t="str" cm="1">
        <f t="array" ref="B299">_xlfn.IFS(A299&lt;=25,"18-25", A299&lt;=35,"26-35", A299&lt;=45,"36-45", A299&lt;=55,"46-55", A299&lt;=64,"56-64")</f>
        <v>46-55</v>
      </c>
      <c r="C299" t="s">
        <v>10</v>
      </c>
      <c r="D299">
        <v>25.41</v>
      </c>
      <c r="E299">
        <v>1</v>
      </c>
      <c r="F299" t="s">
        <v>8</v>
      </c>
      <c r="G299" t="s">
        <v>51</v>
      </c>
      <c r="H299" s="2">
        <v>21978.676899999999</v>
      </c>
      <c r="I299" s="2">
        <f t="shared" si="28"/>
        <v>10989.338449999999</v>
      </c>
      <c r="J299" t="str">
        <f t="shared" si="29"/>
        <v>High</v>
      </c>
      <c r="K299" s="1">
        <f t="shared" si="30"/>
        <v>0.82</v>
      </c>
      <c r="L299" t="str">
        <f t="shared" si="31"/>
        <v>Overweight</v>
      </c>
      <c r="M299" t="str">
        <f t="shared" si="32"/>
        <v>High Risk</v>
      </c>
      <c r="N299" t="str">
        <f t="shared" si="33"/>
        <v>Tier 1</v>
      </c>
      <c r="O299">
        <f t="shared" si="34"/>
        <v>5</v>
      </c>
    </row>
    <row r="300" spans="1:15" x14ac:dyDescent="0.2">
      <c r="A300">
        <v>31</v>
      </c>
      <c r="B300" t="str" cm="1">
        <f t="array" ref="B300">_xlfn.IFS(A300&lt;=25,"18-25", A300&lt;=35,"26-35", A300&lt;=45,"36-45", A300&lt;=55,"46-55", A300&lt;=64,"56-64")</f>
        <v>26-35</v>
      </c>
      <c r="C300" t="s">
        <v>10</v>
      </c>
      <c r="D300">
        <v>34.39</v>
      </c>
      <c r="E300">
        <v>3</v>
      </c>
      <c r="F300" t="s">
        <v>8</v>
      </c>
      <c r="G300" t="s">
        <v>54</v>
      </c>
      <c r="H300" s="2">
        <v>38746.355100000001</v>
      </c>
      <c r="I300" s="2">
        <f t="shared" si="28"/>
        <v>9686.5887750000002</v>
      </c>
      <c r="J300" t="str">
        <f t="shared" si="29"/>
        <v>High</v>
      </c>
      <c r="K300" s="1">
        <f t="shared" si="30"/>
        <v>0.92900000000000005</v>
      </c>
      <c r="L300" t="str">
        <f t="shared" si="31"/>
        <v>Obese</v>
      </c>
      <c r="M300" t="str">
        <f t="shared" si="32"/>
        <v>High Risk</v>
      </c>
      <c r="N300" t="str">
        <f t="shared" si="33"/>
        <v>Tier 4</v>
      </c>
      <c r="O300">
        <f t="shared" si="34"/>
        <v>5</v>
      </c>
    </row>
    <row r="301" spans="1:15" x14ac:dyDescent="0.2">
      <c r="A301">
        <v>48</v>
      </c>
      <c r="B301" t="str" cm="1">
        <f t="array" ref="B301">_xlfn.IFS(A301&lt;=25,"18-25", A301&lt;=35,"26-35", A301&lt;=45,"36-45", A301&lt;=55,"46-55", A301&lt;=64,"56-64")</f>
        <v>46-55</v>
      </c>
      <c r="C301" t="s">
        <v>7</v>
      </c>
      <c r="D301">
        <v>28.88</v>
      </c>
      <c r="E301">
        <v>1</v>
      </c>
      <c r="F301" t="s">
        <v>11</v>
      </c>
      <c r="G301" t="s">
        <v>54</v>
      </c>
      <c r="H301" s="2">
        <v>9249.4951999999994</v>
      </c>
      <c r="I301" s="2">
        <f t="shared" si="28"/>
        <v>4624.7475999999997</v>
      </c>
      <c r="J301" t="str">
        <f t="shared" si="29"/>
        <v>Low</v>
      </c>
      <c r="K301" s="1">
        <f t="shared" si="30"/>
        <v>0.49199999999999999</v>
      </c>
      <c r="L301" t="str">
        <f t="shared" si="31"/>
        <v>Overweight</v>
      </c>
      <c r="M301" t="str">
        <f t="shared" si="32"/>
        <v>Standard</v>
      </c>
      <c r="N301" t="str">
        <f t="shared" si="33"/>
        <v>Tier 4</v>
      </c>
      <c r="O301">
        <f t="shared" si="34"/>
        <v>1</v>
      </c>
    </row>
    <row r="302" spans="1:15" x14ac:dyDescent="0.2">
      <c r="A302">
        <v>36</v>
      </c>
      <c r="B302" t="str" cm="1">
        <f t="array" ref="B302">_xlfn.IFS(A302&lt;=25,"18-25", A302&lt;=35,"26-35", A302&lt;=45,"36-45", A302&lt;=55,"46-55", A302&lt;=64,"56-64")</f>
        <v>36-45</v>
      </c>
      <c r="C302" t="s">
        <v>10</v>
      </c>
      <c r="D302">
        <v>27.55</v>
      </c>
      <c r="E302">
        <v>3</v>
      </c>
      <c r="F302" t="s">
        <v>11</v>
      </c>
      <c r="G302" t="s">
        <v>53</v>
      </c>
      <c r="H302" s="2">
        <v>6746.7425000000003</v>
      </c>
      <c r="I302" s="2">
        <f t="shared" si="28"/>
        <v>1686.6856250000001</v>
      </c>
      <c r="J302" t="str">
        <f t="shared" si="29"/>
        <v>Low</v>
      </c>
      <c r="K302" s="1">
        <f t="shared" si="30"/>
        <v>0.36199999999999999</v>
      </c>
      <c r="L302" t="str">
        <f t="shared" si="31"/>
        <v>Overweight</v>
      </c>
      <c r="M302" t="str">
        <f t="shared" si="32"/>
        <v>Standard</v>
      </c>
      <c r="N302" t="str">
        <f t="shared" si="33"/>
        <v>Tier 2</v>
      </c>
      <c r="O302">
        <f t="shared" si="34"/>
        <v>1</v>
      </c>
    </row>
    <row r="303" spans="1:15" x14ac:dyDescent="0.2">
      <c r="A303">
        <v>53</v>
      </c>
      <c r="B303" t="str" cm="1">
        <f t="array" ref="B303">_xlfn.IFS(A303&lt;=25,"18-25", A303&lt;=35,"26-35", A303&lt;=45,"36-45", A303&lt;=55,"46-55", A303&lt;=64,"56-64")</f>
        <v>46-55</v>
      </c>
      <c r="C303" t="s">
        <v>7</v>
      </c>
      <c r="D303">
        <v>22.61</v>
      </c>
      <c r="E303">
        <v>3</v>
      </c>
      <c r="F303" t="s">
        <v>8</v>
      </c>
      <c r="G303" t="s">
        <v>53</v>
      </c>
      <c r="H303" s="2">
        <v>24873.384900000001</v>
      </c>
      <c r="I303" s="2">
        <f t="shared" si="28"/>
        <v>6218.3462250000002</v>
      </c>
      <c r="J303" t="str">
        <f t="shared" si="29"/>
        <v>High</v>
      </c>
      <c r="K303" s="1">
        <f t="shared" si="30"/>
        <v>0.84799999999999998</v>
      </c>
      <c r="L303" t="str">
        <f t="shared" si="31"/>
        <v>Normal</v>
      </c>
      <c r="M303" t="str">
        <f t="shared" si="32"/>
        <v>High Risk</v>
      </c>
      <c r="N303" t="str">
        <f t="shared" si="33"/>
        <v>Tier 2</v>
      </c>
      <c r="O303">
        <f t="shared" si="34"/>
        <v>3</v>
      </c>
    </row>
    <row r="304" spans="1:15" x14ac:dyDescent="0.2">
      <c r="A304">
        <v>56</v>
      </c>
      <c r="B304" t="str" cm="1">
        <f t="array" ref="B304">_xlfn.IFS(A304&lt;=25,"18-25", A304&lt;=35,"26-35", A304&lt;=45,"36-45", A304&lt;=55,"46-55", A304&lt;=64,"56-64")</f>
        <v>56-64</v>
      </c>
      <c r="C304" t="s">
        <v>7</v>
      </c>
      <c r="D304">
        <v>37.51</v>
      </c>
      <c r="E304">
        <v>2</v>
      </c>
      <c r="F304" t="s">
        <v>11</v>
      </c>
      <c r="G304" t="s">
        <v>51</v>
      </c>
      <c r="H304" s="2">
        <v>12265.5069</v>
      </c>
      <c r="I304" s="2">
        <f t="shared" si="28"/>
        <v>4088.5023000000001</v>
      </c>
      <c r="J304" t="str">
        <f t="shared" si="29"/>
        <v>Low</v>
      </c>
      <c r="K304" s="1">
        <f t="shared" si="30"/>
        <v>0.64400000000000002</v>
      </c>
      <c r="L304" t="str">
        <f t="shared" si="31"/>
        <v>Obese</v>
      </c>
      <c r="M304" t="str">
        <f t="shared" si="32"/>
        <v>Standard</v>
      </c>
      <c r="N304" t="str">
        <f t="shared" si="33"/>
        <v>Tier 1</v>
      </c>
      <c r="O304">
        <f t="shared" si="34"/>
        <v>3</v>
      </c>
    </row>
    <row r="305" spans="1:15" x14ac:dyDescent="0.2">
      <c r="A305">
        <v>28</v>
      </c>
      <c r="B305" t="str" cm="1">
        <f t="array" ref="B305">_xlfn.IFS(A305&lt;=25,"18-25", A305&lt;=35,"26-35", A305&lt;=45,"36-45", A305&lt;=55,"46-55", A305&lt;=64,"56-64")</f>
        <v>26-35</v>
      </c>
      <c r="C305" t="s">
        <v>7</v>
      </c>
      <c r="D305">
        <v>33</v>
      </c>
      <c r="E305">
        <v>2</v>
      </c>
      <c r="F305" t="s">
        <v>11</v>
      </c>
      <c r="G305" t="s">
        <v>51</v>
      </c>
      <c r="H305" s="2">
        <v>4349.4620000000004</v>
      </c>
      <c r="I305" s="2">
        <f t="shared" si="28"/>
        <v>1449.8206666666667</v>
      </c>
      <c r="J305" t="str">
        <f t="shared" si="29"/>
        <v>Low</v>
      </c>
      <c r="K305" s="1">
        <f t="shared" si="30"/>
        <v>0.219</v>
      </c>
      <c r="L305" t="str">
        <f t="shared" si="31"/>
        <v>Obese</v>
      </c>
      <c r="M305" t="str">
        <f t="shared" si="32"/>
        <v>Standard</v>
      </c>
      <c r="N305" t="str">
        <f t="shared" si="33"/>
        <v>Tier 1</v>
      </c>
      <c r="O305">
        <f t="shared" si="34"/>
        <v>3</v>
      </c>
    </row>
    <row r="306" spans="1:15" x14ac:dyDescent="0.2">
      <c r="A306">
        <v>57</v>
      </c>
      <c r="B306" t="str" cm="1">
        <f t="array" ref="B306">_xlfn.IFS(A306&lt;=25,"18-25", A306&lt;=35,"26-35", A306&lt;=45,"36-45", A306&lt;=55,"46-55", A306&lt;=64,"56-64")</f>
        <v>56-64</v>
      </c>
      <c r="C306" t="s">
        <v>7</v>
      </c>
      <c r="D306">
        <v>38</v>
      </c>
      <c r="E306">
        <v>2</v>
      </c>
      <c r="F306" t="s">
        <v>11</v>
      </c>
      <c r="G306" t="s">
        <v>52</v>
      </c>
      <c r="H306" s="2">
        <v>12646.207</v>
      </c>
      <c r="I306" s="2">
        <f t="shared" si="28"/>
        <v>4215.4023333333334</v>
      </c>
      <c r="J306" t="str">
        <f t="shared" si="29"/>
        <v>Low</v>
      </c>
      <c r="K306" s="1">
        <f t="shared" si="30"/>
        <v>0.66200000000000003</v>
      </c>
      <c r="L306" t="str">
        <f t="shared" si="31"/>
        <v>Obese</v>
      </c>
      <c r="M306" t="str">
        <f t="shared" si="32"/>
        <v>Standard</v>
      </c>
      <c r="N306" t="str">
        <f t="shared" si="33"/>
        <v>Tier 3</v>
      </c>
      <c r="O306">
        <f t="shared" si="34"/>
        <v>2</v>
      </c>
    </row>
    <row r="307" spans="1:15" x14ac:dyDescent="0.2">
      <c r="A307">
        <v>29</v>
      </c>
      <c r="B307" t="str" cm="1">
        <f t="array" ref="B307">_xlfn.IFS(A307&lt;=25,"18-25", A307&lt;=35,"26-35", A307&lt;=45,"36-45", A307&lt;=55,"46-55", A307&lt;=64,"56-64")</f>
        <v>26-35</v>
      </c>
      <c r="C307" t="s">
        <v>10</v>
      </c>
      <c r="D307">
        <v>33.344999999999999</v>
      </c>
      <c r="E307">
        <v>2</v>
      </c>
      <c r="F307" t="s">
        <v>11</v>
      </c>
      <c r="G307" t="s">
        <v>54</v>
      </c>
      <c r="H307" s="2">
        <v>19442.353500000001</v>
      </c>
      <c r="I307" s="2">
        <f t="shared" si="28"/>
        <v>6480.7845000000007</v>
      </c>
      <c r="J307" t="str">
        <f t="shared" si="29"/>
        <v>High</v>
      </c>
      <c r="K307" s="1">
        <f t="shared" si="30"/>
        <v>0.78600000000000003</v>
      </c>
      <c r="L307" t="str">
        <f t="shared" si="31"/>
        <v>Obese</v>
      </c>
      <c r="M307" t="str">
        <f t="shared" si="32"/>
        <v>Standard</v>
      </c>
      <c r="N307" t="str">
        <f t="shared" si="33"/>
        <v>Tier 4</v>
      </c>
      <c r="O307">
        <f t="shared" si="34"/>
        <v>2</v>
      </c>
    </row>
    <row r="308" spans="1:15" x14ac:dyDescent="0.2">
      <c r="A308">
        <v>28</v>
      </c>
      <c r="B308" t="str" cm="1">
        <f t="array" ref="B308">_xlfn.IFS(A308&lt;=25,"18-25", A308&lt;=35,"26-35", A308&lt;=45,"36-45", A308&lt;=55,"46-55", A308&lt;=64,"56-64")</f>
        <v>26-35</v>
      </c>
      <c r="C308" t="s">
        <v>7</v>
      </c>
      <c r="D308">
        <v>27.5</v>
      </c>
      <c r="E308">
        <v>2</v>
      </c>
      <c r="F308" t="s">
        <v>11</v>
      </c>
      <c r="G308" t="s">
        <v>52</v>
      </c>
      <c r="H308" s="2">
        <v>20177.671129999999</v>
      </c>
      <c r="I308" s="2">
        <f t="shared" si="28"/>
        <v>6725.8903766666663</v>
      </c>
      <c r="J308" t="str">
        <f t="shared" si="29"/>
        <v>High</v>
      </c>
      <c r="K308" s="1">
        <f t="shared" si="30"/>
        <v>0.79800000000000004</v>
      </c>
      <c r="L308" t="str">
        <f t="shared" si="31"/>
        <v>Overweight</v>
      </c>
      <c r="M308" t="str">
        <f t="shared" si="32"/>
        <v>Standard</v>
      </c>
      <c r="N308" t="str">
        <f t="shared" si="33"/>
        <v>Tier 3</v>
      </c>
      <c r="O308">
        <f t="shared" si="34"/>
        <v>1</v>
      </c>
    </row>
    <row r="309" spans="1:15" x14ac:dyDescent="0.2">
      <c r="A309">
        <v>30</v>
      </c>
      <c r="B309" t="str" cm="1">
        <f t="array" ref="B309">_xlfn.IFS(A309&lt;=25,"18-25", A309&lt;=35,"26-35", A309&lt;=45,"36-45", A309&lt;=55,"46-55", A309&lt;=64,"56-64")</f>
        <v>26-35</v>
      </c>
      <c r="C309" t="s">
        <v>7</v>
      </c>
      <c r="D309">
        <v>33.33</v>
      </c>
      <c r="E309">
        <v>1</v>
      </c>
      <c r="F309" t="s">
        <v>11</v>
      </c>
      <c r="G309" t="s">
        <v>51</v>
      </c>
      <c r="H309" s="2">
        <v>4151.0286999999998</v>
      </c>
      <c r="I309" s="2">
        <f t="shared" si="28"/>
        <v>2075.5143499999999</v>
      </c>
      <c r="J309" t="str">
        <f t="shared" si="29"/>
        <v>Low</v>
      </c>
      <c r="K309" s="1">
        <f t="shared" si="30"/>
        <v>0.20899999999999999</v>
      </c>
      <c r="L309" t="str">
        <f t="shared" si="31"/>
        <v>Obese</v>
      </c>
      <c r="M309" t="str">
        <f t="shared" si="32"/>
        <v>Standard</v>
      </c>
      <c r="N309" t="str">
        <f t="shared" si="33"/>
        <v>Tier 1</v>
      </c>
      <c r="O309">
        <f t="shared" si="34"/>
        <v>3</v>
      </c>
    </row>
    <row r="310" spans="1:15" x14ac:dyDescent="0.2">
      <c r="A310">
        <v>58</v>
      </c>
      <c r="B310" t="str" cm="1">
        <f t="array" ref="B310">_xlfn.IFS(A310&lt;=25,"18-25", A310&lt;=35,"26-35", A310&lt;=45,"36-45", A310&lt;=55,"46-55", A310&lt;=64,"56-64")</f>
        <v>56-64</v>
      </c>
      <c r="C310" t="s">
        <v>10</v>
      </c>
      <c r="D310">
        <v>34.865000000000002</v>
      </c>
      <c r="E310">
        <v>0</v>
      </c>
      <c r="F310" t="s">
        <v>11</v>
      </c>
      <c r="G310" t="s">
        <v>53</v>
      </c>
      <c r="H310" s="2">
        <v>11944.594349999999</v>
      </c>
      <c r="I310" s="2">
        <f t="shared" si="28"/>
        <v>11944.594349999999</v>
      </c>
      <c r="J310" t="str">
        <f t="shared" si="29"/>
        <v>Low</v>
      </c>
      <c r="K310" s="1">
        <f t="shared" si="30"/>
        <v>0.629</v>
      </c>
      <c r="L310" t="str">
        <f t="shared" si="31"/>
        <v>Obese</v>
      </c>
      <c r="M310" t="str">
        <f t="shared" si="32"/>
        <v>Standard</v>
      </c>
      <c r="N310" t="str">
        <f t="shared" si="33"/>
        <v>Tier 2</v>
      </c>
      <c r="O310">
        <f t="shared" si="34"/>
        <v>2</v>
      </c>
    </row>
    <row r="311" spans="1:15" x14ac:dyDescent="0.2">
      <c r="A311">
        <v>41</v>
      </c>
      <c r="B311" t="str" cm="1">
        <f t="array" ref="B311">_xlfn.IFS(A311&lt;=25,"18-25", A311&lt;=35,"26-35", A311&lt;=45,"36-45", A311&lt;=55,"46-55", A311&lt;=64,"56-64")</f>
        <v>36-45</v>
      </c>
      <c r="C311" t="s">
        <v>7</v>
      </c>
      <c r="D311">
        <v>33.06</v>
      </c>
      <c r="E311">
        <v>2</v>
      </c>
      <c r="F311" t="s">
        <v>11</v>
      </c>
      <c r="G311" t="s">
        <v>54</v>
      </c>
      <c r="H311" s="2">
        <v>7749.1563999999998</v>
      </c>
      <c r="I311" s="2">
        <f t="shared" si="28"/>
        <v>2583.0521333333331</v>
      </c>
      <c r="J311" t="str">
        <f t="shared" si="29"/>
        <v>Low</v>
      </c>
      <c r="K311" s="1">
        <f t="shared" si="30"/>
        <v>0.42099999999999999</v>
      </c>
      <c r="L311" t="str">
        <f t="shared" si="31"/>
        <v>Obese</v>
      </c>
      <c r="M311" t="str">
        <f t="shared" si="32"/>
        <v>Standard</v>
      </c>
      <c r="N311" t="str">
        <f t="shared" si="33"/>
        <v>Tier 4</v>
      </c>
      <c r="O311">
        <f t="shared" si="34"/>
        <v>2</v>
      </c>
    </row>
    <row r="312" spans="1:15" x14ac:dyDescent="0.2">
      <c r="A312">
        <v>50</v>
      </c>
      <c r="B312" t="str" cm="1">
        <f t="array" ref="B312">_xlfn.IFS(A312&lt;=25,"18-25", A312&lt;=35,"26-35", A312&lt;=45,"36-45", A312&lt;=55,"46-55", A312&lt;=64,"56-64")</f>
        <v>46-55</v>
      </c>
      <c r="C312" t="s">
        <v>10</v>
      </c>
      <c r="D312">
        <v>26.6</v>
      </c>
      <c r="E312">
        <v>0</v>
      </c>
      <c r="F312" t="s">
        <v>11</v>
      </c>
      <c r="G312" t="s">
        <v>52</v>
      </c>
      <c r="H312" s="2">
        <v>8444.4740000000002</v>
      </c>
      <c r="I312" s="2">
        <f t="shared" si="28"/>
        <v>8444.4740000000002</v>
      </c>
      <c r="J312" t="str">
        <f t="shared" si="29"/>
        <v>Low</v>
      </c>
      <c r="K312" s="1">
        <f t="shared" si="30"/>
        <v>0.45100000000000001</v>
      </c>
      <c r="L312" t="str">
        <f t="shared" si="31"/>
        <v>Overweight</v>
      </c>
      <c r="M312" t="str">
        <f t="shared" si="32"/>
        <v>Standard</v>
      </c>
      <c r="N312" t="str">
        <f t="shared" si="33"/>
        <v>Tier 3</v>
      </c>
      <c r="O312">
        <f t="shared" si="34"/>
        <v>1</v>
      </c>
    </row>
    <row r="313" spans="1:15" x14ac:dyDescent="0.2">
      <c r="A313">
        <v>19</v>
      </c>
      <c r="B313" t="str" cm="1">
        <f t="array" ref="B313">_xlfn.IFS(A313&lt;=25,"18-25", A313&lt;=35,"26-35", A313&lt;=45,"36-45", A313&lt;=55,"46-55", A313&lt;=64,"56-64")</f>
        <v>18-25</v>
      </c>
      <c r="C313" t="s">
        <v>7</v>
      </c>
      <c r="D313">
        <v>24.7</v>
      </c>
      <c r="E313">
        <v>0</v>
      </c>
      <c r="F313" t="s">
        <v>11</v>
      </c>
      <c r="G313" t="s">
        <v>52</v>
      </c>
      <c r="H313" s="2">
        <v>1737.376</v>
      </c>
      <c r="I313" s="2">
        <f t="shared" si="28"/>
        <v>1737.376</v>
      </c>
      <c r="J313" t="str">
        <f t="shared" si="29"/>
        <v>Low</v>
      </c>
      <c r="K313" s="1">
        <f t="shared" si="30"/>
        <v>4.7E-2</v>
      </c>
      <c r="L313" t="str">
        <f t="shared" si="31"/>
        <v>Normal</v>
      </c>
      <c r="M313" t="str">
        <f t="shared" si="32"/>
        <v>Standard</v>
      </c>
      <c r="N313" t="str">
        <f t="shared" si="33"/>
        <v>Tier 3</v>
      </c>
      <c r="O313">
        <f t="shared" si="34"/>
        <v>0</v>
      </c>
    </row>
    <row r="314" spans="1:15" x14ac:dyDescent="0.2">
      <c r="A314">
        <v>43</v>
      </c>
      <c r="B314" t="str" cm="1">
        <f t="array" ref="B314">_xlfn.IFS(A314&lt;=25,"18-25", A314&lt;=35,"26-35", A314&lt;=45,"36-45", A314&lt;=55,"46-55", A314&lt;=64,"56-64")</f>
        <v>36-45</v>
      </c>
      <c r="C314" t="s">
        <v>10</v>
      </c>
      <c r="D314">
        <v>35.97</v>
      </c>
      <c r="E314">
        <v>3</v>
      </c>
      <c r="F314" t="s">
        <v>8</v>
      </c>
      <c r="G314" t="s">
        <v>51</v>
      </c>
      <c r="H314" s="2">
        <v>42124.515299999999</v>
      </c>
      <c r="I314" s="2">
        <f t="shared" si="28"/>
        <v>10531.128825</v>
      </c>
      <c r="J314" t="str">
        <f t="shared" si="29"/>
        <v>High</v>
      </c>
      <c r="K314" s="1">
        <f t="shared" si="30"/>
        <v>0.95499999999999996</v>
      </c>
      <c r="L314" t="str">
        <f t="shared" si="31"/>
        <v>Obese</v>
      </c>
      <c r="M314" t="str">
        <f t="shared" si="32"/>
        <v>High Risk</v>
      </c>
      <c r="N314" t="str">
        <f t="shared" si="33"/>
        <v>Tier 1</v>
      </c>
      <c r="O314">
        <f t="shared" si="34"/>
        <v>6</v>
      </c>
    </row>
    <row r="315" spans="1:15" x14ac:dyDescent="0.2">
      <c r="A315">
        <v>49</v>
      </c>
      <c r="B315" t="str" cm="1">
        <f t="array" ref="B315">_xlfn.IFS(A315&lt;=25,"18-25", A315&lt;=35,"26-35", A315&lt;=45,"36-45", A315&lt;=55,"46-55", A315&lt;=64,"56-64")</f>
        <v>46-55</v>
      </c>
      <c r="C315" t="s">
        <v>10</v>
      </c>
      <c r="D315">
        <v>35.86</v>
      </c>
      <c r="E315">
        <v>0</v>
      </c>
      <c r="F315" t="s">
        <v>11</v>
      </c>
      <c r="G315" t="s">
        <v>51</v>
      </c>
      <c r="H315" s="2">
        <v>8124.4084000000003</v>
      </c>
      <c r="I315" s="2">
        <f t="shared" si="28"/>
        <v>8124.4084000000003</v>
      </c>
      <c r="J315" t="str">
        <f t="shared" si="29"/>
        <v>Low</v>
      </c>
      <c r="K315" s="1">
        <f t="shared" si="30"/>
        <v>0.433</v>
      </c>
      <c r="L315" t="str">
        <f t="shared" si="31"/>
        <v>Obese</v>
      </c>
      <c r="M315" t="str">
        <f t="shared" si="32"/>
        <v>Standard</v>
      </c>
      <c r="N315" t="str">
        <f t="shared" si="33"/>
        <v>Tier 1</v>
      </c>
      <c r="O315">
        <f t="shared" si="34"/>
        <v>3</v>
      </c>
    </row>
    <row r="316" spans="1:15" x14ac:dyDescent="0.2">
      <c r="A316">
        <v>27</v>
      </c>
      <c r="B316" t="str" cm="1">
        <f t="array" ref="B316">_xlfn.IFS(A316&lt;=25,"18-25", A316&lt;=35,"26-35", A316&lt;=45,"36-45", A316&lt;=55,"46-55", A316&lt;=64,"56-64")</f>
        <v>26-35</v>
      </c>
      <c r="C316" t="s">
        <v>7</v>
      </c>
      <c r="D316">
        <v>31.4</v>
      </c>
      <c r="E316">
        <v>0</v>
      </c>
      <c r="F316" t="s">
        <v>8</v>
      </c>
      <c r="G316" t="s">
        <v>52</v>
      </c>
      <c r="H316" s="2">
        <v>34838.873</v>
      </c>
      <c r="I316" s="2">
        <f t="shared" si="28"/>
        <v>34838.873</v>
      </c>
      <c r="J316" t="str">
        <f t="shared" si="29"/>
        <v>High</v>
      </c>
      <c r="K316" s="1">
        <f t="shared" si="30"/>
        <v>0.9</v>
      </c>
      <c r="L316" t="str">
        <f t="shared" si="31"/>
        <v>Obese</v>
      </c>
      <c r="M316" t="str">
        <f t="shared" si="32"/>
        <v>High Risk</v>
      </c>
      <c r="N316" t="str">
        <f t="shared" si="33"/>
        <v>Tier 3</v>
      </c>
      <c r="O316">
        <f t="shared" si="34"/>
        <v>5</v>
      </c>
    </row>
    <row r="317" spans="1:15" x14ac:dyDescent="0.2">
      <c r="A317">
        <v>52</v>
      </c>
      <c r="B317" t="str" cm="1">
        <f t="array" ref="B317">_xlfn.IFS(A317&lt;=25,"18-25", A317&lt;=35,"26-35", A317&lt;=45,"36-45", A317&lt;=55,"46-55", A317&lt;=64,"56-64")</f>
        <v>46-55</v>
      </c>
      <c r="C317" t="s">
        <v>10</v>
      </c>
      <c r="D317">
        <v>33.25</v>
      </c>
      <c r="E317">
        <v>0</v>
      </c>
      <c r="F317" t="s">
        <v>11</v>
      </c>
      <c r="G317" t="s">
        <v>53</v>
      </c>
      <c r="H317" s="2">
        <v>9722.7695000000003</v>
      </c>
      <c r="I317" s="2">
        <f t="shared" si="28"/>
        <v>9722.7695000000003</v>
      </c>
      <c r="J317" t="str">
        <f t="shared" si="29"/>
        <v>Low</v>
      </c>
      <c r="K317" s="1">
        <f t="shared" si="30"/>
        <v>0.51700000000000002</v>
      </c>
      <c r="L317" t="str">
        <f t="shared" si="31"/>
        <v>Obese</v>
      </c>
      <c r="M317" t="str">
        <f t="shared" si="32"/>
        <v>Standard</v>
      </c>
      <c r="N317" t="str">
        <f t="shared" si="33"/>
        <v>Tier 2</v>
      </c>
      <c r="O317">
        <f t="shared" si="34"/>
        <v>2</v>
      </c>
    </row>
    <row r="318" spans="1:15" x14ac:dyDescent="0.2">
      <c r="A318">
        <v>50</v>
      </c>
      <c r="B318" t="str" cm="1">
        <f t="array" ref="B318">_xlfn.IFS(A318&lt;=25,"18-25", A318&lt;=35,"26-35", A318&lt;=45,"36-45", A318&lt;=55,"46-55", A318&lt;=64,"56-64")</f>
        <v>46-55</v>
      </c>
      <c r="C318" t="s">
        <v>10</v>
      </c>
      <c r="D318">
        <v>32.204999999999998</v>
      </c>
      <c r="E318">
        <v>0</v>
      </c>
      <c r="F318" t="s">
        <v>11</v>
      </c>
      <c r="G318" t="s">
        <v>54</v>
      </c>
      <c r="H318" s="2">
        <v>8835.2649500000007</v>
      </c>
      <c r="I318" s="2">
        <f t="shared" si="28"/>
        <v>8835.2649500000007</v>
      </c>
      <c r="J318" t="str">
        <f t="shared" si="29"/>
        <v>Low</v>
      </c>
      <c r="K318" s="1">
        <f t="shared" si="30"/>
        <v>0.47599999999999998</v>
      </c>
      <c r="L318" t="str">
        <f t="shared" si="31"/>
        <v>Obese</v>
      </c>
      <c r="M318" t="str">
        <f t="shared" si="32"/>
        <v>Standard</v>
      </c>
      <c r="N318" t="str">
        <f t="shared" si="33"/>
        <v>Tier 4</v>
      </c>
      <c r="O318">
        <f t="shared" si="34"/>
        <v>2</v>
      </c>
    </row>
    <row r="319" spans="1:15" x14ac:dyDescent="0.2">
      <c r="A319">
        <v>54</v>
      </c>
      <c r="B319" t="str" cm="1">
        <f t="array" ref="B319">_xlfn.IFS(A319&lt;=25,"18-25", A319&lt;=35,"26-35", A319&lt;=45,"36-45", A319&lt;=55,"46-55", A319&lt;=64,"56-64")</f>
        <v>46-55</v>
      </c>
      <c r="C319" t="s">
        <v>10</v>
      </c>
      <c r="D319">
        <v>32.774999999999999</v>
      </c>
      <c r="E319">
        <v>0</v>
      </c>
      <c r="F319" t="s">
        <v>11</v>
      </c>
      <c r="G319" t="s">
        <v>53</v>
      </c>
      <c r="H319" s="2">
        <v>10435.06525</v>
      </c>
      <c r="I319" s="2">
        <f t="shared" si="28"/>
        <v>10435.06525</v>
      </c>
      <c r="J319" t="str">
        <f t="shared" si="29"/>
        <v>Low</v>
      </c>
      <c r="K319" s="1">
        <f t="shared" si="30"/>
        <v>0.55000000000000004</v>
      </c>
      <c r="L319" t="str">
        <f t="shared" si="31"/>
        <v>Obese</v>
      </c>
      <c r="M319" t="str">
        <f t="shared" si="32"/>
        <v>Standard</v>
      </c>
      <c r="N319" t="str">
        <f t="shared" si="33"/>
        <v>Tier 2</v>
      </c>
      <c r="O319">
        <f t="shared" si="34"/>
        <v>2</v>
      </c>
    </row>
    <row r="320" spans="1:15" x14ac:dyDescent="0.2">
      <c r="A320">
        <v>44</v>
      </c>
      <c r="B320" t="str" cm="1">
        <f t="array" ref="B320">_xlfn.IFS(A320&lt;=25,"18-25", A320&lt;=35,"26-35", A320&lt;=45,"36-45", A320&lt;=55,"46-55", A320&lt;=64,"56-64")</f>
        <v>36-45</v>
      </c>
      <c r="C320" t="s">
        <v>7</v>
      </c>
      <c r="D320">
        <v>27.645</v>
      </c>
      <c r="E320">
        <v>0</v>
      </c>
      <c r="F320" t="s">
        <v>11</v>
      </c>
      <c r="G320" t="s">
        <v>54</v>
      </c>
      <c r="H320" s="2">
        <v>7421.1945500000002</v>
      </c>
      <c r="I320" s="2">
        <f t="shared" si="28"/>
        <v>7421.1945500000002</v>
      </c>
      <c r="J320" t="str">
        <f t="shared" si="29"/>
        <v>Low</v>
      </c>
      <c r="K320" s="1">
        <f t="shared" si="30"/>
        <v>0.40200000000000002</v>
      </c>
      <c r="L320" t="str">
        <f t="shared" si="31"/>
        <v>Overweight</v>
      </c>
      <c r="M320" t="str">
        <f t="shared" si="32"/>
        <v>Standard</v>
      </c>
      <c r="N320" t="str">
        <f t="shared" si="33"/>
        <v>Tier 4</v>
      </c>
      <c r="O320">
        <f t="shared" si="34"/>
        <v>1</v>
      </c>
    </row>
    <row r="321" spans="1:15" x14ac:dyDescent="0.2">
      <c r="A321">
        <v>32</v>
      </c>
      <c r="B321" t="str" cm="1">
        <f t="array" ref="B321">_xlfn.IFS(A321&lt;=25,"18-25", A321&lt;=35,"26-35", A321&lt;=45,"36-45", A321&lt;=55,"46-55", A321&lt;=64,"56-64")</f>
        <v>26-35</v>
      </c>
      <c r="C321" t="s">
        <v>10</v>
      </c>
      <c r="D321">
        <v>37.335000000000001</v>
      </c>
      <c r="E321">
        <v>1</v>
      </c>
      <c r="F321" t="s">
        <v>11</v>
      </c>
      <c r="G321" t="s">
        <v>53</v>
      </c>
      <c r="H321" s="2">
        <v>4667.6076499999999</v>
      </c>
      <c r="I321" s="2">
        <f t="shared" si="28"/>
        <v>2333.803825</v>
      </c>
      <c r="J321" t="str">
        <f t="shared" si="29"/>
        <v>Low</v>
      </c>
      <c r="K321" s="1">
        <f t="shared" si="30"/>
        <v>0.24299999999999999</v>
      </c>
      <c r="L321" t="str">
        <f t="shared" si="31"/>
        <v>Obese</v>
      </c>
      <c r="M321" t="str">
        <f t="shared" si="32"/>
        <v>Standard</v>
      </c>
      <c r="N321" t="str">
        <f t="shared" si="33"/>
        <v>Tier 2</v>
      </c>
      <c r="O321">
        <f t="shared" si="34"/>
        <v>2</v>
      </c>
    </row>
    <row r="322" spans="1:15" x14ac:dyDescent="0.2">
      <c r="A322">
        <v>34</v>
      </c>
      <c r="B322" t="str" cm="1">
        <f t="array" ref="B322">_xlfn.IFS(A322&lt;=25,"18-25", A322&lt;=35,"26-35", A322&lt;=45,"36-45", A322&lt;=55,"46-55", A322&lt;=64,"56-64")</f>
        <v>26-35</v>
      </c>
      <c r="C322" t="s">
        <v>10</v>
      </c>
      <c r="D322">
        <v>25.27</v>
      </c>
      <c r="E322">
        <v>1</v>
      </c>
      <c r="F322" t="s">
        <v>11</v>
      </c>
      <c r="G322" t="s">
        <v>54</v>
      </c>
      <c r="H322" s="2">
        <v>4894.7533000000003</v>
      </c>
      <c r="I322" s="2">
        <f t="shared" ref="I322:I385" si="35">H322/(E322+1)</f>
        <v>2447.3766500000002</v>
      </c>
      <c r="J322" t="str">
        <f t="shared" ref="J322:J385" si="36">IF(H322&gt;AVERAGE($H$2:$H$1339),"High","Low")</f>
        <v>Low</v>
      </c>
      <c r="K322" s="1">
        <f t="shared" ref="K322:K385" si="37">PERCENTRANK($H$2:$H$1339,H322)</f>
        <v>0.26200000000000001</v>
      </c>
      <c r="L322" t="str">
        <f t="shared" ref="L322:L385" si="38">IF(D322&lt;18.5,"Underweight",IF(D322&lt;25,"Normal",IF(D322&lt;30,"Overweight","Obese")))</f>
        <v>Overweight</v>
      </c>
      <c r="M322" t="str">
        <f t="shared" ref="M322:M385" si="39">IF(F322="yes","High Risk","Standard")</f>
        <v>Standard</v>
      </c>
      <c r="N322" t="str">
        <f t="shared" ref="N322:N385" si="40">IF(G322="southeast","Tier 1",IF(G322="northeast","Tier 2",IF(G322="southwest","Tier 3","Tier 4")))</f>
        <v>Tier 4</v>
      </c>
      <c r="O322">
        <f t="shared" ref="O322:O385" si="41">IF(F322="yes",3,0)+IF(D322&gt;=30,2,IF(D322&gt;=25,1,0))+IF(G322="southeast",1,0)</f>
        <v>1</v>
      </c>
    </row>
    <row r="323" spans="1:15" x14ac:dyDescent="0.2">
      <c r="A323">
        <v>26</v>
      </c>
      <c r="B323" t="str" cm="1">
        <f t="array" ref="B323">_xlfn.IFS(A323&lt;=25,"18-25", A323&lt;=35,"26-35", A323&lt;=45,"36-45", A323&lt;=55,"46-55", A323&lt;=64,"56-64")</f>
        <v>26-35</v>
      </c>
      <c r="C323" t="s">
        <v>7</v>
      </c>
      <c r="D323">
        <v>29.64</v>
      </c>
      <c r="E323">
        <v>4</v>
      </c>
      <c r="F323" t="s">
        <v>11</v>
      </c>
      <c r="G323" t="s">
        <v>53</v>
      </c>
      <c r="H323" s="2">
        <v>24671.663339999999</v>
      </c>
      <c r="I323" s="2">
        <f t="shared" si="35"/>
        <v>4934.332668</v>
      </c>
      <c r="J323" t="str">
        <f t="shared" si="36"/>
        <v>High</v>
      </c>
      <c r="K323" s="1">
        <f t="shared" si="37"/>
        <v>0.84599999999999997</v>
      </c>
      <c r="L323" t="str">
        <f t="shared" si="38"/>
        <v>Overweight</v>
      </c>
      <c r="M323" t="str">
        <f t="shared" si="39"/>
        <v>Standard</v>
      </c>
      <c r="N323" t="str">
        <f t="shared" si="40"/>
        <v>Tier 2</v>
      </c>
      <c r="O323">
        <f t="shared" si="41"/>
        <v>1</v>
      </c>
    </row>
    <row r="324" spans="1:15" x14ac:dyDescent="0.2">
      <c r="A324">
        <v>34</v>
      </c>
      <c r="B324" t="str" cm="1">
        <f t="array" ref="B324">_xlfn.IFS(A324&lt;=25,"18-25", A324&lt;=35,"26-35", A324&lt;=45,"36-45", A324&lt;=55,"46-55", A324&lt;=64,"56-64")</f>
        <v>26-35</v>
      </c>
      <c r="C324" t="s">
        <v>10</v>
      </c>
      <c r="D324">
        <v>30.8</v>
      </c>
      <c r="E324">
        <v>0</v>
      </c>
      <c r="F324" t="s">
        <v>8</v>
      </c>
      <c r="G324" t="s">
        <v>52</v>
      </c>
      <c r="H324" s="2">
        <v>35491.64</v>
      </c>
      <c r="I324" s="2">
        <f t="shared" si="35"/>
        <v>35491.64</v>
      </c>
      <c r="J324" t="str">
        <f t="shared" si="36"/>
        <v>High</v>
      </c>
      <c r="K324" s="1">
        <f t="shared" si="37"/>
        <v>0.90300000000000002</v>
      </c>
      <c r="L324" t="str">
        <f t="shared" si="38"/>
        <v>Obese</v>
      </c>
      <c r="M324" t="str">
        <f t="shared" si="39"/>
        <v>High Risk</v>
      </c>
      <c r="N324" t="str">
        <f t="shared" si="40"/>
        <v>Tier 3</v>
      </c>
      <c r="O324">
        <f t="shared" si="41"/>
        <v>5</v>
      </c>
    </row>
    <row r="325" spans="1:15" x14ac:dyDescent="0.2">
      <c r="A325">
        <v>57</v>
      </c>
      <c r="B325" t="str" cm="1">
        <f t="array" ref="B325">_xlfn.IFS(A325&lt;=25,"18-25", A325&lt;=35,"26-35", A325&lt;=45,"36-45", A325&lt;=55,"46-55", A325&lt;=64,"56-64")</f>
        <v>56-64</v>
      </c>
      <c r="C325" t="s">
        <v>10</v>
      </c>
      <c r="D325">
        <v>40.945</v>
      </c>
      <c r="E325">
        <v>0</v>
      </c>
      <c r="F325" t="s">
        <v>11</v>
      </c>
      <c r="G325" t="s">
        <v>53</v>
      </c>
      <c r="H325" s="2">
        <v>11566.30055</v>
      </c>
      <c r="I325" s="2">
        <f t="shared" si="35"/>
        <v>11566.30055</v>
      </c>
      <c r="J325" t="str">
        <f t="shared" si="36"/>
        <v>Low</v>
      </c>
      <c r="K325" s="1">
        <f t="shared" si="37"/>
        <v>0.60899999999999999</v>
      </c>
      <c r="L325" t="str">
        <f t="shared" si="38"/>
        <v>Obese</v>
      </c>
      <c r="M325" t="str">
        <f t="shared" si="39"/>
        <v>Standard</v>
      </c>
      <c r="N325" t="str">
        <f t="shared" si="40"/>
        <v>Tier 2</v>
      </c>
      <c r="O325">
        <f t="shared" si="41"/>
        <v>2</v>
      </c>
    </row>
    <row r="326" spans="1:15" x14ac:dyDescent="0.2">
      <c r="A326">
        <v>29</v>
      </c>
      <c r="B326" t="str" cm="1">
        <f t="array" ref="B326">_xlfn.IFS(A326&lt;=25,"18-25", A326&lt;=35,"26-35", A326&lt;=45,"36-45", A326&lt;=55,"46-55", A326&lt;=64,"56-64")</f>
        <v>26-35</v>
      </c>
      <c r="C326" t="s">
        <v>10</v>
      </c>
      <c r="D326">
        <v>27.2</v>
      </c>
      <c r="E326">
        <v>0</v>
      </c>
      <c r="F326" t="s">
        <v>11</v>
      </c>
      <c r="G326" t="s">
        <v>52</v>
      </c>
      <c r="H326" s="2">
        <v>2866.0909999999999</v>
      </c>
      <c r="I326" s="2">
        <f t="shared" si="35"/>
        <v>2866.0909999999999</v>
      </c>
      <c r="J326" t="str">
        <f t="shared" si="36"/>
        <v>Low</v>
      </c>
      <c r="K326" s="1">
        <f t="shared" si="37"/>
        <v>0.13600000000000001</v>
      </c>
      <c r="L326" t="str">
        <f t="shared" si="38"/>
        <v>Overweight</v>
      </c>
      <c r="M326" t="str">
        <f t="shared" si="39"/>
        <v>Standard</v>
      </c>
      <c r="N326" t="str">
        <f t="shared" si="40"/>
        <v>Tier 3</v>
      </c>
      <c r="O326">
        <f t="shared" si="41"/>
        <v>1</v>
      </c>
    </row>
    <row r="327" spans="1:15" x14ac:dyDescent="0.2">
      <c r="A327">
        <v>40</v>
      </c>
      <c r="B327" t="str" cm="1">
        <f t="array" ref="B327">_xlfn.IFS(A327&lt;=25,"18-25", A327&lt;=35,"26-35", A327&lt;=45,"36-45", A327&lt;=55,"46-55", A327&lt;=64,"56-64")</f>
        <v>36-45</v>
      </c>
      <c r="C327" t="s">
        <v>10</v>
      </c>
      <c r="D327">
        <v>34.104999999999997</v>
      </c>
      <c r="E327">
        <v>1</v>
      </c>
      <c r="F327" t="s">
        <v>11</v>
      </c>
      <c r="G327" t="s">
        <v>53</v>
      </c>
      <c r="H327" s="2">
        <v>6600.2059499999996</v>
      </c>
      <c r="I327" s="2">
        <f t="shared" si="35"/>
        <v>3300.1029749999998</v>
      </c>
      <c r="J327" t="str">
        <f t="shared" si="36"/>
        <v>Low</v>
      </c>
      <c r="K327" s="1">
        <f t="shared" si="37"/>
        <v>0.35399999999999998</v>
      </c>
      <c r="L327" t="str">
        <f t="shared" si="38"/>
        <v>Obese</v>
      </c>
      <c r="M327" t="str">
        <f t="shared" si="39"/>
        <v>Standard</v>
      </c>
      <c r="N327" t="str">
        <f t="shared" si="40"/>
        <v>Tier 2</v>
      </c>
      <c r="O327">
        <f t="shared" si="41"/>
        <v>2</v>
      </c>
    </row>
    <row r="328" spans="1:15" x14ac:dyDescent="0.2">
      <c r="A328">
        <v>27</v>
      </c>
      <c r="B328" t="str" cm="1">
        <f t="array" ref="B328">_xlfn.IFS(A328&lt;=25,"18-25", A328&lt;=35,"26-35", A328&lt;=45,"36-45", A328&lt;=55,"46-55", A328&lt;=64,"56-64")</f>
        <v>26-35</v>
      </c>
      <c r="C328" t="s">
        <v>7</v>
      </c>
      <c r="D328">
        <v>23.21</v>
      </c>
      <c r="E328">
        <v>1</v>
      </c>
      <c r="F328" t="s">
        <v>11</v>
      </c>
      <c r="G328" t="s">
        <v>51</v>
      </c>
      <c r="H328" s="2">
        <v>3561.8888999999999</v>
      </c>
      <c r="I328" s="2">
        <f t="shared" si="35"/>
        <v>1780.94445</v>
      </c>
      <c r="J328" t="str">
        <f t="shared" si="36"/>
        <v>Low</v>
      </c>
      <c r="K328" s="1">
        <f t="shared" si="37"/>
        <v>0.17599999999999999</v>
      </c>
      <c r="L328" t="str">
        <f t="shared" si="38"/>
        <v>Normal</v>
      </c>
      <c r="M328" t="str">
        <f t="shared" si="39"/>
        <v>Standard</v>
      </c>
      <c r="N328" t="str">
        <f t="shared" si="40"/>
        <v>Tier 1</v>
      </c>
      <c r="O328">
        <f t="shared" si="41"/>
        <v>1</v>
      </c>
    </row>
    <row r="329" spans="1:15" x14ac:dyDescent="0.2">
      <c r="A329">
        <v>45</v>
      </c>
      <c r="B329" t="str" cm="1">
        <f t="array" ref="B329">_xlfn.IFS(A329&lt;=25,"18-25", A329&lt;=35,"26-35", A329&lt;=45,"36-45", A329&lt;=55,"46-55", A329&lt;=64,"56-64")</f>
        <v>36-45</v>
      </c>
      <c r="C329" t="s">
        <v>10</v>
      </c>
      <c r="D329">
        <v>36.479999999999997</v>
      </c>
      <c r="E329">
        <v>2</v>
      </c>
      <c r="F329" t="s">
        <v>8</v>
      </c>
      <c r="G329" t="s">
        <v>54</v>
      </c>
      <c r="H329" s="2">
        <v>42760.502200000003</v>
      </c>
      <c r="I329" s="2">
        <f t="shared" si="35"/>
        <v>14253.500733333334</v>
      </c>
      <c r="J329" t="str">
        <f t="shared" si="36"/>
        <v>High</v>
      </c>
      <c r="K329" s="1">
        <f t="shared" si="37"/>
        <v>0.95799999999999996</v>
      </c>
      <c r="L329" t="str">
        <f t="shared" si="38"/>
        <v>Obese</v>
      </c>
      <c r="M329" t="str">
        <f t="shared" si="39"/>
        <v>High Risk</v>
      </c>
      <c r="N329" t="str">
        <f t="shared" si="40"/>
        <v>Tier 4</v>
      </c>
      <c r="O329">
        <f t="shared" si="41"/>
        <v>5</v>
      </c>
    </row>
    <row r="330" spans="1:15" x14ac:dyDescent="0.2">
      <c r="A330">
        <v>64</v>
      </c>
      <c r="B330" t="str" cm="1">
        <f t="array" ref="B330">_xlfn.IFS(A330&lt;=25,"18-25", A330&lt;=35,"26-35", A330&lt;=45,"36-45", A330&lt;=55,"46-55", A330&lt;=64,"56-64")</f>
        <v>56-64</v>
      </c>
      <c r="C330" t="s">
        <v>7</v>
      </c>
      <c r="D330">
        <v>33.799999999999997</v>
      </c>
      <c r="E330">
        <v>1</v>
      </c>
      <c r="F330" t="s">
        <v>8</v>
      </c>
      <c r="G330" t="s">
        <v>52</v>
      </c>
      <c r="H330" s="2">
        <v>47928.03</v>
      </c>
      <c r="I330" s="2">
        <f t="shared" si="35"/>
        <v>23964.014999999999</v>
      </c>
      <c r="J330" t="str">
        <f t="shared" si="36"/>
        <v>High</v>
      </c>
      <c r="K330" s="1">
        <f t="shared" si="37"/>
        <v>0.98799999999999999</v>
      </c>
      <c r="L330" t="str">
        <f t="shared" si="38"/>
        <v>Obese</v>
      </c>
      <c r="M330" t="str">
        <f t="shared" si="39"/>
        <v>High Risk</v>
      </c>
      <c r="N330" t="str">
        <f t="shared" si="40"/>
        <v>Tier 3</v>
      </c>
      <c r="O330">
        <f t="shared" si="41"/>
        <v>5</v>
      </c>
    </row>
    <row r="331" spans="1:15" x14ac:dyDescent="0.2">
      <c r="A331">
        <v>52</v>
      </c>
      <c r="B331" t="str" cm="1">
        <f t="array" ref="B331">_xlfn.IFS(A331&lt;=25,"18-25", A331&lt;=35,"26-35", A331&lt;=45,"36-45", A331&lt;=55,"46-55", A331&lt;=64,"56-64")</f>
        <v>46-55</v>
      </c>
      <c r="C331" t="s">
        <v>10</v>
      </c>
      <c r="D331">
        <v>36.700000000000003</v>
      </c>
      <c r="E331">
        <v>0</v>
      </c>
      <c r="F331" t="s">
        <v>11</v>
      </c>
      <c r="G331" t="s">
        <v>52</v>
      </c>
      <c r="H331" s="2">
        <v>9144.5650000000005</v>
      </c>
      <c r="I331" s="2">
        <f t="shared" si="35"/>
        <v>9144.5650000000005</v>
      </c>
      <c r="J331" t="str">
        <f t="shared" si="36"/>
        <v>Low</v>
      </c>
      <c r="K331" s="1">
        <f t="shared" si="37"/>
        <v>0.48799999999999999</v>
      </c>
      <c r="L331" t="str">
        <f t="shared" si="38"/>
        <v>Obese</v>
      </c>
      <c r="M331" t="str">
        <f t="shared" si="39"/>
        <v>Standard</v>
      </c>
      <c r="N331" t="str">
        <f t="shared" si="40"/>
        <v>Tier 3</v>
      </c>
      <c r="O331">
        <f t="shared" si="41"/>
        <v>2</v>
      </c>
    </row>
    <row r="332" spans="1:15" x14ac:dyDescent="0.2">
      <c r="A332">
        <v>61</v>
      </c>
      <c r="B332" t="str" cm="1">
        <f t="array" ref="B332">_xlfn.IFS(A332&lt;=25,"18-25", A332&lt;=35,"26-35", A332&lt;=45,"36-45", A332&lt;=55,"46-55", A332&lt;=64,"56-64")</f>
        <v>56-64</v>
      </c>
      <c r="C332" t="s">
        <v>7</v>
      </c>
      <c r="D332">
        <v>36.384999999999998</v>
      </c>
      <c r="E332">
        <v>1</v>
      </c>
      <c r="F332" t="s">
        <v>8</v>
      </c>
      <c r="G332" t="s">
        <v>53</v>
      </c>
      <c r="H332" s="2">
        <v>48517.563150000002</v>
      </c>
      <c r="I332" s="2">
        <f t="shared" si="35"/>
        <v>24258.781575000001</v>
      </c>
      <c r="J332" t="str">
        <f t="shared" si="36"/>
        <v>High</v>
      </c>
      <c r="K332" s="1">
        <f t="shared" si="37"/>
        <v>0.98899999999999999</v>
      </c>
      <c r="L332" t="str">
        <f t="shared" si="38"/>
        <v>Obese</v>
      </c>
      <c r="M332" t="str">
        <f t="shared" si="39"/>
        <v>High Risk</v>
      </c>
      <c r="N332" t="str">
        <f t="shared" si="40"/>
        <v>Tier 2</v>
      </c>
      <c r="O332">
        <f t="shared" si="41"/>
        <v>5</v>
      </c>
    </row>
    <row r="333" spans="1:15" x14ac:dyDescent="0.2">
      <c r="A333">
        <v>52</v>
      </c>
      <c r="B333" t="str" cm="1">
        <f t="array" ref="B333">_xlfn.IFS(A333&lt;=25,"18-25", A333&lt;=35,"26-35", A333&lt;=45,"36-45", A333&lt;=55,"46-55", A333&lt;=64,"56-64")</f>
        <v>46-55</v>
      </c>
      <c r="C333" t="s">
        <v>10</v>
      </c>
      <c r="D333">
        <v>27.36</v>
      </c>
      <c r="E333">
        <v>0</v>
      </c>
      <c r="F333" t="s">
        <v>8</v>
      </c>
      <c r="G333" t="s">
        <v>54</v>
      </c>
      <c r="H333" s="2">
        <v>24393.6224</v>
      </c>
      <c r="I333" s="2">
        <f t="shared" si="35"/>
        <v>24393.6224</v>
      </c>
      <c r="J333" t="str">
        <f t="shared" si="36"/>
        <v>High</v>
      </c>
      <c r="K333" s="1">
        <f t="shared" si="37"/>
        <v>0.84099999999999997</v>
      </c>
      <c r="L333" t="str">
        <f t="shared" si="38"/>
        <v>Overweight</v>
      </c>
      <c r="M333" t="str">
        <f t="shared" si="39"/>
        <v>High Risk</v>
      </c>
      <c r="N333" t="str">
        <f t="shared" si="40"/>
        <v>Tier 4</v>
      </c>
      <c r="O333">
        <f t="shared" si="41"/>
        <v>4</v>
      </c>
    </row>
    <row r="334" spans="1:15" x14ac:dyDescent="0.2">
      <c r="A334">
        <v>61</v>
      </c>
      <c r="B334" t="str" cm="1">
        <f t="array" ref="B334">_xlfn.IFS(A334&lt;=25,"18-25", A334&lt;=35,"26-35", A334&lt;=45,"36-45", A334&lt;=55,"46-55", A334&lt;=64,"56-64")</f>
        <v>56-64</v>
      </c>
      <c r="C334" t="s">
        <v>7</v>
      </c>
      <c r="D334">
        <v>31.16</v>
      </c>
      <c r="E334">
        <v>0</v>
      </c>
      <c r="F334" t="s">
        <v>11</v>
      </c>
      <c r="G334" t="s">
        <v>54</v>
      </c>
      <c r="H334" s="2">
        <v>13429.035400000001</v>
      </c>
      <c r="I334" s="2">
        <f t="shared" si="35"/>
        <v>13429.035400000001</v>
      </c>
      <c r="J334" t="str">
        <f t="shared" si="36"/>
        <v>High</v>
      </c>
      <c r="K334" s="1">
        <f t="shared" si="37"/>
        <v>0.69</v>
      </c>
      <c r="L334" t="str">
        <f t="shared" si="38"/>
        <v>Obese</v>
      </c>
      <c r="M334" t="str">
        <f t="shared" si="39"/>
        <v>Standard</v>
      </c>
      <c r="N334" t="str">
        <f t="shared" si="40"/>
        <v>Tier 4</v>
      </c>
      <c r="O334">
        <f t="shared" si="41"/>
        <v>2</v>
      </c>
    </row>
    <row r="335" spans="1:15" x14ac:dyDescent="0.2">
      <c r="A335">
        <v>56</v>
      </c>
      <c r="B335" t="str" cm="1">
        <f t="array" ref="B335">_xlfn.IFS(A335&lt;=25,"18-25", A335&lt;=35,"26-35", A335&lt;=45,"36-45", A335&lt;=55,"46-55", A335&lt;=64,"56-64")</f>
        <v>56-64</v>
      </c>
      <c r="C335" t="s">
        <v>7</v>
      </c>
      <c r="D335">
        <v>28.785</v>
      </c>
      <c r="E335">
        <v>0</v>
      </c>
      <c r="F335" t="s">
        <v>11</v>
      </c>
      <c r="G335" t="s">
        <v>53</v>
      </c>
      <c r="H335" s="2">
        <v>11658.379150000001</v>
      </c>
      <c r="I335" s="2">
        <f t="shared" si="35"/>
        <v>11658.379150000001</v>
      </c>
      <c r="J335" t="str">
        <f t="shared" si="36"/>
        <v>Low</v>
      </c>
      <c r="K335" s="1">
        <f t="shared" si="37"/>
        <v>0.61199999999999999</v>
      </c>
      <c r="L335" t="str">
        <f t="shared" si="38"/>
        <v>Overweight</v>
      </c>
      <c r="M335" t="str">
        <f t="shared" si="39"/>
        <v>Standard</v>
      </c>
      <c r="N335" t="str">
        <f t="shared" si="40"/>
        <v>Tier 2</v>
      </c>
      <c r="O335">
        <f t="shared" si="41"/>
        <v>1</v>
      </c>
    </row>
    <row r="336" spans="1:15" x14ac:dyDescent="0.2">
      <c r="A336">
        <v>43</v>
      </c>
      <c r="B336" t="str" cm="1">
        <f t="array" ref="B336">_xlfn.IFS(A336&lt;=25,"18-25", A336&lt;=35,"26-35", A336&lt;=45,"36-45", A336&lt;=55,"46-55", A336&lt;=64,"56-64")</f>
        <v>36-45</v>
      </c>
      <c r="C336" t="s">
        <v>7</v>
      </c>
      <c r="D336">
        <v>35.72</v>
      </c>
      <c r="E336">
        <v>2</v>
      </c>
      <c r="F336" t="s">
        <v>11</v>
      </c>
      <c r="G336" t="s">
        <v>53</v>
      </c>
      <c r="H336" s="2">
        <v>19144.576519999999</v>
      </c>
      <c r="I336" s="2">
        <f t="shared" si="35"/>
        <v>6381.5255066666659</v>
      </c>
      <c r="J336" t="str">
        <f t="shared" si="36"/>
        <v>High</v>
      </c>
      <c r="K336" s="1">
        <f t="shared" si="37"/>
        <v>0.78300000000000003</v>
      </c>
      <c r="L336" t="str">
        <f t="shared" si="38"/>
        <v>Obese</v>
      </c>
      <c r="M336" t="str">
        <f t="shared" si="39"/>
        <v>Standard</v>
      </c>
      <c r="N336" t="str">
        <f t="shared" si="40"/>
        <v>Tier 2</v>
      </c>
      <c r="O336">
        <f t="shared" si="41"/>
        <v>2</v>
      </c>
    </row>
    <row r="337" spans="1:15" x14ac:dyDescent="0.2">
      <c r="A337">
        <v>64</v>
      </c>
      <c r="B337" t="str" cm="1">
        <f t="array" ref="B337">_xlfn.IFS(A337&lt;=25,"18-25", A337&lt;=35,"26-35", A337&lt;=45,"36-45", A337&lt;=55,"46-55", A337&lt;=64,"56-64")</f>
        <v>56-64</v>
      </c>
      <c r="C337" t="s">
        <v>10</v>
      </c>
      <c r="D337">
        <v>34.5</v>
      </c>
      <c r="E337">
        <v>0</v>
      </c>
      <c r="F337" t="s">
        <v>11</v>
      </c>
      <c r="G337" t="s">
        <v>52</v>
      </c>
      <c r="H337" s="2">
        <v>13822.803</v>
      </c>
      <c r="I337" s="2">
        <f t="shared" si="35"/>
        <v>13822.803</v>
      </c>
      <c r="J337" t="str">
        <f t="shared" si="36"/>
        <v>High</v>
      </c>
      <c r="K337" s="1">
        <f t="shared" si="37"/>
        <v>0.7</v>
      </c>
      <c r="L337" t="str">
        <f t="shared" si="38"/>
        <v>Obese</v>
      </c>
      <c r="M337" t="str">
        <f t="shared" si="39"/>
        <v>Standard</v>
      </c>
      <c r="N337" t="str">
        <f t="shared" si="40"/>
        <v>Tier 3</v>
      </c>
      <c r="O337">
        <f t="shared" si="41"/>
        <v>2</v>
      </c>
    </row>
    <row r="338" spans="1:15" x14ac:dyDescent="0.2">
      <c r="A338">
        <v>60</v>
      </c>
      <c r="B338" t="str" cm="1">
        <f t="array" ref="B338">_xlfn.IFS(A338&lt;=25,"18-25", A338&lt;=35,"26-35", A338&lt;=45,"36-45", A338&lt;=55,"46-55", A338&lt;=64,"56-64")</f>
        <v>56-64</v>
      </c>
      <c r="C338" t="s">
        <v>10</v>
      </c>
      <c r="D338">
        <v>25.74</v>
      </c>
      <c r="E338">
        <v>0</v>
      </c>
      <c r="F338" t="s">
        <v>11</v>
      </c>
      <c r="G338" t="s">
        <v>51</v>
      </c>
      <c r="H338" s="2">
        <v>12142.578600000001</v>
      </c>
      <c r="I338" s="2">
        <f t="shared" si="35"/>
        <v>12142.578600000001</v>
      </c>
      <c r="J338" t="str">
        <f t="shared" si="36"/>
        <v>Low</v>
      </c>
      <c r="K338" s="1">
        <f t="shared" si="37"/>
        <v>0.63800000000000001</v>
      </c>
      <c r="L338" t="str">
        <f t="shared" si="38"/>
        <v>Overweight</v>
      </c>
      <c r="M338" t="str">
        <f t="shared" si="39"/>
        <v>Standard</v>
      </c>
      <c r="N338" t="str">
        <f t="shared" si="40"/>
        <v>Tier 1</v>
      </c>
      <c r="O338">
        <f t="shared" si="41"/>
        <v>2</v>
      </c>
    </row>
    <row r="339" spans="1:15" x14ac:dyDescent="0.2">
      <c r="A339">
        <v>62</v>
      </c>
      <c r="B339" t="str" cm="1">
        <f t="array" ref="B339">_xlfn.IFS(A339&lt;=25,"18-25", A339&lt;=35,"26-35", A339&lt;=45,"36-45", A339&lt;=55,"46-55", A339&lt;=64,"56-64")</f>
        <v>56-64</v>
      </c>
      <c r="C339" t="s">
        <v>10</v>
      </c>
      <c r="D339">
        <v>27.55</v>
      </c>
      <c r="E339">
        <v>1</v>
      </c>
      <c r="F339" t="s">
        <v>11</v>
      </c>
      <c r="G339" t="s">
        <v>54</v>
      </c>
      <c r="H339" s="2">
        <v>13937.666499999999</v>
      </c>
      <c r="I339" s="2">
        <f t="shared" si="35"/>
        <v>6968.8332499999997</v>
      </c>
      <c r="J339" t="str">
        <f t="shared" si="36"/>
        <v>High</v>
      </c>
      <c r="K339" s="1">
        <f t="shared" si="37"/>
        <v>0.70599999999999996</v>
      </c>
      <c r="L339" t="str">
        <f t="shared" si="38"/>
        <v>Overweight</v>
      </c>
      <c r="M339" t="str">
        <f t="shared" si="39"/>
        <v>Standard</v>
      </c>
      <c r="N339" t="str">
        <f t="shared" si="40"/>
        <v>Tier 4</v>
      </c>
      <c r="O339">
        <f t="shared" si="41"/>
        <v>1</v>
      </c>
    </row>
    <row r="340" spans="1:15" x14ac:dyDescent="0.2">
      <c r="A340">
        <v>50</v>
      </c>
      <c r="B340" t="str" cm="1">
        <f t="array" ref="B340">_xlfn.IFS(A340&lt;=25,"18-25", A340&lt;=35,"26-35", A340&lt;=45,"36-45", A340&lt;=55,"46-55", A340&lt;=64,"56-64")</f>
        <v>46-55</v>
      </c>
      <c r="C340" t="s">
        <v>10</v>
      </c>
      <c r="D340">
        <v>32.299999999999997</v>
      </c>
      <c r="E340">
        <v>1</v>
      </c>
      <c r="F340" t="s">
        <v>8</v>
      </c>
      <c r="G340" t="s">
        <v>53</v>
      </c>
      <c r="H340" s="2">
        <v>41919.097000000002</v>
      </c>
      <c r="I340" s="2">
        <f t="shared" si="35"/>
        <v>20959.548500000001</v>
      </c>
      <c r="J340" t="str">
        <f t="shared" si="36"/>
        <v>High</v>
      </c>
      <c r="K340" s="1">
        <f t="shared" si="37"/>
        <v>0.95199999999999996</v>
      </c>
      <c r="L340" t="str">
        <f t="shared" si="38"/>
        <v>Obese</v>
      </c>
      <c r="M340" t="str">
        <f t="shared" si="39"/>
        <v>High Risk</v>
      </c>
      <c r="N340" t="str">
        <f t="shared" si="40"/>
        <v>Tier 2</v>
      </c>
      <c r="O340">
        <f t="shared" si="41"/>
        <v>5</v>
      </c>
    </row>
    <row r="341" spans="1:15" x14ac:dyDescent="0.2">
      <c r="A341">
        <v>46</v>
      </c>
      <c r="B341" t="str" cm="1">
        <f t="array" ref="B341">_xlfn.IFS(A341&lt;=25,"18-25", A341&lt;=35,"26-35", A341&lt;=45,"36-45", A341&lt;=55,"46-55", A341&lt;=64,"56-64")</f>
        <v>46-55</v>
      </c>
      <c r="C341" t="s">
        <v>7</v>
      </c>
      <c r="D341">
        <v>27.72</v>
      </c>
      <c r="E341">
        <v>1</v>
      </c>
      <c r="F341" t="s">
        <v>11</v>
      </c>
      <c r="G341" t="s">
        <v>51</v>
      </c>
      <c r="H341" s="2">
        <v>8232.6388000000006</v>
      </c>
      <c r="I341" s="2">
        <f t="shared" si="35"/>
        <v>4116.3194000000003</v>
      </c>
      <c r="J341" t="str">
        <f t="shared" si="36"/>
        <v>Low</v>
      </c>
      <c r="K341" s="1">
        <f t="shared" si="37"/>
        <v>0.437</v>
      </c>
      <c r="L341" t="str">
        <f t="shared" si="38"/>
        <v>Overweight</v>
      </c>
      <c r="M341" t="str">
        <f t="shared" si="39"/>
        <v>Standard</v>
      </c>
      <c r="N341" t="str">
        <f t="shared" si="40"/>
        <v>Tier 1</v>
      </c>
      <c r="O341">
        <f t="shared" si="41"/>
        <v>2</v>
      </c>
    </row>
    <row r="342" spans="1:15" x14ac:dyDescent="0.2">
      <c r="A342">
        <v>24</v>
      </c>
      <c r="B342" t="str" cm="1">
        <f t="array" ref="B342">_xlfn.IFS(A342&lt;=25,"18-25", A342&lt;=35,"26-35", A342&lt;=45,"36-45", A342&lt;=55,"46-55", A342&lt;=64,"56-64")</f>
        <v>18-25</v>
      </c>
      <c r="C342" t="s">
        <v>7</v>
      </c>
      <c r="D342">
        <v>27.6</v>
      </c>
      <c r="E342">
        <v>0</v>
      </c>
      <c r="F342" t="s">
        <v>11</v>
      </c>
      <c r="G342" t="s">
        <v>52</v>
      </c>
      <c r="H342" s="2">
        <v>18955.220170000001</v>
      </c>
      <c r="I342" s="2">
        <f t="shared" si="35"/>
        <v>18955.220170000001</v>
      </c>
      <c r="J342" t="str">
        <f t="shared" si="36"/>
        <v>High</v>
      </c>
      <c r="K342" s="1">
        <f t="shared" si="37"/>
        <v>0.77800000000000002</v>
      </c>
      <c r="L342" t="str">
        <f t="shared" si="38"/>
        <v>Overweight</v>
      </c>
      <c r="M342" t="str">
        <f t="shared" si="39"/>
        <v>Standard</v>
      </c>
      <c r="N342" t="str">
        <f t="shared" si="40"/>
        <v>Tier 3</v>
      </c>
      <c r="O342">
        <f t="shared" si="41"/>
        <v>1</v>
      </c>
    </row>
    <row r="343" spans="1:15" x14ac:dyDescent="0.2">
      <c r="A343">
        <v>62</v>
      </c>
      <c r="B343" t="str" cm="1">
        <f t="array" ref="B343">_xlfn.IFS(A343&lt;=25,"18-25", A343&lt;=35,"26-35", A343&lt;=45,"36-45", A343&lt;=55,"46-55", A343&lt;=64,"56-64")</f>
        <v>56-64</v>
      </c>
      <c r="C343" t="s">
        <v>10</v>
      </c>
      <c r="D343">
        <v>30.02</v>
      </c>
      <c r="E343">
        <v>0</v>
      </c>
      <c r="F343" t="s">
        <v>11</v>
      </c>
      <c r="G343" t="s">
        <v>54</v>
      </c>
      <c r="H343" s="2">
        <v>13352.0998</v>
      </c>
      <c r="I343" s="2">
        <f t="shared" si="35"/>
        <v>13352.0998</v>
      </c>
      <c r="J343" t="str">
        <f t="shared" si="36"/>
        <v>High</v>
      </c>
      <c r="K343" s="1">
        <f t="shared" si="37"/>
        <v>0.68600000000000005</v>
      </c>
      <c r="L343" t="str">
        <f t="shared" si="38"/>
        <v>Obese</v>
      </c>
      <c r="M343" t="str">
        <f t="shared" si="39"/>
        <v>Standard</v>
      </c>
      <c r="N343" t="str">
        <f t="shared" si="40"/>
        <v>Tier 4</v>
      </c>
      <c r="O343">
        <f t="shared" si="41"/>
        <v>2</v>
      </c>
    </row>
    <row r="344" spans="1:15" x14ac:dyDescent="0.2">
      <c r="A344">
        <v>60</v>
      </c>
      <c r="B344" t="str" cm="1">
        <f t="array" ref="B344">_xlfn.IFS(A344&lt;=25,"18-25", A344&lt;=35,"26-35", A344&lt;=45,"36-45", A344&lt;=55,"46-55", A344&lt;=64,"56-64")</f>
        <v>56-64</v>
      </c>
      <c r="C344" t="s">
        <v>7</v>
      </c>
      <c r="D344">
        <v>27.55</v>
      </c>
      <c r="E344">
        <v>0</v>
      </c>
      <c r="F344" t="s">
        <v>11</v>
      </c>
      <c r="G344" t="s">
        <v>53</v>
      </c>
      <c r="H344" s="2">
        <v>13217.094499999999</v>
      </c>
      <c r="I344" s="2">
        <f t="shared" si="35"/>
        <v>13217.094499999999</v>
      </c>
      <c r="J344" t="str">
        <f t="shared" si="36"/>
        <v>Low</v>
      </c>
      <c r="K344" s="1">
        <f t="shared" si="37"/>
        <v>0.68300000000000005</v>
      </c>
      <c r="L344" t="str">
        <f t="shared" si="38"/>
        <v>Overweight</v>
      </c>
      <c r="M344" t="str">
        <f t="shared" si="39"/>
        <v>Standard</v>
      </c>
      <c r="N344" t="str">
        <f t="shared" si="40"/>
        <v>Tier 2</v>
      </c>
      <c r="O344">
        <f t="shared" si="41"/>
        <v>1</v>
      </c>
    </row>
    <row r="345" spans="1:15" x14ac:dyDescent="0.2">
      <c r="A345">
        <v>63</v>
      </c>
      <c r="B345" t="str" cm="1">
        <f t="array" ref="B345">_xlfn.IFS(A345&lt;=25,"18-25", A345&lt;=35,"26-35", A345&lt;=45,"36-45", A345&lt;=55,"46-55", A345&lt;=64,"56-64")</f>
        <v>56-64</v>
      </c>
      <c r="C345" t="s">
        <v>10</v>
      </c>
      <c r="D345">
        <v>36.765000000000001</v>
      </c>
      <c r="E345">
        <v>0</v>
      </c>
      <c r="F345" t="s">
        <v>11</v>
      </c>
      <c r="G345" t="s">
        <v>53</v>
      </c>
      <c r="H345" s="2">
        <v>13981.850350000001</v>
      </c>
      <c r="I345" s="2">
        <f t="shared" si="35"/>
        <v>13981.850350000001</v>
      </c>
      <c r="J345" t="str">
        <f t="shared" si="36"/>
        <v>High</v>
      </c>
      <c r="K345" s="1">
        <f t="shared" si="37"/>
        <v>0.70799999999999996</v>
      </c>
      <c r="L345" t="str">
        <f t="shared" si="38"/>
        <v>Obese</v>
      </c>
      <c r="M345" t="str">
        <f t="shared" si="39"/>
        <v>Standard</v>
      </c>
      <c r="N345" t="str">
        <f t="shared" si="40"/>
        <v>Tier 2</v>
      </c>
      <c r="O345">
        <f t="shared" si="41"/>
        <v>2</v>
      </c>
    </row>
    <row r="346" spans="1:15" x14ac:dyDescent="0.2">
      <c r="A346">
        <v>49</v>
      </c>
      <c r="B346" t="str" cm="1">
        <f t="array" ref="B346">_xlfn.IFS(A346&lt;=25,"18-25", A346&lt;=35,"26-35", A346&lt;=45,"36-45", A346&lt;=55,"46-55", A346&lt;=64,"56-64")</f>
        <v>46-55</v>
      </c>
      <c r="C346" t="s">
        <v>7</v>
      </c>
      <c r="D346">
        <v>41.47</v>
      </c>
      <c r="E346">
        <v>4</v>
      </c>
      <c r="F346" t="s">
        <v>11</v>
      </c>
      <c r="G346" t="s">
        <v>51</v>
      </c>
      <c r="H346" s="2">
        <v>10977.2063</v>
      </c>
      <c r="I346" s="2">
        <f t="shared" si="35"/>
        <v>2195.4412600000001</v>
      </c>
      <c r="J346" t="str">
        <f t="shared" si="36"/>
        <v>Low</v>
      </c>
      <c r="K346" s="1">
        <f t="shared" si="37"/>
        <v>0.57499999999999996</v>
      </c>
      <c r="L346" t="str">
        <f t="shared" si="38"/>
        <v>Obese</v>
      </c>
      <c r="M346" t="str">
        <f t="shared" si="39"/>
        <v>Standard</v>
      </c>
      <c r="N346" t="str">
        <f t="shared" si="40"/>
        <v>Tier 1</v>
      </c>
      <c r="O346">
        <f t="shared" si="41"/>
        <v>3</v>
      </c>
    </row>
    <row r="347" spans="1:15" x14ac:dyDescent="0.2">
      <c r="A347">
        <v>34</v>
      </c>
      <c r="B347" t="str" cm="1">
        <f t="array" ref="B347">_xlfn.IFS(A347&lt;=25,"18-25", A347&lt;=35,"26-35", A347&lt;=45,"36-45", A347&lt;=55,"46-55", A347&lt;=64,"56-64")</f>
        <v>26-35</v>
      </c>
      <c r="C347" t="s">
        <v>7</v>
      </c>
      <c r="D347">
        <v>29.26</v>
      </c>
      <c r="E347">
        <v>3</v>
      </c>
      <c r="F347" t="s">
        <v>11</v>
      </c>
      <c r="G347" t="s">
        <v>51</v>
      </c>
      <c r="H347" s="2">
        <v>6184.2993999999999</v>
      </c>
      <c r="I347" s="2">
        <f t="shared" si="35"/>
        <v>1546.07485</v>
      </c>
      <c r="J347" t="str">
        <f t="shared" si="36"/>
        <v>Low</v>
      </c>
      <c r="K347" s="1">
        <f t="shared" si="37"/>
        <v>0.32700000000000001</v>
      </c>
      <c r="L347" t="str">
        <f t="shared" si="38"/>
        <v>Overweight</v>
      </c>
      <c r="M347" t="str">
        <f t="shared" si="39"/>
        <v>Standard</v>
      </c>
      <c r="N347" t="str">
        <f t="shared" si="40"/>
        <v>Tier 1</v>
      </c>
      <c r="O347">
        <f t="shared" si="41"/>
        <v>2</v>
      </c>
    </row>
    <row r="348" spans="1:15" x14ac:dyDescent="0.2">
      <c r="A348">
        <v>33</v>
      </c>
      <c r="B348" t="str" cm="1">
        <f t="array" ref="B348">_xlfn.IFS(A348&lt;=25,"18-25", A348&lt;=35,"26-35", A348&lt;=45,"36-45", A348&lt;=55,"46-55", A348&lt;=64,"56-64")</f>
        <v>26-35</v>
      </c>
      <c r="C348" t="s">
        <v>10</v>
      </c>
      <c r="D348">
        <v>35.75</v>
      </c>
      <c r="E348">
        <v>2</v>
      </c>
      <c r="F348" t="s">
        <v>11</v>
      </c>
      <c r="G348" t="s">
        <v>51</v>
      </c>
      <c r="H348" s="2">
        <v>4889.9994999999999</v>
      </c>
      <c r="I348" s="2">
        <f t="shared" si="35"/>
        <v>1629.9998333333333</v>
      </c>
      <c r="J348" t="str">
        <f t="shared" si="36"/>
        <v>Low</v>
      </c>
      <c r="K348" s="1">
        <f t="shared" si="37"/>
        <v>0.26100000000000001</v>
      </c>
      <c r="L348" t="str">
        <f t="shared" si="38"/>
        <v>Obese</v>
      </c>
      <c r="M348" t="str">
        <f t="shared" si="39"/>
        <v>Standard</v>
      </c>
      <c r="N348" t="str">
        <f t="shared" si="40"/>
        <v>Tier 1</v>
      </c>
      <c r="O348">
        <f t="shared" si="41"/>
        <v>3</v>
      </c>
    </row>
    <row r="349" spans="1:15" x14ac:dyDescent="0.2">
      <c r="A349">
        <v>46</v>
      </c>
      <c r="B349" t="str" cm="1">
        <f t="array" ref="B349">_xlfn.IFS(A349&lt;=25,"18-25", A349&lt;=35,"26-35", A349&lt;=45,"36-45", A349&lt;=55,"46-55", A349&lt;=64,"56-64")</f>
        <v>46-55</v>
      </c>
      <c r="C349" t="s">
        <v>10</v>
      </c>
      <c r="D349">
        <v>33.344999999999999</v>
      </c>
      <c r="E349">
        <v>1</v>
      </c>
      <c r="F349" t="s">
        <v>11</v>
      </c>
      <c r="G349" t="s">
        <v>53</v>
      </c>
      <c r="H349" s="2">
        <v>8334.4575499999992</v>
      </c>
      <c r="I349" s="2">
        <f t="shared" si="35"/>
        <v>4167.2287749999996</v>
      </c>
      <c r="J349" t="str">
        <f t="shared" si="36"/>
        <v>Low</v>
      </c>
      <c r="K349" s="1">
        <f t="shared" si="37"/>
        <v>0.44500000000000001</v>
      </c>
      <c r="L349" t="str">
        <f t="shared" si="38"/>
        <v>Obese</v>
      </c>
      <c r="M349" t="str">
        <f t="shared" si="39"/>
        <v>Standard</v>
      </c>
      <c r="N349" t="str">
        <f t="shared" si="40"/>
        <v>Tier 2</v>
      </c>
      <c r="O349">
        <f t="shared" si="41"/>
        <v>2</v>
      </c>
    </row>
    <row r="350" spans="1:15" x14ac:dyDescent="0.2">
      <c r="A350">
        <v>36</v>
      </c>
      <c r="B350" t="str" cm="1">
        <f t="array" ref="B350">_xlfn.IFS(A350&lt;=25,"18-25", A350&lt;=35,"26-35", A350&lt;=45,"36-45", A350&lt;=55,"46-55", A350&lt;=64,"56-64")</f>
        <v>36-45</v>
      </c>
      <c r="C350" t="s">
        <v>7</v>
      </c>
      <c r="D350">
        <v>29.92</v>
      </c>
      <c r="E350">
        <v>1</v>
      </c>
      <c r="F350" t="s">
        <v>11</v>
      </c>
      <c r="G350" t="s">
        <v>51</v>
      </c>
      <c r="H350" s="2">
        <v>5478.0367999999999</v>
      </c>
      <c r="I350" s="2">
        <f t="shared" si="35"/>
        <v>2739.0183999999999</v>
      </c>
      <c r="J350" t="str">
        <f t="shared" si="36"/>
        <v>Low</v>
      </c>
      <c r="K350" s="1">
        <f t="shared" si="37"/>
        <v>0.29899999999999999</v>
      </c>
      <c r="L350" t="str">
        <f t="shared" si="38"/>
        <v>Overweight</v>
      </c>
      <c r="M350" t="str">
        <f t="shared" si="39"/>
        <v>Standard</v>
      </c>
      <c r="N350" t="str">
        <f t="shared" si="40"/>
        <v>Tier 1</v>
      </c>
      <c r="O350">
        <f t="shared" si="41"/>
        <v>2</v>
      </c>
    </row>
    <row r="351" spans="1:15" x14ac:dyDescent="0.2">
      <c r="A351">
        <v>19</v>
      </c>
      <c r="B351" t="str" cm="1">
        <f t="array" ref="B351">_xlfn.IFS(A351&lt;=25,"18-25", A351&lt;=35,"26-35", A351&lt;=45,"36-45", A351&lt;=55,"46-55", A351&lt;=64,"56-64")</f>
        <v>18-25</v>
      </c>
      <c r="C351" t="s">
        <v>10</v>
      </c>
      <c r="D351">
        <v>27.835000000000001</v>
      </c>
      <c r="E351">
        <v>0</v>
      </c>
      <c r="F351" t="s">
        <v>11</v>
      </c>
      <c r="G351" t="s">
        <v>54</v>
      </c>
      <c r="H351" s="2">
        <v>1635.7336499999999</v>
      </c>
      <c r="I351" s="2">
        <f t="shared" si="35"/>
        <v>1635.7336499999999</v>
      </c>
      <c r="J351" t="str">
        <f t="shared" si="36"/>
        <v>Low</v>
      </c>
      <c r="K351" s="1">
        <f t="shared" si="37"/>
        <v>2.9000000000000001E-2</v>
      </c>
      <c r="L351" t="str">
        <f t="shared" si="38"/>
        <v>Overweight</v>
      </c>
      <c r="M351" t="str">
        <f t="shared" si="39"/>
        <v>Standard</v>
      </c>
      <c r="N351" t="str">
        <f t="shared" si="40"/>
        <v>Tier 4</v>
      </c>
      <c r="O351">
        <f t="shared" si="41"/>
        <v>1</v>
      </c>
    </row>
    <row r="352" spans="1:15" x14ac:dyDescent="0.2">
      <c r="A352">
        <v>57</v>
      </c>
      <c r="B352" t="str" cm="1">
        <f t="array" ref="B352">_xlfn.IFS(A352&lt;=25,"18-25", A352&lt;=35,"26-35", A352&lt;=45,"36-45", A352&lt;=55,"46-55", A352&lt;=64,"56-64")</f>
        <v>56-64</v>
      </c>
      <c r="C352" t="s">
        <v>7</v>
      </c>
      <c r="D352">
        <v>23.18</v>
      </c>
      <c r="E352">
        <v>0</v>
      </c>
      <c r="F352" t="s">
        <v>11</v>
      </c>
      <c r="G352" t="s">
        <v>54</v>
      </c>
      <c r="H352" s="2">
        <v>11830.6072</v>
      </c>
      <c r="I352" s="2">
        <f t="shared" si="35"/>
        <v>11830.6072</v>
      </c>
      <c r="J352" t="str">
        <f t="shared" si="36"/>
        <v>Low</v>
      </c>
      <c r="K352" s="1">
        <f t="shared" si="37"/>
        <v>0.61899999999999999</v>
      </c>
      <c r="L352" t="str">
        <f t="shared" si="38"/>
        <v>Normal</v>
      </c>
      <c r="M352" t="str">
        <f t="shared" si="39"/>
        <v>Standard</v>
      </c>
      <c r="N352" t="str">
        <f t="shared" si="40"/>
        <v>Tier 4</v>
      </c>
      <c r="O352">
        <f t="shared" si="41"/>
        <v>0</v>
      </c>
    </row>
    <row r="353" spans="1:15" x14ac:dyDescent="0.2">
      <c r="A353">
        <v>50</v>
      </c>
      <c r="B353" t="str" cm="1">
        <f t="array" ref="B353">_xlfn.IFS(A353&lt;=25,"18-25", A353&lt;=35,"26-35", A353&lt;=45,"36-45", A353&lt;=55,"46-55", A353&lt;=64,"56-64")</f>
        <v>46-55</v>
      </c>
      <c r="C353" t="s">
        <v>7</v>
      </c>
      <c r="D353">
        <v>25.6</v>
      </c>
      <c r="E353">
        <v>0</v>
      </c>
      <c r="F353" t="s">
        <v>11</v>
      </c>
      <c r="G353" t="s">
        <v>52</v>
      </c>
      <c r="H353" s="2">
        <v>8932.0840000000007</v>
      </c>
      <c r="I353" s="2">
        <f t="shared" si="35"/>
        <v>8932.0840000000007</v>
      </c>
      <c r="J353" t="str">
        <f t="shared" si="36"/>
        <v>Low</v>
      </c>
      <c r="K353" s="1">
        <f t="shared" si="37"/>
        <v>0.47899999999999998</v>
      </c>
      <c r="L353" t="str">
        <f t="shared" si="38"/>
        <v>Overweight</v>
      </c>
      <c r="M353" t="str">
        <f t="shared" si="39"/>
        <v>Standard</v>
      </c>
      <c r="N353" t="str">
        <f t="shared" si="40"/>
        <v>Tier 3</v>
      </c>
      <c r="O353">
        <f t="shared" si="41"/>
        <v>1</v>
      </c>
    </row>
    <row r="354" spans="1:15" x14ac:dyDescent="0.2">
      <c r="A354">
        <v>30</v>
      </c>
      <c r="B354" t="str" cm="1">
        <f t="array" ref="B354">_xlfn.IFS(A354&lt;=25,"18-25", A354&lt;=35,"26-35", A354&lt;=45,"36-45", A354&lt;=55,"46-55", A354&lt;=64,"56-64")</f>
        <v>26-35</v>
      </c>
      <c r="C354" t="s">
        <v>7</v>
      </c>
      <c r="D354">
        <v>27.7</v>
      </c>
      <c r="E354">
        <v>0</v>
      </c>
      <c r="F354" t="s">
        <v>11</v>
      </c>
      <c r="G354" t="s">
        <v>52</v>
      </c>
      <c r="H354" s="2">
        <v>3554.203</v>
      </c>
      <c r="I354" s="2">
        <f t="shared" si="35"/>
        <v>3554.203</v>
      </c>
      <c r="J354" t="str">
        <f t="shared" si="36"/>
        <v>Low</v>
      </c>
      <c r="K354" s="1">
        <f t="shared" si="37"/>
        <v>0.17399999999999999</v>
      </c>
      <c r="L354" t="str">
        <f t="shared" si="38"/>
        <v>Overweight</v>
      </c>
      <c r="M354" t="str">
        <f t="shared" si="39"/>
        <v>Standard</v>
      </c>
      <c r="N354" t="str">
        <f t="shared" si="40"/>
        <v>Tier 3</v>
      </c>
      <c r="O354">
        <f t="shared" si="41"/>
        <v>1</v>
      </c>
    </row>
    <row r="355" spans="1:15" x14ac:dyDescent="0.2">
      <c r="A355">
        <v>33</v>
      </c>
      <c r="B355" t="str" cm="1">
        <f t="array" ref="B355">_xlfn.IFS(A355&lt;=25,"18-25", A355&lt;=35,"26-35", A355&lt;=45,"36-45", A355&lt;=55,"46-55", A355&lt;=64,"56-64")</f>
        <v>26-35</v>
      </c>
      <c r="C355" t="s">
        <v>10</v>
      </c>
      <c r="D355">
        <v>35.244999999999997</v>
      </c>
      <c r="E355">
        <v>0</v>
      </c>
      <c r="F355" t="s">
        <v>11</v>
      </c>
      <c r="G355" t="s">
        <v>53</v>
      </c>
      <c r="H355" s="2">
        <v>12404.8791</v>
      </c>
      <c r="I355" s="2">
        <f t="shared" si="35"/>
        <v>12404.8791</v>
      </c>
      <c r="J355" t="str">
        <f t="shared" si="36"/>
        <v>Low</v>
      </c>
      <c r="K355" s="1">
        <f t="shared" si="37"/>
        <v>0.64900000000000002</v>
      </c>
      <c r="L355" t="str">
        <f t="shared" si="38"/>
        <v>Obese</v>
      </c>
      <c r="M355" t="str">
        <f t="shared" si="39"/>
        <v>Standard</v>
      </c>
      <c r="N355" t="str">
        <f t="shared" si="40"/>
        <v>Tier 2</v>
      </c>
      <c r="O355">
        <f t="shared" si="41"/>
        <v>2</v>
      </c>
    </row>
    <row r="356" spans="1:15" x14ac:dyDescent="0.2">
      <c r="A356">
        <v>18</v>
      </c>
      <c r="B356" t="str" cm="1">
        <f t="array" ref="B356">_xlfn.IFS(A356&lt;=25,"18-25", A356&lt;=35,"26-35", A356&lt;=45,"36-45", A356&lt;=55,"46-55", A356&lt;=64,"56-64")</f>
        <v>18-25</v>
      </c>
      <c r="C356" t="s">
        <v>7</v>
      </c>
      <c r="D356">
        <v>38.28</v>
      </c>
      <c r="E356">
        <v>0</v>
      </c>
      <c r="F356" t="s">
        <v>11</v>
      </c>
      <c r="G356" t="s">
        <v>51</v>
      </c>
      <c r="H356" s="2">
        <v>14133.03775</v>
      </c>
      <c r="I356" s="2">
        <f t="shared" si="35"/>
        <v>14133.03775</v>
      </c>
      <c r="J356" t="str">
        <f t="shared" si="36"/>
        <v>High</v>
      </c>
      <c r="K356" s="1">
        <f t="shared" si="37"/>
        <v>0.71199999999999997</v>
      </c>
      <c r="L356" t="str">
        <f t="shared" si="38"/>
        <v>Obese</v>
      </c>
      <c r="M356" t="str">
        <f t="shared" si="39"/>
        <v>Standard</v>
      </c>
      <c r="N356" t="str">
        <f t="shared" si="40"/>
        <v>Tier 1</v>
      </c>
      <c r="O356">
        <f t="shared" si="41"/>
        <v>3</v>
      </c>
    </row>
    <row r="357" spans="1:15" x14ac:dyDescent="0.2">
      <c r="A357">
        <v>46</v>
      </c>
      <c r="B357" t="str" cm="1">
        <f t="array" ref="B357">_xlfn.IFS(A357&lt;=25,"18-25", A357&lt;=35,"26-35", A357&lt;=45,"36-45", A357&lt;=55,"46-55", A357&lt;=64,"56-64")</f>
        <v>46-55</v>
      </c>
      <c r="C357" t="s">
        <v>10</v>
      </c>
      <c r="D357">
        <v>27.6</v>
      </c>
      <c r="E357">
        <v>0</v>
      </c>
      <c r="F357" t="s">
        <v>11</v>
      </c>
      <c r="G357" t="s">
        <v>52</v>
      </c>
      <c r="H357" s="2">
        <v>24603.04837</v>
      </c>
      <c r="I357" s="2">
        <f t="shared" si="35"/>
        <v>24603.04837</v>
      </c>
      <c r="J357" t="str">
        <f t="shared" si="36"/>
        <v>High</v>
      </c>
      <c r="K357" s="1">
        <f t="shared" si="37"/>
        <v>0.84499999999999997</v>
      </c>
      <c r="L357" t="str">
        <f t="shared" si="38"/>
        <v>Overweight</v>
      </c>
      <c r="M357" t="str">
        <f t="shared" si="39"/>
        <v>Standard</v>
      </c>
      <c r="N357" t="str">
        <f t="shared" si="40"/>
        <v>Tier 3</v>
      </c>
      <c r="O357">
        <f t="shared" si="41"/>
        <v>1</v>
      </c>
    </row>
    <row r="358" spans="1:15" x14ac:dyDescent="0.2">
      <c r="A358">
        <v>46</v>
      </c>
      <c r="B358" t="str" cm="1">
        <f t="array" ref="B358">_xlfn.IFS(A358&lt;=25,"18-25", A358&lt;=35,"26-35", A358&lt;=45,"36-45", A358&lt;=55,"46-55", A358&lt;=64,"56-64")</f>
        <v>46-55</v>
      </c>
      <c r="C358" t="s">
        <v>10</v>
      </c>
      <c r="D358">
        <v>43.89</v>
      </c>
      <c r="E358">
        <v>3</v>
      </c>
      <c r="F358" t="s">
        <v>11</v>
      </c>
      <c r="G358" t="s">
        <v>51</v>
      </c>
      <c r="H358" s="2">
        <v>8944.1151000000009</v>
      </c>
      <c r="I358" s="2">
        <f t="shared" si="35"/>
        <v>2236.0287750000002</v>
      </c>
      <c r="J358" t="str">
        <f t="shared" si="36"/>
        <v>Low</v>
      </c>
      <c r="K358" s="1">
        <f t="shared" si="37"/>
        <v>0.48</v>
      </c>
      <c r="L358" t="str">
        <f t="shared" si="38"/>
        <v>Obese</v>
      </c>
      <c r="M358" t="str">
        <f t="shared" si="39"/>
        <v>Standard</v>
      </c>
      <c r="N358" t="str">
        <f t="shared" si="40"/>
        <v>Tier 1</v>
      </c>
      <c r="O358">
        <f t="shared" si="41"/>
        <v>3</v>
      </c>
    </row>
    <row r="359" spans="1:15" x14ac:dyDescent="0.2">
      <c r="A359">
        <v>47</v>
      </c>
      <c r="B359" t="str" cm="1">
        <f t="array" ref="B359">_xlfn.IFS(A359&lt;=25,"18-25", A359&lt;=35,"26-35", A359&lt;=45,"36-45", A359&lt;=55,"46-55", A359&lt;=64,"56-64")</f>
        <v>46-55</v>
      </c>
      <c r="C359" t="s">
        <v>10</v>
      </c>
      <c r="D359">
        <v>29.83</v>
      </c>
      <c r="E359">
        <v>3</v>
      </c>
      <c r="F359" t="s">
        <v>11</v>
      </c>
      <c r="G359" t="s">
        <v>54</v>
      </c>
      <c r="H359" s="2">
        <v>9620.3307000000004</v>
      </c>
      <c r="I359" s="2">
        <f t="shared" si="35"/>
        <v>2405.0826750000001</v>
      </c>
      <c r="J359" t="str">
        <f t="shared" si="36"/>
        <v>Low</v>
      </c>
      <c r="K359" s="1">
        <f t="shared" si="37"/>
        <v>0.51200000000000001</v>
      </c>
      <c r="L359" t="str">
        <f t="shared" si="38"/>
        <v>Overweight</v>
      </c>
      <c r="M359" t="str">
        <f t="shared" si="39"/>
        <v>Standard</v>
      </c>
      <c r="N359" t="str">
        <f t="shared" si="40"/>
        <v>Tier 4</v>
      </c>
      <c r="O359">
        <f t="shared" si="41"/>
        <v>1</v>
      </c>
    </row>
    <row r="360" spans="1:15" x14ac:dyDescent="0.2">
      <c r="A360">
        <v>23</v>
      </c>
      <c r="B360" t="str" cm="1">
        <f t="array" ref="B360">_xlfn.IFS(A360&lt;=25,"18-25", A360&lt;=35,"26-35", A360&lt;=45,"36-45", A360&lt;=55,"46-55", A360&lt;=64,"56-64")</f>
        <v>18-25</v>
      </c>
      <c r="C360" t="s">
        <v>10</v>
      </c>
      <c r="D360">
        <v>41.91</v>
      </c>
      <c r="E360">
        <v>0</v>
      </c>
      <c r="F360" t="s">
        <v>11</v>
      </c>
      <c r="G360" t="s">
        <v>51</v>
      </c>
      <c r="H360" s="2">
        <v>1837.2819</v>
      </c>
      <c r="I360" s="2">
        <f t="shared" si="35"/>
        <v>1837.2819</v>
      </c>
      <c r="J360" t="str">
        <f t="shared" si="36"/>
        <v>Low</v>
      </c>
      <c r="K360" s="1">
        <f t="shared" si="37"/>
        <v>5.5E-2</v>
      </c>
      <c r="L360" t="str">
        <f t="shared" si="38"/>
        <v>Obese</v>
      </c>
      <c r="M360" t="str">
        <f t="shared" si="39"/>
        <v>Standard</v>
      </c>
      <c r="N360" t="str">
        <f t="shared" si="40"/>
        <v>Tier 1</v>
      </c>
      <c r="O360">
        <f t="shared" si="41"/>
        <v>3</v>
      </c>
    </row>
    <row r="361" spans="1:15" x14ac:dyDescent="0.2">
      <c r="A361">
        <v>18</v>
      </c>
      <c r="B361" t="str" cm="1">
        <f t="array" ref="B361">_xlfn.IFS(A361&lt;=25,"18-25", A361&lt;=35,"26-35", A361&lt;=45,"36-45", A361&lt;=55,"46-55", A361&lt;=64,"56-64")</f>
        <v>18-25</v>
      </c>
      <c r="C361" t="s">
        <v>7</v>
      </c>
      <c r="D361">
        <v>20.79</v>
      </c>
      <c r="E361">
        <v>0</v>
      </c>
      <c r="F361" t="s">
        <v>11</v>
      </c>
      <c r="G361" t="s">
        <v>51</v>
      </c>
      <c r="H361" s="2">
        <v>1607.5101</v>
      </c>
      <c r="I361" s="2">
        <f t="shared" si="35"/>
        <v>1607.5101</v>
      </c>
      <c r="J361" t="str">
        <f t="shared" si="36"/>
        <v>Low</v>
      </c>
      <c r="K361" s="1">
        <f t="shared" si="37"/>
        <v>1.7000000000000001E-2</v>
      </c>
      <c r="L361" t="str">
        <f t="shared" si="38"/>
        <v>Normal</v>
      </c>
      <c r="M361" t="str">
        <f t="shared" si="39"/>
        <v>Standard</v>
      </c>
      <c r="N361" t="str">
        <f t="shared" si="40"/>
        <v>Tier 1</v>
      </c>
      <c r="O361">
        <f t="shared" si="41"/>
        <v>1</v>
      </c>
    </row>
    <row r="362" spans="1:15" x14ac:dyDescent="0.2">
      <c r="A362">
        <v>48</v>
      </c>
      <c r="B362" t="str" cm="1">
        <f t="array" ref="B362">_xlfn.IFS(A362&lt;=25,"18-25", A362&lt;=35,"26-35", A362&lt;=45,"36-45", A362&lt;=55,"46-55", A362&lt;=64,"56-64")</f>
        <v>46-55</v>
      </c>
      <c r="C362" t="s">
        <v>7</v>
      </c>
      <c r="D362">
        <v>32.299999999999997</v>
      </c>
      <c r="E362">
        <v>2</v>
      </c>
      <c r="F362" t="s">
        <v>11</v>
      </c>
      <c r="G362" t="s">
        <v>53</v>
      </c>
      <c r="H362" s="2">
        <v>10043.249</v>
      </c>
      <c r="I362" s="2">
        <f t="shared" si="35"/>
        <v>3347.7496666666666</v>
      </c>
      <c r="J362" t="str">
        <f t="shared" si="36"/>
        <v>Low</v>
      </c>
      <c r="K362" s="1">
        <f t="shared" si="37"/>
        <v>0.53200000000000003</v>
      </c>
      <c r="L362" t="str">
        <f t="shared" si="38"/>
        <v>Obese</v>
      </c>
      <c r="M362" t="str">
        <f t="shared" si="39"/>
        <v>Standard</v>
      </c>
      <c r="N362" t="str">
        <f t="shared" si="40"/>
        <v>Tier 2</v>
      </c>
      <c r="O362">
        <f t="shared" si="41"/>
        <v>2</v>
      </c>
    </row>
    <row r="363" spans="1:15" x14ac:dyDescent="0.2">
      <c r="A363">
        <v>35</v>
      </c>
      <c r="B363" t="str" cm="1">
        <f t="array" ref="B363">_xlfn.IFS(A363&lt;=25,"18-25", A363&lt;=35,"26-35", A363&lt;=45,"36-45", A363&lt;=55,"46-55", A363&lt;=64,"56-64")</f>
        <v>26-35</v>
      </c>
      <c r="C363" t="s">
        <v>10</v>
      </c>
      <c r="D363">
        <v>30.5</v>
      </c>
      <c r="E363">
        <v>1</v>
      </c>
      <c r="F363" t="s">
        <v>11</v>
      </c>
      <c r="G363" t="s">
        <v>52</v>
      </c>
      <c r="H363" s="2">
        <v>4751.07</v>
      </c>
      <c r="I363" s="2">
        <f t="shared" si="35"/>
        <v>2375.5349999999999</v>
      </c>
      <c r="J363" t="str">
        <f t="shared" si="36"/>
        <v>Low</v>
      </c>
      <c r="K363" s="1">
        <f t="shared" si="37"/>
        <v>0.252</v>
      </c>
      <c r="L363" t="str">
        <f t="shared" si="38"/>
        <v>Obese</v>
      </c>
      <c r="M363" t="str">
        <f t="shared" si="39"/>
        <v>Standard</v>
      </c>
      <c r="N363" t="str">
        <f t="shared" si="40"/>
        <v>Tier 3</v>
      </c>
      <c r="O363">
        <f t="shared" si="41"/>
        <v>2</v>
      </c>
    </row>
    <row r="364" spans="1:15" x14ac:dyDescent="0.2">
      <c r="A364">
        <v>19</v>
      </c>
      <c r="B364" t="str" cm="1">
        <f t="array" ref="B364">_xlfn.IFS(A364&lt;=25,"18-25", A364&lt;=35,"26-35", A364&lt;=45,"36-45", A364&lt;=55,"46-55", A364&lt;=64,"56-64")</f>
        <v>18-25</v>
      </c>
      <c r="C364" t="s">
        <v>7</v>
      </c>
      <c r="D364">
        <v>21.7</v>
      </c>
      <c r="E364">
        <v>0</v>
      </c>
      <c r="F364" t="s">
        <v>8</v>
      </c>
      <c r="G364" t="s">
        <v>52</v>
      </c>
      <c r="H364" s="2">
        <v>13844.505999999999</v>
      </c>
      <c r="I364" s="2">
        <f t="shared" si="35"/>
        <v>13844.505999999999</v>
      </c>
      <c r="J364" t="str">
        <f t="shared" si="36"/>
        <v>High</v>
      </c>
      <c r="K364" s="1">
        <f t="shared" si="37"/>
        <v>0.70199999999999996</v>
      </c>
      <c r="L364" t="str">
        <f t="shared" si="38"/>
        <v>Normal</v>
      </c>
      <c r="M364" t="str">
        <f t="shared" si="39"/>
        <v>High Risk</v>
      </c>
      <c r="N364" t="str">
        <f t="shared" si="40"/>
        <v>Tier 3</v>
      </c>
      <c r="O364">
        <f t="shared" si="41"/>
        <v>3</v>
      </c>
    </row>
    <row r="365" spans="1:15" x14ac:dyDescent="0.2">
      <c r="A365">
        <v>21</v>
      </c>
      <c r="B365" t="str" cm="1">
        <f t="array" ref="B365">_xlfn.IFS(A365&lt;=25,"18-25", A365&lt;=35,"26-35", A365&lt;=45,"36-45", A365&lt;=55,"46-55", A365&lt;=64,"56-64")</f>
        <v>18-25</v>
      </c>
      <c r="C365" t="s">
        <v>7</v>
      </c>
      <c r="D365">
        <v>26.4</v>
      </c>
      <c r="E365">
        <v>1</v>
      </c>
      <c r="F365" t="s">
        <v>11</v>
      </c>
      <c r="G365" t="s">
        <v>52</v>
      </c>
      <c r="H365" s="2">
        <v>2597.779</v>
      </c>
      <c r="I365" s="2">
        <f t="shared" si="35"/>
        <v>1298.8895</v>
      </c>
      <c r="J365" t="str">
        <f t="shared" si="36"/>
        <v>Low</v>
      </c>
      <c r="K365" s="1">
        <f t="shared" si="37"/>
        <v>0.11700000000000001</v>
      </c>
      <c r="L365" t="str">
        <f t="shared" si="38"/>
        <v>Overweight</v>
      </c>
      <c r="M365" t="str">
        <f t="shared" si="39"/>
        <v>Standard</v>
      </c>
      <c r="N365" t="str">
        <f t="shared" si="40"/>
        <v>Tier 3</v>
      </c>
      <c r="O365">
        <f t="shared" si="41"/>
        <v>1</v>
      </c>
    </row>
    <row r="366" spans="1:15" x14ac:dyDescent="0.2">
      <c r="A366">
        <v>21</v>
      </c>
      <c r="B366" t="str" cm="1">
        <f t="array" ref="B366">_xlfn.IFS(A366&lt;=25,"18-25", A366&lt;=35,"26-35", A366&lt;=45,"36-45", A366&lt;=55,"46-55", A366&lt;=64,"56-64")</f>
        <v>18-25</v>
      </c>
      <c r="C366" t="s">
        <v>7</v>
      </c>
      <c r="D366">
        <v>21.89</v>
      </c>
      <c r="E366">
        <v>2</v>
      </c>
      <c r="F366" t="s">
        <v>11</v>
      </c>
      <c r="G366" t="s">
        <v>51</v>
      </c>
      <c r="H366" s="2">
        <v>3180.5101</v>
      </c>
      <c r="I366" s="2">
        <f t="shared" si="35"/>
        <v>1060.1700333333333</v>
      </c>
      <c r="J366" t="str">
        <f t="shared" si="36"/>
        <v>Low</v>
      </c>
      <c r="K366" s="1">
        <f t="shared" si="37"/>
        <v>0.152</v>
      </c>
      <c r="L366" t="str">
        <f t="shared" si="38"/>
        <v>Normal</v>
      </c>
      <c r="M366" t="str">
        <f t="shared" si="39"/>
        <v>Standard</v>
      </c>
      <c r="N366" t="str">
        <f t="shared" si="40"/>
        <v>Tier 1</v>
      </c>
      <c r="O366">
        <f t="shared" si="41"/>
        <v>1</v>
      </c>
    </row>
    <row r="367" spans="1:15" x14ac:dyDescent="0.2">
      <c r="A367">
        <v>49</v>
      </c>
      <c r="B367" t="str" cm="1">
        <f t="array" ref="B367">_xlfn.IFS(A367&lt;=25,"18-25", A367&lt;=35,"26-35", A367&lt;=45,"36-45", A367&lt;=55,"46-55", A367&lt;=64,"56-64")</f>
        <v>46-55</v>
      </c>
      <c r="C367" t="s">
        <v>7</v>
      </c>
      <c r="D367">
        <v>30.78</v>
      </c>
      <c r="E367">
        <v>1</v>
      </c>
      <c r="F367" t="s">
        <v>11</v>
      </c>
      <c r="G367" t="s">
        <v>53</v>
      </c>
      <c r="H367" s="2">
        <v>9778.3472000000002</v>
      </c>
      <c r="I367" s="2">
        <f t="shared" si="35"/>
        <v>4889.1736000000001</v>
      </c>
      <c r="J367" t="str">
        <f t="shared" si="36"/>
        <v>Low</v>
      </c>
      <c r="K367" s="1">
        <f t="shared" si="37"/>
        <v>0.51900000000000002</v>
      </c>
      <c r="L367" t="str">
        <f t="shared" si="38"/>
        <v>Obese</v>
      </c>
      <c r="M367" t="str">
        <f t="shared" si="39"/>
        <v>Standard</v>
      </c>
      <c r="N367" t="str">
        <f t="shared" si="40"/>
        <v>Tier 2</v>
      </c>
      <c r="O367">
        <f t="shared" si="41"/>
        <v>2</v>
      </c>
    </row>
    <row r="368" spans="1:15" x14ac:dyDescent="0.2">
      <c r="A368">
        <v>56</v>
      </c>
      <c r="B368" t="str" cm="1">
        <f t="array" ref="B368">_xlfn.IFS(A368&lt;=25,"18-25", A368&lt;=35,"26-35", A368&lt;=45,"36-45", A368&lt;=55,"46-55", A368&lt;=64,"56-64")</f>
        <v>56-64</v>
      </c>
      <c r="C368" t="s">
        <v>7</v>
      </c>
      <c r="D368">
        <v>32.299999999999997</v>
      </c>
      <c r="E368">
        <v>3</v>
      </c>
      <c r="F368" t="s">
        <v>11</v>
      </c>
      <c r="G368" t="s">
        <v>53</v>
      </c>
      <c r="H368" s="2">
        <v>13430.264999999999</v>
      </c>
      <c r="I368" s="2">
        <f t="shared" si="35"/>
        <v>3357.5662499999999</v>
      </c>
      <c r="J368" t="str">
        <f t="shared" si="36"/>
        <v>High</v>
      </c>
      <c r="K368" s="1">
        <f t="shared" si="37"/>
        <v>0.69099999999999995</v>
      </c>
      <c r="L368" t="str">
        <f t="shared" si="38"/>
        <v>Obese</v>
      </c>
      <c r="M368" t="str">
        <f t="shared" si="39"/>
        <v>Standard</v>
      </c>
      <c r="N368" t="str">
        <f t="shared" si="40"/>
        <v>Tier 2</v>
      </c>
      <c r="O368">
        <f t="shared" si="41"/>
        <v>2</v>
      </c>
    </row>
    <row r="369" spans="1:15" x14ac:dyDescent="0.2">
      <c r="A369">
        <v>42</v>
      </c>
      <c r="B369" t="str" cm="1">
        <f t="array" ref="B369">_xlfn.IFS(A369&lt;=25,"18-25", A369&lt;=35,"26-35", A369&lt;=45,"36-45", A369&lt;=55,"46-55", A369&lt;=64,"56-64")</f>
        <v>36-45</v>
      </c>
      <c r="C369" t="s">
        <v>7</v>
      </c>
      <c r="D369">
        <v>24.984999999999999</v>
      </c>
      <c r="E369">
        <v>2</v>
      </c>
      <c r="F369" t="s">
        <v>11</v>
      </c>
      <c r="G369" t="s">
        <v>54</v>
      </c>
      <c r="H369" s="2">
        <v>8017.0611500000005</v>
      </c>
      <c r="I369" s="2">
        <f t="shared" si="35"/>
        <v>2672.353716666667</v>
      </c>
      <c r="J369" t="str">
        <f t="shared" si="36"/>
        <v>Low</v>
      </c>
      <c r="K369" s="1">
        <f t="shared" si="37"/>
        <v>0.42599999999999999</v>
      </c>
      <c r="L369" t="str">
        <f t="shared" si="38"/>
        <v>Normal</v>
      </c>
      <c r="M369" t="str">
        <f t="shared" si="39"/>
        <v>Standard</v>
      </c>
      <c r="N369" t="str">
        <f t="shared" si="40"/>
        <v>Tier 4</v>
      </c>
      <c r="O369">
        <f t="shared" si="41"/>
        <v>0</v>
      </c>
    </row>
    <row r="370" spans="1:15" x14ac:dyDescent="0.2">
      <c r="A370">
        <v>44</v>
      </c>
      <c r="B370" t="str" cm="1">
        <f t="array" ref="B370">_xlfn.IFS(A370&lt;=25,"18-25", A370&lt;=35,"26-35", A370&lt;=45,"36-45", A370&lt;=55,"46-55", A370&lt;=64,"56-64")</f>
        <v>36-45</v>
      </c>
      <c r="C370" t="s">
        <v>10</v>
      </c>
      <c r="D370">
        <v>32.015000000000001</v>
      </c>
      <c r="E370">
        <v>2</v>
      </c>
      <c r="F370" t="s">
        <v>11</v>
      </c>
      <c r="G370" t="s">
        <v>54</v>
      </c>
      <c r="H370" s="2">
        <v>8116.2688500000004</v>
      </c>
      <c r="I370" s="2">
        <f t="shared" si="35"/>
        <v>2705.4229500000001</v>
      </c>
      <c r="J370" t="str">
        <f t="shared" si="36"/>
        <v>Low</v>
      </c>
      <c r="K370" s="1">
        <f t="shared" si="37"/>
        <v>0.432</v>
      </c>
      <c r="L370" t="str">
        <f t="shared" si="38"/>
        <v>Obese</v>
      </c>
      <c r="M370" t="str">
        <f t="shared" si="39"/>
        <v>Standard</v>
      </c>
      <c r="N370" t="str">
        <f t="shared" si="40"/>
        <v>Tier 4</v>
      </c>
      <c r="O370">
        <f t="shared" si="41"/>
        <v>2</v>
      </c>
    </row>
    <row r="371" spans="1:15" x14ac:dyDescent="0.2">
      <c r="A371">
        <v>18</v>
      </c>
      <c r="B371" t="str" cm="1">
        <f t="array" ref="B371">_xlfn.IFS(A371&lt;=25,"18-25", A371&lt;=35,"26-35", A371&lt;=45,"36-45", A371&lt;=55,"46-55", A371&lt;=64,"56-64")</f>
        <v>18-25</v>
      </c>
      <c r="C371" t="s">
        <v>10</v>
      </c>
      <c r="D371">
        <v>30.4</v>
      </c>
      <c r="E371">
        <v>3</v>
      </c>
      <c r="F371" t="s">
        <v>11</v>
      </c>
      <c r="G371" t="s">
        <v>53</v>
      </c>
      <c r="H371" s="2">
        <v>3481.8679999999999</v>
      </c>
      <c r="I371" s="2">
        <f t="shared" si="35"/>
        <v>870.46699999999998</v>
      </c>
      <c r="J371" t="str">
        <f t="shared" si="36"/>
        <v>Low</v>
      </c>
      <c r="K371" s="1">
        <f t="shared" si="37"/>
        <v>0.17</v>
      </c>
      <c r="L371" t="str">
        <f t="shared" si="38"/>
        <v>Obese</v>
      </c>
      <c r="M371" t="str">
        <f t="shared" si="39"/>
        <v>Standard</v>
      </c>
      <c r="N371" t="str">
        <f t="shared" si="40"/>
        <v>Tier 2</v>
      </c>
      <c r="O371">
        <f t="shared" si="41"/>
        <v>2</v>
      </c>
    </row>
    <row r="372" spans="1:15" x14ac:dyDescent="0.2">
      <c r="A372">
        <v>61</v>
      </c>
      <c r="B372" t="str" cm="1">
        <f t="array" ref="B372">_xlfn.IFS(A372&lt;=25,"18-25", A372&lt;=35,"26-35", A372&lt;=45,"36-45", A372&lt;=55,"46-55", A372&lt;=64,"56-64")</f>
        <v>56-64</v>
      </c>
      <c r="C372" t="s">
        <v>7</v>
      </c>
      <c r="D372">
        <v>21.09</v>
      </c>
      <c r="E372">
        <v>0</v>
      </c>
      <c r="F372" t="s">
        <v>11</v>
      </c>
      <c r="G372" t="s">
        <v>54</v>
      </c>
      <c r="H372" s="2">
        <v>13415.0381</v>
      </c>
      <c r="I372" s="2">
        <f t="shared" si="35"/>
        <v>13415.0381</v>
      </c>
      <c r="J372" t="str">
        <f t="shared" si="36"/>
        <v>High</v>
      </c>
      <c r="K372" s="1">
        <f t="shared" si="37"/>
        <v>0.68899999999999995</v>
      </c>
      <c r="L372" t="str">
        <f t="shared" si="38"/>
        <v>Normal</v>
      </c>
      <c r="M372" t="str">
        <f t="shared" si="39"/>
        <v>Standard</v>
      </c>
      <c r="N372" t="str">
        <f t="shared" si="40"/>
        <v>Tier 4</v>
      </c>
      <c r="O372">
        <f t="shared" si="41"/>
        <v>0</v>
      </c>
    </row>
    <row r="373" spans="1:15" x14ac:dyDescent="0.2">
      <c r="A373">
        <v>57</v>
      </c>
      <c r="B373" t="str" cm="1">
        <f t="array" ref="B373">_xlfn.IFS(A373&lt;=25,"18-25", A373&lt;=35,"26-35", A373&lt;=45,"36-45", A373&lt;=55,"46-55", A373&lt;=64,"56-64")</f>
        <v>56-64</v>
      </c>
      <c r="C373" t="s">
        <v>7</v>
      </c>
      <c r="D373">
        <v>22.23</v>
      </c>
      <c r="E373">
        <v>0</v>
      </c>
      <c r="F373" t="s">
        <v>11</v>
      </c>
      <c r="G373" t="s">
        <v>53</v>
      </c>
      <c r="H373" s="2">
        <v>12029.286700000001</v>
      </c>
      <c r="I373" s="2">
        <f t="shared" si="35"/>
        <v>12029.286700000001</v>
      </c>
      <c r="J373" t="str">
        <f t="shared" si="36"/>
        <v>Low</v>
      </c>
      <c r="K373" s="1">
        <f t="shared" si="37"/>
        <v>0.63200000000000001</v>
      </c>
      <c r="L373" t="str">
        <f t="shared" si="38"/>
        <v>Normal</v>
      </c>
      <c r="M373" t="str">
        <f t="shared" si="39"/>
        <v>Standard</v>
      </c>
      <c r="N373" t="str">
        <f t="shared" si="40"/>
        <v>Tier 2</v>
      </c>
      <c r="O373">
        <f t="shared" si="41"/>
        <v>0</v>
      </c>
    </row>
    <row r="374" spans="1:15" x14ac:dyDescent="0.2">
      <c r="A374">
        <v>42</v>
      </c>
      <c r="B374" t="str" cm="1">
        <f t="array" ref="B374">_xlfn.IFS(A374&lt;=25,"18-25", A374&lt;=35,"26-35", A374&lt;=45,"36-45", A374&lt;=55,"46-55", A374&lt;=64,"56-64")</f>
        <v>36-45</v>
      </c>
      <c r="C374" t="s">
        <v>7</v>
      </c>
      <c r="D374">
        <v>33.155000000000001</v>
      </c>
      <c r="E374">
        <v>1</v>
      </c>
      <c r="F374" t="s">
        <v>11</v>
      </c>
      <c r="G374" t="s">
        <v>53</v>
      </c>
      <c r="H374" s="2">
        <v>7639.4174499999999</v>
      </c>
      <c r="I374" s="2">
        <f t="shared" si="35"/>
        <v>3819.708725</v>
      </c>
      <c r="J374" t="str">
        <f t="shared" si="36"/>
        <v>Low</v>
      </c>
      <c r="K374" s="1">
        <f t="shared" si="37"/>
        <v>0.41199999999999998</v>
      </c>
      <c r="L374" t="str">
        <f t="shared" si="38"/>
        <v>Obese</v>
      </c>
      <c r="M374" t="str">
        <f t="shared" si="39"/>
        <v>Standard</v>
      </c>
      <c r="N374" t="str">
        <f t="shared" si="40"/>
        <v>Tier 2</v>
      </c>
      <c r="O374">
        <f t="shared" si="41"/>
        <v>2</v>
      </c>
    </row>
    <row r="375" spans="1:15" x14ac:dyDescent="0.2">
      <c r="A375">
        <v>26</v>
      </c>
      <c r="B375" t="str" cm="1">
        <f t="array" ref="B375">_xlfn.IFS(A375&lt;=25,"18-25", A375&lt;=35,"26-35", A375&lt;=45,"36-45", A375&lt;=55,"46-55", A375&lt;=64,"56-64")</f>
        <v>26-35</v>
      </c>
      <c r="C375" t="s">
        <v>10</v>
      </c>
      <c r="D375">
        <v>32.9</v>
      </c>
      <c r="E375">
        <v>2</v>
      </c>
      <c r="F375" t="s">
        <v>8</v>
      </c>
      <c r="G375" t="s">
        <v>52</v>
      </c>
      <c r="H375" s="2">
        <v>36085.218999999997</v>
      </c>
      <c r="I375" s="2">
        <f t="shared" si="35"/>
        <v>12028.406333333332</v>
      </c>
      <c r="J375" t="str">
        <f t="shared" si="36"/>
        <v>High</v>
      </c>
      <c r="K375" s="1">
        <f t="shared" si="37"/>
        <v>0.90600000000000003</v>
      </c>
      <c r="L375" t="str">
        <f t="shared" si="38"/>
        <v>Obese</v>
      </c>
      <c r="M375" t="str">
        <f t="shared" si="39"/>
        <v>High Risk</v>
      </c>
      <c r="N375" t="str">
        <f t="shared" si="40"/>
        <v>Tier 3</v>
      </c>
      <c r="O375">
        <f t="shared" si="41"/>
        <v>5</v>
      </c>
    </row>
    <row r="376" spans="1:15" x14ac:dyDescent="0.2">
      <c r="A376">
        <v>20</v>
      </c>
      <c r="B376" t="str" cm="1">
        <f t="array" ref="B376">_xlfn.IFS(A376&lt;=25,"18-25", A376&lt;=35,"26-35", A376&lt;=45,"36-45", A376&lt;=55,"46-55", A376&lt;=64,"56-64")</f>
        <v>18-25</v>
      </c>
      <c r="C376" t="s">
        <v>10</v>
      </c>
      <c r="D376">
        <v>33.33</v>
      </c>
      <c r="E376">
        <v>0</v>
      </c>
      <c r="F376" t="s">
        <v>11</v>
      </c>
      <c r="G376" t="s">
        <v>51</v>
      </c>
      <c r="H376" s="2">
        <v>1391.5287000000001</v>
      </c>
      <c r="I376" s="2">
        <f t="shared" si="35"/>
        <v>1391.5287000000001</v>
      </c>
      <c r="J376" t="str">
        <f t="shared" si="36"/>
        <v>Low</v>
      </c>
      <c r="K376" s="1">
        <f t="shared" si="37"/>
        <v>1.4E-2</v>
      </c>
      <c r="L376" t="str">
        <f t="shared" si="38"/>
        <v>Obese</v>
      </c>
      <c r="M376" t="str">
        <f t="shared" si="39"/>
        <v>Standard</v>
      </c>
      <c r="N376" t="str">
        <f t="shared" si="40"/>
        <v>Tier 1</v>
      </c>
      <c r="O376">
        <f t="shared" si="41"/>
        <v>3</v>
      </c>
    </row>
    <row r="377" spans="1:15" x14ac:dyDescent="0.2">
      <c r="A377">
        <v>23</v>
      </c>
      <c r="B377" t="str" cm="1">
        <f t="array" ref="B377">_xlfn.IFS(A377&lt;=25,"18-25", A377&lt;=35,"26-35", A377&lt;=45,"36-45", A377&lt;=55,"46-55", A377&lt;=64,"56-64")</f>
        <v>18-25</v>
      </c>
      <c r="C377" t="s">
        <v>7</v>
      </c>
      <c r="D377">
        <v>28.31</v>
      </c>
      <c r="E377">
        <v>0</v>
      </c>
      <c r="F377" t="s">
        <v>8</v>
      </c>
      <c r="G377" t="s">
        <v>54</v>
      </c>
      <c r="H377" s="2">
        <v>18033.9679</v>
      </c>
      <c r="I377" s="2">
        <f t="shared" si="35"/>
        <v>18033.9679</v>
      </c>
      <c r="J377" t="str">
        <f t="shared" si="36"/>
        <v>High</v>
      </c>
      <c r="K377" s="1">
        <f t="shared" si="37"/>
        <v>0.76600000000000001</v>
      </c>
      <c r="L377" t="str">
        <f t="shared" si="38"/>
        <v>Overweight</v>
      </c>
      <c r="M377" t="str">
        <f t="shared" si="39"/>
        <v>High Risk</v>
      </c>
      <c r="N377" t="str">
        <f t="shared" si="40"/>
        <v>Tier 4</v>
      </c>
      <c r="O377">
        <f t="shared" si="41"/>
        <v>4</v>
      </c>
    </row>
    <row r="378" spans="1:15" x14ac:dyDescent="0.2">
      <c r="A378">
        <v>39</v>
      </c>
      <c r="B378" t="str" cm="1">
        <f t="array" ref="B378">_xlfn.IFS(A378&lt;=25,"18-25", A378&lt;=35,"26-35", A378&lt;=45,"36-45", A378&lt;=55,"46-55", A378&lt;=64,"56-64")</f>
        <v>36-45</v>
      </c>
      <c r="C378" t="s">
        <v>7</v>
      </c>
      <c r="D378">
        <v>24.89</v>
      </c>
      <c r="E378">
        <v>3</v>
      </c>
      <c r="F378" t="s">
        <v>8</v>
      </c>
      <c r="G378" t="s">
        <v>53</v>
      </c>
      <c r="H378" s="2">
        <v>21659.930100000001</v>
      </c>
      <c r="I378" s="2">
        <f t="shared" si="35"/>
        <v>5414.9825250000004</v>
      </c>
      <c r="J378" t="str">
        <f t="shared" si="36"/>
        <v>High</v>
      </c>
      <c r="K378" s="1">
        <f t="shared" si="37"/>
        <v>0.81599999999999995</v>
      </c>
      <c r="L378" t="str">
        <f t="shared" si="38"/>
        <v>Normal</v>
      </c>
      <c r="M378" t="str">
        <f t="shared" si="39"/>
        <v>High Risk</v>
      </c>
      <c r="N378" t="str">
        <f t="shared" si="40"/>
        <v>Tier 2</v>
      </c>
      <c r="O378">
        <f t="shared" si="41"/>
        <v>3</v>
      </c>
    </row>
    <row r="379" spans="1:15" x14ac:dyDescent="0.2">
      <c r="A379">
        <v>24</v>
      </c>
      <c r="B379" t="str" cm="1">
        <f t="array" ref="B379">_xlfn.IFS(A379&lt;=25,"18-25", A379&lt;=35,"26-35", A379&lt;=45,"36-45", A379&lt;=55,"46-55", A379&lt;=64,"56-64")</f>
        <v>18-25</v>
      </c>
      <c r="C379" t="s">
        <v>10</v>
      </c>
      <c r="D379">
        <v>40.15</v>
      </c>
      <c r="E379">
        <v>0</v>
      </c>
      <c r="F379" t="s">
        <v>8</v>
      </c>
      <c r="G379" t="s">
        <v>51</v>
      </c>
      <c r="H379" s="2">
        <v>38126.246500000001</v>
      </c>
      <c r="I379" s="2">
        <f t="shared" si="35"/>
        <v>38126.246500000001</v>
      </c>
      <c r="J379" t="str">
        <f t="shared" si="36"/>
        <v>High</v>
      </c>
      <c r="K379" s="1">
        <f t="shared" si="37"/>
        <v>0.92300000000000004</v>
      </c>
      <c r="L379" t="str">
        <f t="shared" si="38"/>
        <v>Obese</v>
      </c>
      <c r="M379" t="str">
        <f t="shared" si="39"/>
        <v>High Risk</v>
      </c>
      <c r="N379" t="str">
        <f t="shared" si="40"/>
        <v>Tier 1</v>
      </c>
      <c r="O379">
        <f t="shared" si="41"/>
        <v>6</v>
      </c>
    </row>
    <row r="380" spans="1:15" x14ac:dyDescent="0.2">
      <c r="A380">
        <v>64</v>
      </c>
      <c r="B380" t="str" cm="1">
        <f t="array" ref="B380">_xlfn.IFS(A380&lt;=25,"18-25", A380&lt;=35,"26-35", A380&lt;=45,"36-45", A380&lt;=55,"46-55", A380&lt;=64,"56-64")</f>
        <v>56-64</v>
      </c>
      <c r="C380" t="s">
        <v>7</v>
      </c>
      <c r="D380">
        <v>30.114999999999998</v>
      </c>
      <c r="E380">
        <v>3</v>
      </c>
      <c r="F380" t="s">
        <v>11</v>
      </c>
      <c r="G380" t="s">
        <v>54</v>
      </c>
      <c r="H380" s="2">
        <v>16455.707849999999</v>
      </c>
      <c r="I380" s="2">
        <f t="shared" si="35"/>
        <v>4113.9269624999997</v>
      </c>
      <c r="J380" t="str">
        <f t="shared" si="36"/>
        <v>High</v>
      </c>
      <c r="K380" s="1">
        <f t="shared" si="37"/>
        <v>0.747</v>
      </c>
      <c r="L380" t="str">
        <f t="shared" si="38"/>
        <v>Obese</v>
      </c>
      <c r="M380" t="str">
        <f t="shared" si="39"/>
        <v>Standard</v>
      </c>
      <c r="N380" t="str">
        <f t="shared" si="40"/>
        <v>Tier 4</v>
      </c>
      <c r="O380">
        <f t="shared" si="41"/>
        <v>2</v>
      </c>
    </row>
    <row r="381" spans="1:15" x14ac:dyDescent="0.2">
      <c r="A381">
        <v>62</v>
      </c>
      <c r="B381" t="str" cm="1">
        <f t="array" ref="B381">_xlfn.IFS(A381&lt;=25,"18-25", A381&lt;=35,"26-35", A381&lt;=45,"36-45", A381&lt;=55,"46-55", A381&lt;=64,"56-64")</f>
        <v>56-64</v>
      </c>
      <c r="C381" t="s">
        <v>10</v>
      </c>
      <c r="D381">
        <v>31.46</v>
      </c>
      <c r="E381">
        <v>1</v>
      </c>
      <c r="F381" t="s">
        <v>11</v>
      </c>
      <c r="G381" t="s">
        <v>51</v>
      </c>
      <c r="H381" s="2">
        <v>27000.98473</v>
      </c>
      <c r="I381" s="2">
        <f t="shared" si="35"/>
        <v>13500.492365</v>
      </c>
      <c r="J381" t="str">
        <f t="shared" si="36"/>
        <v>High</v>
      </c>
      <c r="K381" s="1">
        <f t="shared" si="37"/>
        <v>0.86199999999999999</v>
      </c>
      <c r="L381" t="str">
        <f t="shared" si="38"/>
        <v>Obese</v>
      </c>
      <c r="M381" t="str">
        <f t="shared" si="39"/>
        <v>Standard</v>
      </c>
      <c r="N381" t="str">
        <f t="shared" si="40"/>
        <v>Tier 1</v>
      </c>
      <c r="O381">
        <f t="shared" si="41"/>
        <v>3</v>
      </c>
    </row>
    <row r="382" spans="1:15" x14ac:dyDescent="0.2">
      <c r="A382">
        <v>27</v>
      </c>
      <c r="B382" t="str" cm="1">
        <f t="array" ref="B382">_xlfn.IFS(A382&lt;=25,"18-25", A382&lt;=35,"26-35", A382&lt;=45,"36-45", A382&lt;=55,"46-55", A382&lt;=64,"56-64")</f>
        <v>26-35</v>
      </c>
      <c r="C382" t="s">
        <v>7</v>
      </c>
      <c r="D382">
        <v>17.954999999999998</v>
      </c>
      <c r="E382">
        <v>2</v>
      </c>
      <c r="F382" t="s">
        <v>8</v>
      </c>
      <c r="G382" t="s">
        <v>53</v>
      </c>
      <c r="H382" s="2">
        <v>15006.579449999999</v>
      </c>
      <c r="I382" s="2">
        <f t="shared" si="35"/>
        <v>5002.1931500000001</v>
      </c>
      <c r="J382" t="str">
        <f t="shared" si="36"/>
        <v>High</v>
      </c>
      <c r="K382" s="1">
        <f t="shared" si="37"/>
        <v>0.73199999999999998</v>
      </c>
      <c r="L382" t="str">
        <f t="shared" si="38"/>
        <v>Underweight</v>
      </c>
      <c r="M382" t="str">
        <f t="shared" si="39"/>
        <v>High Risk</v>
      </c>
      <c r="N382" t="str">
        <f t="shared" si="40"/>
        <v>Tier 2</v>
      </c>
      <c r="O382">
        <f t="shared" si="41"/>
        <v>3</v>
      </c>
    </row>
    <row r="383" spans="1:15" x14ac:dyDescent="0.2">
      <c r="A383">
        <v>55</v>
      </c>
      <c r="B383" t="str" cm="1">
        <f t="array" ref="B383">_xlfn.IFS(A383&lt;=25,"18-25", A383&lt;=35,"26-35", A383&lt;=45,"36-45", A383&lt;=55,"46-55", A383&lt;=64,"56-64")</f>
        <v>46-55</v>
      </c>
      <c r="C383" t="s">
        <v>10</v>
      </c>
      <c r="D383">
        <v>30.684999999999999</v>
      </c>
      <c r="E383">
        <v>0</v>
      </c>
      <c r="F383" t="s">
        <v>8</v>
      </c>
      <c r="G383" t="s">
        <v>53</v>
      </c>
      <c r="H383" s="2">
        <v>42303.692150000003</v>
      </c>
      <c r="I383" s="2">
        <f t="shared" si="35"/>
        <v>42303.692150000003</v>
      </c>
      <c r="J383" t="str">
        <f t="shared" si="36"/>
        <v>High</v>
      </c>
      <c r="K383" s="1">
        <f t="shared" si="37"/>
        <v>0.95699999999999996</v>
      </c>
      <c r="L383" t="str">
        <f t="shared" si="38"/>
        <v>Obese</v>
      </c>
      <c r="M383" t="str">
        <f t="shared" si="39"/>
        <v>High Risk</v>
      </c>
      <c r="N383" t="str">
        <f t="shared" si="40"/>
        <v>Tier 2</v>
      </c>
      <c r="O383">
        <f t="shared" si="41"/>
        <v>5</v>
      </c>
    </row>
    <row r="384" spans="1:15" x14ac:dyDescent="0.2">
      <c r="A384">
        <v>55</v>
      </c>
      <c r="B384" t="str" cm="1">
        <f t="array" ref="B384">_xlfn.IFS(A384&lt;=25,"18-25", A384&lt;=35,"26-35", A384&lt;=45,"36-45", A384&lt;=55,"46-55", A384&lt;=64,"56-64")</f>
        <v>46-55</v>
      </c>
      <c r="C384" t="s">
        <v>10</v>
      </c>
      <c r="D384">
        <v>33</v>
      </c>
      <c r="E384">
        <v>0</v>
      </c>
      <c r="F384" t="s">
        <v>11</v>
      </c>
      <c r="G384" t="s">
        <v>51</v>
      </c>
      <c r="H384" s="2">
        <v>20781.48892</v>
      </c>
      <c r="I384" s="2">
        <f t="shared" si="35"/>
        <v>20781.48892</v>
      </c>
      <c r="J384" t="str">
        <f t="shared" si="36"/>
        <v>High</v>
      </c>
      <c r="K384" s="1">
        <f t="shared" si="37"/>
        <v>0.80600000000000005</v>
      </c>
      <c r="L384" t="str">
        <f t="shared" si="38"/>
        <v>Obese</v>
      </c>
      <c r="M384" t="str">
        <f t="shared" si="39"/>
        <v>Standard</v>
      </c>
      <c r="N384" t="str">
        <f t="shared" si="40"/>
        <v>Tier 1</v>
      </c>
      <c r="O384">
        <f t="shared" si="41"/>
        <v>3</v>
      </c>
    </row>
    <row r="385" spans="1:15" x14ac:dyDescent="0.2">
      <c r="A385">
        <v>35</v>
      </c>
      <c r="B385" t="str" cm="1">
        <f t="array" ref="B385">_xlfn.IFS(A385&lt;=25,"18-25", A385&lt;=35,"26-35", A385&lt;=45,"36-45", A385&lt;=55,"46-55", A385&lt;=64,"56-64")</f>
        <v>26-35</v>
      </c>
      <c r="C385" t="s">
        <v>7</v>
      </c>
      <c r="D385">
        <v>43.34</v>
      </c>
      <c r="E385">
        <v>2</v>
      </c>
      <c r="F385" t="s">
        <v>11</v>
      </c>
      <c r="G385" t="s">
        <v>51</v>
      </c>
      <c r="H385" s="2">
        <v>5846.9175999999998</v>
      </c>
      <c r="I385" s="2">
        <f t="shared" si="35"/>
        <v>1948.9725333333333</v>
      </c>
      <c r="J385" t="str">
        <f t="shared" si="36"/>
        <v>Low</v>
      </c>
      <c r="K385" s="1">
        <f t="shared" si="37"/>
        <v>0.311</v>
      </c>
      <c r="L385" t="str">
        <f t="shared" si="38"/>
        <v>Obese</v>
      </c>
      <c r="M385" t="str">
        <f t="shared" si="39"/>
        <v>Standard</v>
      </c>
      <c r="N385" t="str">
        <f t="shared" si="40"/>
        <v>Tier 1</v>
      </c>
      <c r="O385">
        <f t="shared" si="41"/>
        <v>3</v>
      </c>
    </row>
    <row r="386" spans="1:15" x14ac:dyDescent="0.2">
      <c r="A386">
        <v>44</v>
      </c>
      <c r="B386" t="str" cm="1">
        <f t="array" ref="B386">_xlfn.IFS(A386&lt;=25,"18-25", A386&lt;=35,"26-35", A386&lt;=45,"36-45", A386&lt;=55,"46-55", A386&lt;=64,"56-64")</f>
        <v>36-45</v>
      </c>
      <c r="C386" t="s">
        <v>10</v>
      </c>
      <c r="D386">
        <v>22.135000000000002</v>
      </c>
      <c r="E386">
        <v>2</v>
      </c>
      <c r="F386" t="s">
        <v>11</v>
      </c>
      <c r="G386" t="s">
        <v>53</v>
      </c>
      <c r="H386" s="2">
        <v>8302.5356499999998</v>
      </c>
      <c r="I386" s="2">
        <f t="shared" ref="I386:I449" si="42">H386/(E386+1)</f>
        <v>2767.5118833333331</v>
      </c>
      <c r="J386" t="str">
        <f t="shared" ref="J386:J449" si="43">IF(H386&gt;AVERAGE($H$2:$H$1339),"High","Low")</f>
        <v>Low</v>
      </c>
      <c r="K386" s="1">
        <f t="shared" ref="K386:K449" si="44">PERCENTRANK($H$2:$H$1339,H386)</f>
        <v>0.443</v>
      </c>
      <c r="L386" t="str">
        <f t="shared" ref="L386:L449" si="45">IF(D386&lt;18.5,"Underweight",IF(D386&lt;25,"Normal",IF(D386&lt;30,"Overweight","Obese")))</f>
        <v>Normal</v>
      </c>
      <c r="M386" t="str">
        <f t="shared" ref="M386:M449" si="46">IF(F386="yes","High Risk","Standard")</f>
        <v>Standard</v>
      </c>
      <c r="N386" t="str">
        <f t="shared" ref="N386:N449" si="47">IF(G386="southeast","Tier 1",IF(G386="northeast","Tier 2",IF(G386="southwest","Tier 3","Tier 4")))</f>
        <v>Tier 2</v>
      </c>
      <c r="O386">
        <f t="shared" ref="O386:O449" si="48">IF(F386="yes",3,0)+IF(D386&gt;=30,2,IF(D386&gt;=25,1,0))+IF(G386="southeast",1,0)</f>
        <v>0</v>
      </c>
    </row>
    <row r="387" spans="1:15" x14ac:dyDescent="0.2">
      <c r="A387">
        <v>19</v>
      </c>
      <c r="B387" t="str" cm="1">
        <f t="array" ref="B387">_xlfn.IFS(A387&lt;=25,"18-25", A387&lt;=35,"26-35", A387&lt;=45,"36-45", A387&lt;=55,"46-55", A387&lt;=64,"56-64")</f>
        <v>18-25</v>
      </c>
      <c r="C387" t="s">
        <v>10</v>
      </c>
      <c r="D387">
        <v>34.4</v>
      </c>
      <c r="E387">
        <v>0</v>
      </c>
      <c r="F387" t="s">
        <v>11</v>
      </c>
      <c r="G387" t="s">
        <v>52</v>
      </c>
      <c r="H387" s="2">
        <v>1261.8589999999999</v>
      </c>
      <c r="I387" s="2">
        <f t="shared" si="42"/>
        <v>1261.8589999999999</v>
      </c>
      <c r="J387" t="str">
        <f t="shared" si="43"/>
        <v>Low</v>
      </c>
      <c r="K387" s="1">
        <f t="shared" si="44"/>
        <v>1.2E-2</v>
      </c>
      <c r="L387" t="str">
        <f t="shared" si="45"/>
        <v>Obese</v>
      </c>
      <c r="M387" t="str">
        <f t="shared" si="46"/>
        <v>Standard</v>
      </c>
      <c r="N387" t="str">
        <f t="shared" si="47"/>
        <v>Tier 3</v>
      </c>
      <c r="O387">
        <f t="shared" si="48"/>
        <v>2</v>
      </c>
    </row>
    <row r="388" spans="1:15" x14ac:dyDescent="0.2">
      <c r="A388">
        <v>58</v>
      </c>
      <c r="B388" t="str" cm="1">
        <f t="array" ref="B388">_xlfn.IFS(A388&lt;=25,"18-25", A388&lt;=35,"26-35", A388&lt;=45,"36-45", A388&lt;=55,"46-55", A388&lt;=64,"56-64")</f>
        <v>56-64</v>
      </c>
      <c r="C388" t="s">
        <v>7</v>
      </c>
      <c r="D388">
        <v>39.049999999999997</v>
      </c>
      <c r="E388">
        <v>0</v>
      </c>
      <c r="F388" t="s">
        <v>11</v>
      </c>
      <c r="G388" t="s">
        <v>51</v>
      </c>
      <c r="H388" s="2">
        <v>11856.4115</v>
      </c>
      <c r="I388" s="2">
        <f t="shared" si="42"/>
        <v>11856.4115</v>
      </c>
      <c r="J388" t="str">
        <f t="shared" si="43"/>
        <v>Low</v>
      </c>
      <c r="K388" s="1">
        <f t="shared" si="44"/>
        <v>0.624</v>
      </c>
      <c r="L388" t="str">
        <f t="shared" si="45"/>
        <v>Obese</v>
      </c>
      <c r="M388" t="str">
        <f t="shared" si="46"/>
        <v>Standard</v>
      </c>
      <c r="N388" t="str">
        <f t="shared" si="47"/>
        <v>Tier 1</v>
      </c>
      <c r="O388">
        <f t="shared" si="48"/>
        <v>3</v>
      </c>
    </row>
    <row r="389" spans="1:15" x14ac:dyDescent="0.2">
      <c r="A389">
        <v>50</v>
      </c>
      <c r="B389" t="str" cm="1">
        <f t="array" ref="B389">_xlfn.IFS(A389&lt;=25,"18-25", A389&lt;=35,"26-35", A389&lt;=45,"36-45", A389&lt;=55,"46-55", A389&lt;=64,"56-64")</f>
        <v>46-55</v>
      </c>
      <c r="C389" t="s">
        <v>10</v>
      </c>
      <c r="D389">
        <v>25.364999999999998</v>
      </c>
      <c r="E389">
        <v>2</v>
      </c>
      <c r="F389" t="s">
        <v>11</v>
      </c>
      <c r="G389" t="s">
        <v>54</v>
      </c>
      <c r="H389" s="2">
        <v>30284.642940000002</v>
      </c>
      <c r="I389" s="2">
        <f t="shared" si="42"/>
        <v>10094.88098</v>
      </c>
      <c r="J389" t="str">
        <f t="shared" si="43"/>
        <v>High</v>
      </c>
      <c r="K389" s="1">
        <f t="shared" si="44"/>
        <v>0.88200000000000001</v>
      </c>
      <c r="L389" t="str">
        <f t="shared" si="45"/>
        <v>Overweight</v>
      </c>
      <c r="M389" t="str">
        <f t="shared" si="46"/>
        <v>Standard</v>
      </c>
      <c r="N389" t="str">
        <f t="shared" si="47"/>
        <v>Tier 4</v>
      </c>
      <c r="O389">
        <f t="shared" si="48"/>
        <v>1</v>
      </c>
    </row>
    <row r="390" spans="1:15" x14ac:dyDescent="0.2">
      <c r="A390">
        <v>26</v>
      </c>
      <c r="B390" t="str" cm="1">
        <f t="array" ref="B390">_xlfn.IFS(A390&lt;=25,"18-25", A390&lt;=35,"26-35", A390&lt;=45,"36-45", A390&lt;=55,"46-55", A390&lt;=64,"56-64")</f>
        <v>26-35</v>
      </c>
      <c r="C390" t="s">
        <v>7</v>
      </c>
      <c r="D390">
        <v>22.61</v>
      </c>
      <c r="E390">
        <v>0</v>
      </c>
      <c r="F390" t="s">
        <v>11</v>
      </c>
      <c r="G390" t="s">
        <v>54</v>
      </c>
      <c r="H390" s="2">
        <v>3176.8159000000001</v>
      </c>
      <c r="I390" s="2">
        <f t="shared" si="42"/>
        <v>3176.8159000000001</v>
      </c>
      <c r="J390" t="str">
        <f t="shared" si="43"/>
        <v>Low</v>
      </c>
      <c r="K390" s="1">
        <f t="shared" si="44"/>
        <v>0.151</v>
      </c>
      <c r="L390" t="str">
        <f t="shared" si="45"/>
        <v>Normal</v>
      </c>
      <c r="M390" t="str">
        <f t="shared" si="46"/>
        <v>Standard</v>
      </c>
      <c r="N390" t="str">
        <f t="shared" si="47"/>
        <v>Tier 4</v>
      </c>
      <c r="O390">
        <f t="shared" si="48"/>
        <v>0</v>
      </c>
    </row>
    <row r="391" spans="1:15" x14ac:dyDescent="0.2">
      <c r="A391">
        <v>24</v>
      </c>
      <c r="B391" t="str" cm="1">
        <f t="array" ref="B391">_xlfn.IFS(A391&lt;=25,"18-25", A391&lt;=35,"26-35", A391&lt;=45,"36-45", A391&lt;=55,"46-55", A391&lt;=64,"56-64")</f>
        <v>18-25</v>
      </c>
      <c r="C391" t="s">
        <v>7</v>
      </c>
      <c r="D391">
        <v>30.21</v>
      </c>
      <c r="E391">
        <v>3</v>
      </c>
      <c r="F391" t="s">
        <v>11</v>
      </c>
      <c r="G391" t="s">
        <v>54</v>
      </c>
      <c r="H391" s="2">
        <v>4618.0798999999997</v>
      </c>
      <c r="I391" s="2">
        <f t="shared" si="42"/>
        <v>1154.5199749999999</v>
      </c>
      <c r="J391" t="str">
        <f t="shared" si="43"/>
        <v>Low</v>
      </c>
      <c r="K391" s="1">
        <f t="shared" si="44"/>
        <v>0.24099999999999999</v>
      </c>
      <c r="L391" t="str">
        <f t="shared" si="45"/>
        <v>Obese</v>
      </c>
      <c r="M391" t="str">
        <f t="shared" si="46"/>
        <v>Standard</v>
      </c>
      <c r="N391" t="str">
        <f t="shared" si="47"/>
        <v>Tier 4</v>
      </c>
      <c r="O391">
        <f t="shared" si="48"/>
        <v>2</v>
      </c>
    </row>
    <row r="392" spans="1:15" x14ac:dyDescent="0.2">
      <c r="A392">
        <v>48</v>
      </c>
      <c r="B392" t="str" cm="1">
        <f t="array" ref="B392">_xlfn.IFS(A392&lt;=25,"18-25", A392&lt;=35,"26-35", A392&lt;=45,"36-45", A392&lt;=55,"46-55", A392&lt;=64,"56-64")</f>
        <v>46-55</v>
      </c>
      <c r="C392" t="s">
        <v>10</v>
      </c>
      <c r="D392">
        <v>35.625</v>
      </c>
      <c r="E392">
        <v>4</v>
      </c>
      <c r="F392" t="s">
        <v>11</v>
      </c>
      <c r="G392" t="s">
        <v>53</v>
      </c>
      <c r="H392" s="2">
        <v>10736.87075</v>
      </c>
      <c r="I392" s="2">
        <f t="shared" si="42"/>
        <v>2147.3741500000001</v>
      </c>
      <c r="J392" t="str">
        <f t="shared" si="43"/>
        <v>Low</v>
      </c>
      <c r="K392" s="1">
        <f t="shared" si="44"/>
        <v>0.56299999999999994</v>
      </c>
      <c r="L392" t="str">
        <f t="shared" si="45"/>
        <v>Obese</v>
      </c>
      <c r="M392" t="str">
        <f t="shared" si="46"/>
        <v>Standard</v>
      </c>
      <c r="N392" t="str">
        <f t="shared" si="47"/>
        <v>Tier 2</v>
      </c>
      <c r="O392">
        <f t="shared" si="48"/>
        <v>2</v>
      </c>
    </row>
    <row r="393" spans="1:15" x14ac:dyDescent="0.2">
      <c r="A393">
        <v>19</v>
      </c>
      <c r="B393" t="str" cm="1">
        <f t="array" ref="B393">_xlfn.IFS(A393&lt;=25,"18-25", A393&lt;=35,"26-35", A393&lt;=45,"36-45", A393&lt;=55,"46-55", A393&lt;=64,"56-64")</f>
        <v>18-25</v>
      </c>
      <c r="C393" t="s">
        <v>7</v>
      </c>
      <c r="D393">
        <v>37.43</v>
      </c>
      <c r="E393">
        <v>0</v>
      </c>
      <c r="F393" t="s">
        <v>11</v>
      </c>
      <c r="G393" t="s">
        <v>54</v>
      </c>
      <c r="H393" s="2">
        <v>2138.0707000000002</v>
      </c>
      <c r="I393" s="2">
        <f t="shared" si="42"/>
        <v>2138.0707000000002</v>
      </c>
      <c r="J393" t="str">
        <f t="shared" si="43"/>
        <v>Low</v>
      </c>
      <c r="K393" s="1">
        <f t="shared" si="44"/>
        <v>0.08</v>
      </c>
      <c r="L393" t="str">
        <f t="shared" si="45"/>
        <v>Obese</v>
      </c>
      <c r="M393" t="str">
        <f t="shared" si="46"/>
        <v>Standard</v>
      </c>
      <c r="N393" t="str">
        <f t="shared" si="47"/>
        <v>Tier 4</v>
      </c>
      <c r="O393">
        <f t="shared" si="48"/>
        <v>2</v>
      </c>
    </row>
    <row r="394" spans="1:15" x14ac:dyDescent="0.2">
      <c r="A394">
        <v>48</v>
      </c>
      <c r="B394" t="str" cm="1">
        <f t="array" ref="B394">_xlfn.IFS(A394&lt;=25,"18-25", A394&lt;=35,"26-35", A394&lt;=45,"36-45", A394&lt;=55,"46-55", A394&lt;=64,"56-64")</f>
        <v>46-55</v>
      </c>
      <c r="C394" t="s">
        <v>10</v>
      </c>
      <c r="D394">
        <v>31.445</v>
      </c>
      <c r="E394">
        <v>1</v>
      </c>
      <c r="F394" t="s">
        <v>11</v>
      </c>
      <c r="G394" t="s">
        <v>53</v>
      </c>
      <c r="H394" s="2">
        <v>8964.0605500000001</v>
      </c>
      <c r="I394" s="2">
        <f t="shared" si="42"/>
        <v>4482.0302750000001</v>
      </c>
      <c r="J394" t="str">
        <f t="shared" si="43"/>
        <v>Low</v>
      </c>
      <c r="K394" s="1">
        <f t="shared" si="44"/>
        <v>0.48</v>
      </c>
      <c r="L394" t="str">
        <f t="shared" si="45"/>
        <v>Obese</v>
      </c>
      <c r="M394" t="str">
        <f t="shared" si="46"/>
        <v>Standard</v>
      </c>
      <c r="N394" t="str">
        <f t="shared" si="47"/>
        <v>Tier 2</v>
      </c>
      <c r="O394">
        <f t="shared" si="48"/>
        <v>2</v>
      </c>
    </row>
    <row r="395" spans="1:15" x14ac:dyDescent="0.2">
      <c r="A395">
        <v>49</v>
      </c>
      <c r="B395" t="str" cm="1">
        <f t="array" ref="B395">_xlfn.IFS(A395&lt;=25,"18-25", A395&lt;=35,"26-35", A395&lt;=45,"36-45", A395&lt;=55,"46-55", A395&lt;=64,"56-64")</f>
        <v>46-55</v>
      </c>
      <c r="C395" t="s">
        <v>10</v>
      </c>
      <c r="D395">
        <v>31.35</v>
      </c>
      <c r="E395">
        <v>1</v>
      </c>
      <c r="F395" t="s">
        <v>11</v>
      </c>
      <c r="G395" t="s">
        <v>53</v>
      </c>
      <c r="H395" s="2">
        <v>9290.1394999999993</v>
      </c>
      <c r="I395" s="2">
        <f t="shared" si="42"/>
        <v>4645.0697499999997</v>
      </c>
      <c r="J395" t="str">
        <f t="shared" si="43"/>
        <v>Low</v>
      </c>
      <c r="K395" s="1">
        <f t="shared" si="44"/>
        <v>0.496</v>
      </c>
      <c r="L395" t="str">
        <f t="shared" si="45"/>
        <v>Obese</v>
      </c>
      <c r="M395" t="str">
        <f t="shared" si="46"/>
        <v>Standard</v>
      </c>
      <c r="N395" t="str">
        <f t="shared" si="47"/>
        <v>Tier 2</v>
      </c>
      <c r="O395">
        <f t="shared" si="48"/>
        <v>2</v>
      </c>
    </row>
    <row r="396" spans="1:15" x14ac:dyDescent="0.2">
      <c r="A396">
        <v>46</v>
      </c>
      <c r="B396" t="str" cm="1">
        <f t="array" ref="B396">_xlfn.IFS(A396&lt;=25,"18-25", A396&lt;=35,"26-35", A396&lt;=45,"36-45", A396&lt;=55,"46-55", A396&lt;=64,"56-64")</f>
        <v>46-55</v>
      </c>
      <c r="C396" t="s">
        <v>7</v>
      </c>
      <c r="D396">
        <v>32.299999999999997</v>
      </c>
      <c r="E396">
        <v>2</v>
      </c>
      <c r="F396" t="s">
        <v>11</v>
      </c>
      <c r="G396" t="s">
        <v>53</v>
      </c>
      <c r="H396" s="2">
        <v>9411.0049999999992</v>
      </c>
      <c r="I396" s="2">
        <f t="shared" si="42"/>
        <v>3137.0016666666666</v>
      </c>
      <c r="J396" t="str">
        <f t="shared" si="43"/>
        <v>Low</v>
      </c>
      <c r="K396" s="1">
        <f t="shared" si="44"/>
        <v>0.501</v>
      </c>
      <c r="L396" t="str">
        <f t="shared" si="45"/>
        <v>Obese</v>
      </c>
      <c r="M396" t="str">
        <f t="shared" si="46"/>
        <v>Standard</v>
      </c>
      <c r="N396" t="str">
        <f t="shared" si="47"/>
        <v>Tier 2</v>
      </c>
      <c r="O396">
        <f t="shared" si="48"/>
        <v>2</v>
      </c>
    </row>
    <row r="397" spans="1:15" x14ac:dyDescent="0.2">
      <c r="A397">
        <v>46</v>
      </c>
      <c r="B397" t="str" cm="1">
        <f t="array" ref="B397">_xlfn.IFS(A397&lt;=25,"18-25", A397&lt;=35,"26-35", A397&lt;=45,"36-45", A397&lt;=55,"46-55", A397&lt;=64,"56-64")</f>
        <v>46-55</v>
      </c>
      <c r="C397" t="s">
        <v>10</v>
      </c>
      <c r="D397">
        <v>19.855</v>
      </c>
      <c r="E397">
        <v>0</v>
      </c>
      <c r="F397" t="s">
        <v>11</v>
      </c>
      <c r="G397" t="s">
        <v>54</v>
      </c>
      <c r="H397" s="2">
        <v>7526.7064499999997</v>
      </c>
      <c r="I397" s="2">
        <f t="shared" si="42"/>
        <v>7526.7064499999997</v>
      </c>
      <c r="J397" t="str">
        <f t="shared" si="43"/>
        <v>Low</v>
      </c>
      <c r="K397" s="1">
        <f t="shared" si="44"/>
        <v>0.40799999999999997</v>
      </c>
      <c r="L397" t="str">
        <f t="shared" si="45"/>
        <v>Normal</v>
      </c>
      <c r="M397" t="str">
        <f t="shared" si="46"/>
        <v>Standard</v>
      </c>
      <c r="N397" t="str">
        <f t="shared" si="47"/>
        <v>Tier 4</v>
      </c>
      <c r="O397">
        <f t="shared" si="48"/>
        <v>0</v>
      </c>
    </row>
    <row r="398" spans="1:15" x14ac:dyDescent="0.2">
      <c r="A398">
        <v>43</v>
      </c>
      <c r="B398" t="str" cm="1">
        <f t="array" ref="B398">_xlfn.IFS(A398&lt;=25,"18-25", A398&lt;=35,"26-35", A398&lt;=45,"36-45", A398&lt;=55,"46-55", A398&lt;=64,"56-64")</f>
        <v>36-45</v>
      </c>
      <c r="C398" t="s">
        <v>7</v>
      </c>
      <c r="D398">
        <v>34.4</v>
      </c>
      <c r="E398">
        <v>3</v>
      </c>
      <c r="F398" t="s">
        <v>11</v>
      </c>
      <c r="G398" t="s">
        <v>52</v>
      </c>
      <c r="H398" s="2">
        <v>8522.0030000000006</v>
      </c>
      <c r="I398" s="2">
        <f t="shared" si="42"/>
        <v>2130.5007500000002</v>
      </c>
      <c r="J398" t="str">
        <f t="shared" si="43"/>
        <v>Low</v>
      </c>
      <c r="K398" s="1">
        <f t="shared" si="44"/>
        <v>0.45400000000000001</v>
      </c>
      <c r="L398" t="str">
        <f t="shared" si="45"/>
        <v>Obese</v>
      </c>
      <c r="M398" t="str">
        <f t="shared" si="46"/>
        <v>Standard</v>
      </c>
      <c r="N398" t="str">
        <f t="shared" si="47"/>
        <v>Tier 3</v>
      </c>
      <c r="O398">
        <f t="shared" si="48"/>
        <v>2</v>
      </c>
    </row>
    <row r="399" spans="1:15" x14ac:dyDescent="0.2">
      <c r="A399">
        <v>21</v>
      </c>
      <c r="B399" t="str" cm="1">
        <f t="array" ref="B399">_xlfn.IFS(A399&lt;=25,"18-25", A399&lt;=35,"26-35", A399&lt;=45,"36-45", A399&lt;=55,"46-55", A399&lt;=64,"56-64")</f>
        <v>18-25</v>
      </c>
      <c r="C399" t="s">
        <v>10</v>
      </c>
      <c r="D399">
        <v>31.02</v>
      </c>
      <c r="E399">
        <v>0</v>
      </c>
      <c r="F399" t="s">
        <v>11</v>
      </c>
      <c r="G399" t="s">
        <v>51</v>
      </c>
      <c r="H399" s="2">
        <v>16586.49771</v>
      </c>
      <c r="I399" s="2">
        <f t="shared" si="42"/>
        <v>16586.49771</v>
      </c>
      <c r="J399" t="str">
        <f t="shared" si="43"/>
        <v>High</v>
      </c>
      <c r="K399" s="1">
        <f t="shared" si="44"/>
        <v>0.749</v>
      </c>
      <c r="L399" t="str">
        <f t="shared" si="45"/>
        <v>Obese</v>
      </c>
      <c r="M399" t="str">
        <f t="shared" si="46"/>
        <v>Standard</v>
      </c>
      <c r="N399" t="str">
        <f t="shared" si="47"/>
        <v>Tier 1</v>
      </c>
      <c r="O399">
        <f t="shared" si="48"/>
        <v>3</v>
      </c>
    </row>
    <row r="400" spans="1:15" x14ac:dyDescent="0.2">
      <c r="A400">
        <v>64</v>
      </c>
      <c r="B400" t="str" cm="1">
        <f t="array" ref="B400">_xlfn.IFS(A400&lt;=25,"18-25", A400&lt;=35,"26-35", A400&lt;=45,"36-45", A400&lt;=55,"46-55", A400&lt;=64,"56-64")</f>
        <v>56-64</v>
      </c>
      <c r="C400" t="s">
        <v>10</v>
      </c>
      <c r="D400">
        <v>25.6</v>
      </c>
      <c r="E400">
        <v>2</v>
      </c>
      <c r="F400" t="s">
        <v>11</v>
      </c>
      <c r="G400" t="s">
        <v>52</v>
      </c>
      <c r="H400" s="2">
        <v>14988.432000000001</v>
      </c>
      <c r="I400" s="2">
        <f t="shared" si="42"/>
        <v>4996.1440000000002</v>
      </c>
      <c r="J400" t="str">
        <f t="shared" si="43"/>
        <v>High</v>
      </c>
      <c r="K400" s="1">
        <f t="shared" si="44"/>
        <v>0.73199999999999998</v>
      </c>
      <c r="L400" t="str">
        <f t="shared" si="45"/>
        <v>Overweight</v>
      </c>
      <c r="M400" t="str">
        <f t="shared" si="46"/>
        <v>Standard</v>
      </c>
      <c r="N400" t="str">
        <f t="shared" si="47"/>
        <v>Tier 3</v>
      </c>
      <c r="O400">
        <f t="shared" si="48"/>
        <v>1</v>
      </c>
    </row>
    <row r="401" spans="1:15" x14ac:dyDescent="0.2">
      <c r="A401">
        <v>18</v>
      </c>
      <c r="B401" t="str" cm="1">
        <f t="array" ref="B401">_xlfn.IFS(A401&lt;=25,"18-25", A401&lt;=35,"26-35", A401&lt;=45,"36-45", A401&lt;=55,"46-55", A401&lt;=64,"56-64")</f>
        <v>18-25</v>
      </c>
      <c r="C401" t="s">
        <v>7</v>
      </c>
      <c r="D401">
        <v>38.17</v>
      </c>
      <c r="E401">
        <v>0</v>
      </c>
      <c r="F401" t="s">
        <v>11</v>
      </c>
      <c r="G401" t="s">
        <v>51</v>
      </c>
      <c r="H401" s="2">
        <v>1631.6683</v>
      </c>
      <c r="I401" s="2">
        <f t="shared" si="42"/>
        <v>1631.6683</v>
      </c>
      <c r="J401" t="str">
        <f t="shared" si="43"/>
        <v>Low</v>
      </c>
      <c r="K401" s="1">
        <f t="shared" si="44"/>
        <v>2.4E-2</v>
      </c>
      <c r="L401" t="str">
        <f t="shared" si="45"/>
        <v>Obese</v>
      </c>
      <c r="M401" t="str">
        <f t="shared" si="46"/>
        <v>Standard</v>
      </c>
      <c r="N401" t="str">
        <f t="shared" si="47"/>
        <v>Tier 1</v>
      </c>
      <c r="O401">
        <f t="shared" si="48"/>
        <v>3</v>
      </c>
    </row>
    <row r="402" spans="1:15" x14ac:dyDescent="0.2">
      <c r="A402">
        <v>51</v>
      </c>
      <c r="B402" t="str" cm="1">
        <f t="array" ref="B402">_xlfn.IFS(A402&lt;=25,"18-25", A402&lt;=35,"26-35", A402&lt;=45,"36-45", A402&lt;=55,"46-55", A402&lt;=64,"56-64")</f>
        <v>46-55</v>
      </c>
      <c r="C402" t="s">
        <v>7</v>
      </c>
      <c r="D402">
        <v>20.6</v>
      </c>
      <c r="E402">
        <v>0</v>
      </c>
      <c r="F402" t="s">
        <v>11</v>
      </c>
      <c r="G402" t="s">
        <v>52</v>
      </c>
      <c r="H402" s="2">
        <v>9264.7970000000005</v>
      </c>
      <c r="I402" s="2">
        <f t="shared" si="42"/>
        <v>9264.7970000000005</v>
      </c>
      <c r="J402" t="str">
        <f t="shared" si="43"/>
        <v>Low</v>
      </c>
      <c r="K402" s="1">
        <f t="shared" si="44"/>
        <v>0.49299999999999999</v>
      </c>
      <c r="L402" t="str">
        <f t="shared" si="45"/>
        <v>Normal</v>
      </c>
      <c r="M402" t="str">
        <f t="shared" si="46"/>
        <v>Standard</v>
      </c>
      <c r="N402" t="str">
        <f t="shared" si="47"/>
        <v>Tier 3</v>
      </c>
      <c r="O402">
        <f t="shared" si="48"/>
        <v>0</v>
      </c>
    </row>
    <row r="403" spans="1:15" x14ac:dyDescent="0.2">
      <c r="A403">
        <v>47</v>
      </c>
      <c r="B403" t="str" cm="1">
        <f t="array" ref="B403">_xlfn.IFS(A403&lt;=25,"18-25", A403&lt;=35,"26-35", A403&lt;=45,"36-45", A403&lt;=55,"46-55", A403&lt;=64,"56-64")</f>
        <v>46-55</v>
      </c>
      <c r="C403" t="s">
        <v>10</v>
      </c>
      <c r="D403">
        <v>47.52</v>
      </c>
      <c r="E403">
        <v>1</v>
      </c>
      <c r="F403" t="s">
        <v>11</v>
      </c>
      <c r="G403" t="s">
        <v>51</v>
      </c>
      <c r="H403" s="2">
        <v>8083.9197999999997</v>
      </c>
      <c r="I403" s="2">
        <f t="shared" si="42"/>
        <v>4041.9598999999998</v>
      </c>
      <c r="J403" t="str">
        <f t="shared" si="43"/>
        <v>Low</v>
      </c>
      <c r="K403" s="1">
        <f t="shared" si="44"/>
        <v>0.43099999999999999</v>
      </c>
      <c r="L403" t="str">
        <f t="shared" si="45"/>
        <v>Obese</v>
      </c>
      <c r="M403" t="str">
        <f t="shared" si="46"/>
        <v>Standard</v>
      </c>
      <c r="N403" t="str">
        <f t="shared" si="47"/>
        <v>Tier 1</v>
      </c>
      <c r="O403">
        <f t="shared" si="48"/>
        <v>3</v>
      </c>
    </row>
    <row r="404" spans="1:15" x14ac:dyDescent="0.2">
      <c r="A404">
        <v>64</v>
      </c>
      <c r="B404" t="str" cm="1">
        <f t="array" ref="B404">_xlfn.IFS(A404&lt;=25,"18-25", A404&lt;=35,"26-35", A404&lt;=45,"36-45", A404&lt;=55,"46-55", A404&lt;=64,"56-64")</f>
        <v>56-64</v>
      </c>
      <c r="C404" t="s">
        <v>7</v>
      </c>
      <c r="D404">
        <v>32.965000000000003</v>
      </c>
      <c r="E404">
        <v>0</v>
      </c>
      <c r="F404" t="s">
        <v>11</v>
      </c>
      <c r="G404" t="s">
        <v>54</v>
      </c>
      <c r="H404" s="2">
        <v>14692.66935</v>
      </c>
      <c r="I404" s="2">
        <f t="shared" si="42"/>
        <v>14692.66935</v>
      </c>
      <c r="J404" t="str">
        <f t="shared" si="43"/>
        <v>High</v>
      </c>
      <c r="K404" s="1">
        <f t="shared" si="44"/>
        <v>0.72899999999999998</v>
      </c>
      <c r="L404" t="str">
        <f t="shared" si="45"/>
        <v>Obese</v>
      </c>
      <c r="M404" t="str">
        <f t="shared" si="46"/>
        <v>Standard</v>
      </c>
      <c r="N404" t="str">
        <f t="shared" si="47"/>
        <v>Tier 4</v>
      </c>
      <c r="O404">
        <f t="shared" si="48"/>
        <v>2</v>
      </c>
    </row>
    <row r="405" spans="1:15" x14ac:dyDescent="0.2">
      <c r="A405">
        <v>49</v>
      </c>
      <c r="B405" t="str" cm="1">
        <f t="array" ref="B405">_xlfn.IFS(A405&lt;=25,"18-25", A405&lt;=35,"26-35", A405&lt;=45,"36-45", A405&lt;=55,"46-55", A405&lt;=64,"56-64")</f>
        <v>46-55</v>
      </c>
      <c r="C405" t="s">
        <v>10</v>
      </c>
      <c r="D405">
        <v>32.299999999999997</v>
      </c>
      <c r="E405">
        <v>3</v>
      </c>
      <c r="F405" t="s">
        <v>11</v>
      </c>
      <c r="G405" t="s">
        <v>54</v>
      </c>
      <c r="H405" s="2">
        <v>10269.459999999999</v>
      </c>
      <c r="I405" s="2">
        <f t="shared" si="42"/>
        <v>2567.3649999999998</v>
      </c>
      <c r="J405" t="str">
        <f t="shared" si="43"/>
        <v>Low</v>
      </c>
      <c r="K405" s="1">
        <f t="shared" si="44"/>
        <v>0.54400000000000004</v>
      </c>
      <c r="L405" t="str">
        <f t="shared" si="45"/>
        <v>Obese</v>
      </c>
      <c r="M405" t="str">
        <f t="shared" si="46"/>
        <v>Standard</v>
      </c>
      <c r="N405" t="str">
        <f t="shared" si="47"/>
        <v>Tier 4</v>
      </c>
      <c r="O405">
        <f t="shared" si="48"/>
        <v>2</v>
      </c>
    </row>
    <row r="406" spans="1:15" x14ac:dyDescent="0.2">
      <c r="A406">
        <v>31</v>
      </c>
      <c r="B406" t="str" cm="1">
        <f t="array" ref="B406">_xlfn.IFS(A406&lt;=25,"18-25", A406&lt;=35,"26-35", A406&lt;=45,"36-45", A406&lt;=55,"46-55", A406&lt;=64,"56-64")</f>
        <v>26-35</v>
      </c>
      <c r="C406" t="s">
        <v>10</v>
      </c>
      <c r="D406">
        <v>20.399999999999999</v>
      </c>
      <c r="E406">
        <v>0</v>
      </c>
      <c r="F406" t="s">
        <v>11</v>
      </c>
      <c r="G406" t="s">
        <v>52</v>
      </c>
      <c r="H406" s="2">
        <v>3260.1990000000001</v>
      </c>
      <c r="I406" s="2">
        <f t="shared" si="42"/>
        <v>3260.1990000000001</v>
      </c>
      <c r="J406" t="str">
        <f t="shared" si="43"/>
        <v>Low</v>
      </c>
      <c r="K406" s="1">
        <f t="shared" si="44"/>
        <v>0.157</v>
      </c>
      <c r="L406" t="str">
        <f t="shared" si="45"/>
        <v>Normal</v>
      </c>
      <c r="M406" t="str">
        <f t="shared" si="46"/>
        <v>Standard</v>
      </c>
      <c r="N406" t="str">
        <f t="shared" si="47"/>
        <v>Tier 3</v>
      </c>
      <c r="O406">
        <f t="shared" si="48"/>
        <v>0</v>
      </c>
    </row>
    <row r="407" spans="1:15" x14ac:dyDescent="0.2">
      <c r="A407">
        <v>52</v>
      </c>
      <c r="B407" t="str" cm="1">
        <f t="array" ref="B407">_xlfn.IFS(A407&lt;=25,"18-25", A407&lt;=35,"26-35", A407&lt;=45,"36-45", A407&lt;=55,"46-55", A407&lt;=64,"56-64")</f>
        <v>46-55</v>
      </c>
      <c r="C407" t="s">
        <v>7</v>
      </c>
      <c r="D407">
        <v>38.380000000000003</v>
      </c>
      <c r="E407">
        <v>2</v>
      </c>
      <c r="F407" t="s">
        <v>11</v>
      </c>
      <c r="G407" t="s">
        <v>53</v>
      </c>
      <c r="H407" s="2">
        <v>11396.9002</v>
      </c>
      <c r="I407" s="2">
        <f t="shared" si="42"/>
        <v>3798.9667333333332</v>
      </c>
      <c r="J407" t="str">
        <f t="shared" si="43"/>
        <v>Low</v>
      </c>
      <c r="K407" s="1">
        <f t="shared" si="44"/>
        <v>0.59899999999999998</v>
      </c>
      <c r="L407" t="str">
        <f t="shared" si="45"/>
        <v>Obese</v>
      </c>
      <c r="M407" t="str">
        <f t="shared" si="46"/>
        <v>Standard</v>
      </c>
      <c r="N407" t="str">
        <f t="shared" si="47"/>
        <v>Tier 2</v>
      </c>
      <c r="O407">
        <f t="shared" si="48"/>
        <v>2</v>
      </c>
    </row>
    <row r="408" spans="1:15" x14ac:dyDescent="0.2">
      <c r="A408">
        <v>33</v>
      </c>
      <c r="B408" t="str" cm="1">
        <f t="array" ref="B408">_xlfn.IFS(A408&lt;=25,"18-25", A408&lt;=35,"26-35", A408&lt;=45,"36-45", A408&lt;=55,"46-55", A408&lt;=64,"56-64")</f>
        <v>26-35</v>
      </c>
      <c r="C408" t="s">
        <v>7</v>
      </c>
      <c r="D408">
        <v>24.31</v>
      </c>
      <c r="E408">
        <v>0</v>
      </c>
      <c r="F408" t="s">
        <v>11</v>
      </c>
      <c r="G408" t="s">
        <v>51</v>
      </c>
      <c r="H408" s="2">
        <v>4185.0978999999998</v>
      </c>
      <c r="I408" s="2">
        <f t="shared" si="42"/>
        <v>4185.0978999999998</v>
      </c>
      <c r="J408" t="str">
        <f t="shared" si="43"/>
        <v>Low</v>
      </c>
      <c r="K408" s="1">
        <f t="shared" si="44"/>
        <v>0.21</v>
      </c>
      <c r="L408" t="str">
        <f t="shared" si="45"/>
        <v>Normal</v>
      </c>
      <c r="M408" t="str">
        <f t="shared" si="46"/>
        <v>Standard</v>
      </c>
      <c r="N408" t="str">
        <f t="shared" si="47"/>
        <v>Tier 1</v>
      </c>
      <c r="O408">
        <f t="shared" si="48"/>
        <v>1</v>
      </c>
    </row>
    <row r="409" spans="1:15" x14ac:dyDescent="0.2">
      <c r="A409">
        <v>47</v>
      </c>
      <c r="B409" t="str" cm="1">
        <f t="array" ref="B409">_xlfn.IFS(A409&lt;=25,"18-25", A409&lt;=35,"26-35", A409&lt;=45,"36-45", A409&lt;=55,"46-55", A409&lt;=64,"56-64")</f>
        <v>46-55</v>
      </c>
      <c r="C409" t="s">
        <v>7</v>
      </c>
      <c r="D409">
        <v>23.6</v>
      </c>
      <c r="E409">
        <v>1</v>
      </c>
      <c r="F409" t="s">
        <v>11</v>
      </c>
      <c r="G409" t="s">
        <v>52</v>
      </c>
      <c r="H409" s="2">
        <v>8539.6710000000003</v>
      </c>
      <c r="I409" s="2">
        <f t="shared" si="42"/>
        <v>4269.8355000000001</v>
      </c>
      <c r="J409" t="str">
        <f t="shared" si="43"/>
        <v>Low</v>
      </c>
      <c r="K409" s="1">
        <f t="shared" si="44"/>
        <v>0.45700000000000002</v>
      </c>
      <c r="L409" t="str">
        <f t="shared" si="45"/>
        <v>Normal</v>
      </c>
      <c r="M409" t="str">
        <f t="shared" si="46"/>
        <v>Standard</v>
      </c>
      <c r="N409" t="str">
        <f t="shared" si="47"/>
        <v>Tier 3</v>
      </c>
      <c r="O409">
        <f t="shared" si="48"/>
        <v>0</v>
      </c>
    </row>
    <row r="410" spans="1:15" x14ac:dyDescent="0.2">
      <c r="A410">
        <v>38</v>
      </c>
      <c r="B410" t="str" cm="1">
        <f t="array" ref="B410">_xlfn.IFS(A410&lt;=25,"18-25", A410&lt;=35,"26-35", A410&lt;=45,"36-45", A410&lt;=55,"46-55", A410&lt;=64,"56-64")</f>
        <v>36-45</v>
      </c>
      <c r="C410" t="s">
        <v>10</v>
      </c>
      <c r="D410">
        <v>21.12</v>
      </c>
      <c r="E410">
        <v>3</v>
      </c>
      <c r="F410" t="s">
        <v>11</v>
      </c>
      <c r="G410" t="s">
        <v>51</v>
      </c>
      <c r="H410" s="2">
        <v>6652.5288</v>
      </c>
      <c r="I410" s="2">
        <f t="shared" si="42"/>
        <v>1663.1322</v>
      </c>
      <c r="J410" t="str">
        <f t="shared" si="43"/>
        <v>Low</v>
      </c>
      <c r="K410" s="1">
        <f t="shared" si="44"/>
        <v>0.35699999999999998</v>
      </c>
      <c r="L410" t="str">
        <f t="shared" si="45"/>
        <v>Normal</v>
      </c>
      <c r="M410" t="str">
        <f t="shared" si="46"/>
        <v>Standard</v>
      </c>
      <c r="N410" t="str">
        <f t="shared" si="47"/>
        <v>Tier 1</v>
      </c>
      <c r="O410">
        <f t="shared" si="48"/>
        <v>1</v>
      </c>
    </row>
    <row r="411" spans="1:15" x14ac:dyDescent="0.2">
      <c r="A411">
        <v>32</v>
      </c>
      <c r="B411" t="str" cm="1">
        <f t="array" ref="B411">_xlfn.IFS(A411&lt;=25,"18-25", A411&lt;=35,"26-35", A411&lt;=45,"36-45", A411&lt;=55,"46-55", A411&lt;=64,"56-64")</f>
        <v>26-35</v>
      </c>
      <c r="C411" t="s">
        <v>10</v>
      </c>
      <c r="D411">
        <v>30.03</v>
      </c>
      <c r="E411">
        <v>1</v>
      </c>
      <c r="F411" t="s">
        <v>11</v>
      </c>
      <c r="G411" t="s">
        <v>51</v>
      </c>
      <c r="H411" s="2">
        <v>4074.4537</v>
      </c>
      <c r="I411" s="2">
        <f t="shared" si="42"/>
        <v>2037.22685</v>
      </c>
      <c r="J411" t="str">
        <f t="shared" si="43"/>
        <v>Low</v>
      </c>
      <c r="K411" s="1">
        <f t="shared" si="44"/>
        <v>0.20399999999999999</v>
      </c>
      <c r="L411" t="str">
        <f t="shared" si="45"/>
        <v>Obese</v>
      </c>
      <c r="M411" t="str">
        <f t="shared" si="46"/>
        <v>Standard</v>
      </c>
      <c r="N411" t="str">
        <f t="shared" si="47"/>
        <v>Tier 1</v>
      </c>
      <c r="O411">
        <f t="shared" si="48"/>
        <v>3</v>
      </c>
    </row>
    <row r="412" spans="1:15" x14ac:dyDescent="0.2">
      <c r="A412">
        <v>19</v>
      </c>
      <c r="B412" t="str" cm="1">
        <f t="array" ref="B412">_xlfn.IFS(A412&lt;=25,"18-25", A412&lt;=35,"26-35", A412&lt;=45,"36-45", A412&lt;=55,"46-55", A412&lt;=64,"56-64")</f>
        <v>18-25</v>
      </c>
      <c r="C412" t="s">
        <v>10</v>
      </c>
      <c r="D412">
        <v>17.48</v>
      </c>
      <c r="E412">
        <v>0</v>
      </c>
      <c r="F412" t="s">
        <v>11</v>
      </c>
      <c r="G412" t="s">
        <v>54</v>
      </c>
      <c r="H412" s="2">
        <v>1621.3402000000001</v>
      </c>
      <c r="I412" s="2">
        <f t="shared" si="42"/>
        <v>1621.3402000000001</v>
      </c>
      <c r="J412" t="str">
        <f t="shared" si="43"/>
        <v>Low</v>
      </c>
      <c r="K412" s="1">
        <f t="shared" si="44"/>
        <v>1.9E-2</v>
      </c>
      <c r="L412" t="str">
        <f t="shared" si="45"/>
        <v>Underweight</v>
      </c>
      <c r="M412" t="str">
        <f t="shared" si="46"/>
        <v>Standard</v>
      </c>
      <c r="N412" t="str">
        <f t="shared" si="47"/>
        <v>Tier 4</v>
      </c>
      <c r="O412">
        <f t="shared" si="48"/>
        <v>0</v>
      </c>
    </row>
    <row r="413" spans="1:15" x14ac:dyDescent="0.2">
      <c r="A413">
        <v>44</v>
      </c>
      <c r="B413" t="str" cm="1">
        <f t="array" ref="B413">_xlfn.IFS(A413&lt;=25,"18-25", A413&lt;=35,"26-35", A413&lt;=45,"36-45", A413&lt;=55,"46-55", A413&lt;=64,"56-64")</f>
        <v>36-45</v>
      </c>
      <c r="C413" t="s">
        <v>7</v>
      </c>
      <c r="D413">
        <v>20.234999999999999</v>
      </c>
      <c r="E413">
        <v>1</v>
      </c>
      <c r="F413" t="s">
        <v>8</v>
      </c>
      <c r="G413" t="s">
        <v>53</v>
      </c>
      <c r="H413" s="2">
        <v>19594.809649999999</v>
      </c>
      <c r="I413" s="2">
        <f t="shared" si="42"/>
        <v>9797.4048249999996</v>
      </c>
      <c r="J413" t="str">
        <f t="shared" si="43"/>
        <v>High</v>
      </c>
      <c r="K413" s="1">
        <f t="shared" si="44"/>
        <v>0.79100000000000004</v>
      </c>
      <c r="L413" t="str">
        <f t="shared" si="45"/>
        <v>Normal</v>
      </c>
      <c r="M413" t="str">
        <f t="shared" si="46"/>
        <v>High Risk</v>
      </c>
      <c r="N413" t="str">
        <f t="shared" si="47"/>
        <v>Tier 2</v>
      </c>
      <c r="O413">
        <f t="shared" si="48"/>
        <v>3</v>
      </c>
    </row>
    <row r="414" spans="1:15" x14ac:dyDescent="0.2">
      <c r="A414">
        <v>26</v>
      </c>
      <c r="B414" t="str" cm="1">
        <f t="array" ref="B414">_xlfn.IFS(A414&lt;=25,"18-25", A414&lt;=35,"26-35", A414&lt;=45,"36-45", A414&lt;=55,"46-55", A414&lt;=64,"56-64")</f>
        <v>26-35</v>
      </c>
      <c r="C414" t="s">
        <v>7</v>
      </c>
      <c r="D414">
        <v>17.195</v>
      </c>
      <c r="E414">
        <v>2</v>
      </c>
      <c r="F414" t="s">
        <v>8</v>
      </c>
      <c r="G414" t="s">
        <v>53</v>
      </c>
      <c r="H414" s="2">
        <v>14455.644050000001</v>
      </c>
      <c r="I414" s="2">
        <f t="shared" si="42"/>
        <v>4818.5480166666666</v>
      </c>
      <c r="J414" t="str">
        <f t="shared" si="43"/>
        <v>High</v>
      </c>
      <c r="K414" s="1">
        <f t="shared" si="44"/>
        <v>0.72599999999999998</v>
      </c>
      <c r="L414" t="str">
        <f t="shared" si="45"/>
        <v>Underweight</v>
      </c>
      <c r="M414" t="str">
        <f t="shared" si="46"/>
        <v>High Risk</v>
      </c>
      <c r="N414" t="str">
        <f t="shared" si="47"/>
        <v>Tier 2</v>
      </c>
      <c r="O414">
        <f t="shared" si="48"/>
        <v>3</v>
      </c>
    </row>
    <row r="415" spans="1:15" x14ac:dyDescent="0.2">
      <c r="A415">
        <v>25</v>
      </c>
      <c r="B415" t="str" cm="1">
        <f t="array" ref="B415">_xlfn.IFS(A415&lt;=25,"18-25", A415&lt;=35,"26-35", A415&lt;=45,"36-45", A415&lt;=55,"46-55", A415&lt;=64,"56-64")</f>
        <v>18-25</v>
      </c>
      <c r="C415" t="s">
        <v>10</v>
      </c>
      <c r="D415">
        <v>23.9</v>
      </c>
      <c r="E415">
        <v>5</v>
      </c>
      <c r="F415" t="s">
        <v>11</v>
      </c>
      <c r="G415" t="s">
        <v>52</v>
      </c>
      <c r="H415" s="2">
        <v>5080.0959999999995</v>
      </c>
      <c r="I415" s="2">
        <f t="shared" si="42"/>
        <v>846.68266666666659</v>
      </c>
      <c r="J415" t="str">
        <f t="shared" si="43"/>
        <v>Low</v>
      </c>
      <c r="K415" s="1">
        <f t="shared" si="44"/>
        <v>0.27200000000000002</v>
      </c>
      <c r="L415" t="str">
        <f t="shared" si="45"/>
        <v>Normal</v>
      </c>
      <c r="M415" t="str">
        <f t="shared" si="46"/>
        <v>Standard</v>
      </c>
      <c r="N415" t="str">
        <f t="shared" si="47"/>
        <v>Tier 3</v>
      </c>
      <c r="O415">
        <f t="shared" si="48"/>
        <v>0</v>
      </c>
    </row>
    <row r="416" spans="1:15" x14ac:dyDescent="0.2">
      <c r="A416">
        <v>19</v>
      </c>
      <c r="B416" t="str" cm="1">
        <f t="array" ref="B416">_xlfn.IFS(A416&lt;=25,"18-25", A416&lt;=35,"26-35", A416&lt;=45,"36-45", A416&lt;=55,"46-55", A416&lt;=64,"56-64")</f>
        <v>18-25</v>
      </c>
      <c r="C416" t="s">
        <v>7</v>
      </c>
      <c r="D416">
        <v>35.15</v>
      </c>
      <c r="E416">
        <v>0</v>
      </c>
      <c r="F416" t="s">
        <v>11</v>
      </c>
      <c r="G416" t="s">
        <v>54</v>
      </c>
      <c r="H416" s="2">
        <v>2134.9014999999999</v>
      </c>
      <c r="I416" s="2">
        <f t="shared" si="42"/>
        <v>2134.9014999999999</v>
      </c>
      <c r="J416" t="str">
        <f t="shared" si="43"/>
        <v>Low</v>
      </c>
      <c r="K416" s="1">
        <f t="shared" si="44"/>
        <v>7.6999999999999999E-2</v>
      </c>
      <c r="L416" t="str">
        <f t="shared" si="45"/>
        <v>Obese</v>
      </c>
      <c r="M416" t="str">
        <f t="shared" si="46"/>
        <v>Standard</v>
      </c>
      <c r="N416" t="str">
        <f t="shared" si="47"/>
        <v>Tier 4</v>
      </c>
      <c r="O416">
        <f t="shared" si="48"/>
        <v>2</v>
      </c>
    </row>
    <row r="417" spans="1:15" x14ac:dyDescent="0.2">
      <c r="A417">
        <v>43</v>
      </c>
      <c r="B417" t="str" cm="1">
        <f t="array" ref="B417">_xlfn.IFS(A417&lt;=25,"18-25", A417&lt;=35,"26-35", A417&lt;=45,"36-45", A417&lt;=55,"46-55", A417&lt;=64,"56-64")</f>
        <v>36-45</v>
      </c>
      <c r="C417" t="s">
        <v>7</v>
      </c>
      <c r="D417">
        <v>35.64</v>
      </c>
      <c r="E417">
        <v>1</v>
      </c>
      <c r="F417" t="s">
        <v>11</v>
      </c>
      <c r="G417" t="s">
        <v>51</v>
      </c>
      <c r="H417" s="2">
        <v>7345.7266</v>
      </c>
      <c r="I417" s="2">
        <f t="shared" si="42"/>
        <v>3672.8633</v>
      </c>
      <c r="J417" t="str">
        <f t="shared" si="43"/>
        <v>Low</v>
      </c>
      <c r="K417" s="1">
        <f t="shared" si="44"/>
        <v>0.39700000000000002</v>
      </c>
      <c r="L417" t="str">
        <f t="shared" si="45"/>
        <v>Obese</v>
      </c>
      <c r="M417" t="str">
        <f t="shared" si="46"/>
        <v>Standard</v>
      </c>
      <c r="N417" t="str">
        <f t="shared" si="47"/>
        <v>Tier 1</v>
      </c>
      <c r="O417">
        <f t="shared" si="48"/>
        <v>3</v>
      </c>
    </row>
    <row r="418" spans="1:15" x14ac:dyDescent="0.2">
      <c r="A418">
        <v>52</v>
      </c>
      <c r="B418" t="str" cm="1">
        <f t="array" ref="B418">_xlfn.IFS(A418&lt;=25,"18-25", A418&lt;=35,"26-35", A418&lt;=45,"36-45", A418&lt;=55,"46-55", A418&lt;=64,"56-64")</f>
        <v>46-55</v>
      </c>
      <c r="C418" t="s">
        <v>10</v>
      </c>
      <c r="D418">
        <v>34.1</v>
      </c>
      <c r="E418">
        <v>0</v>
      </c>
      <c r="F418" t="s">
        <v>11</v>
      </c>
      <c r="G418" t="s">
        <v>51</v>
      </c>
      <c r="H418" s="2">
        <v>9140.9509999999991</v>
      </c>
      <c r="I418" s="2">
        <f t="shared" si="42"/>
        <v>9140.9509999999991</v>
      </c>
      <c r="J418" t="str">
        <f t="shared" si="43"/>
        <v>Low</v>
      </c>
      <c r="K418" s="1">
        <f t="shared" si="44"/>
        <v>0.48699999999999999</v>
      </c>
      <c r="L418" t="str">
        <f t="shared" si="45"/>
        <v>Obese</v>
      </c>
      <c r="M418" t="str">
        <f t="shared" si="46"/>
        <v>Standard</v>
      </c>
      <c r="N418" t="str">
        <f t="shared" si="47"/>
        <v>Tier 1</v>
      </c>
      <c r="O418">
        <f t="shared" si="48"/>
        <v>3</v>
      </c>
    </row>
    <row r="419" spans="1:15" x14ac:dyDescent="0.2">
      <c r="A419">
        <v>36</v>
      </c>
      <c r="B419" t="str" cm="1">
        <f t="array" ref="B419">_xlfn.IFS(A419&lt;=25,"18-25", A419&lt;=35,"26-35", A419&lt;=45,"36-45", A419&lt;=55,"46-55", A419&lt;=64,"56-64")</f>
        <v>36-45</v>
      </c>
      <c r="C419" t="s">
        <v>7</v>
      </c>
      <c r="D419">
        <v>22.6</v>
      </c>
      <c r="E419">
        <v>2</v>
      </c>
      <c r="F419" t="s">
        <v>8</v>
      </c>
      <c r="G419" t="s">
        <v>52</v>
      </c>
      <c r="H419" s="2">
        <v>18608.261999999999</v>
      </c>
      <c r="I419" s="2">
        <f t="shared" si="42"/>
        <v>6202.7539999999999</v>
      </c>
      <c r="J419" t="str">
        <f t="shared" si="43"/>
        <v>High</v>
      </c>
      <c r="K419" s="1">
        <f t="shared" si="44"/>
        <v>0.77200000000000002</v>
      </c>
      <c r="L419" t="str">
        <f t="shared" si="45"/>
        <v>Normal</v>
      </c>
      <c r="M419" t="str">
        <f t="shared" si="46"/>
        <v>High Risk</v>
      </c>
      <c r="N419" t="str">
        <f t="shared" si="47"/>
        <v>Tier 3</v>
      </c>
      <c r="O419">
        <f t="shared" si="48"/>
        <v>3</v>
      </c>
    </row>
    <row r="420" spans="1:15" x14ac:dyDescent="0.2">
      <c r="A420">
        <v>64</v>
      </c>
      <c r="B420" t="str" cm="1">
        <f t="array" ref="B420">_xlfn.IFS(A420&lt;=25,"18-25", A420&lt;=35,"26-35", A420&lt;=45,"36-45", A420&lt;=55,"46-55", A420&lt;=64,"56-64")</f>
        <v>56-64</v>
      </c>
      <c r="C420" t="s">
        <v>10</v>
      </c>
      <c r="D420">
        <v>39.159999999999997</v>
      </c>
      <c r="E420">
        <v>1</v>
      </c>
      <c r="F420" t="s">
        <v>11</v>
      </c>
      <c r="G420" t="s">
        <v>51</v>
      </c>
      <c r="H420" s="2">
        <v>14418.2804</v>
      </c>
      <c r="I420" s="2">
        <f t="shared" si="42"/>
        <v>7209.1401999999998</v>
      </c>
      <c r="J420" t="str">
        <f t="shared" si="43"/>
        <v>High</v>
      </c>
      <c r="K420" s="1">
        <f t="shared" si="44"/>
        <v>0.72299999999999998</v>
      </c>
      <c r="L420" t="str">
        <f t="shared" si="45"/>
        <v>Obese</v>
      </c>
      <c r="M420" t="str">
        <f t="shared" si="46"/>
        <v>Standard</v>
      </c>
      <c r="N420" t="str">
        <f t="shared" si="47"/>
        <v>Tier 1</v>
      </c>
      <c r="O420">
        <f t="shared" si="48"/>
        <v>3</v>
      </c>
    </row>
    <row r="421" spans="1:15" x14ac:dyDescent="0.2">
      <c r="A421">
        <v>63</v>
      </c>
      <c r="B421" t="str" cm="1">
        <f t="array" ref="B421">_xlfn.IFS(A421&lt;=25,"18-25", A421&lt;=35,"26-35", A421&lt;=45,"36-45", A421&lt;=55,"46-55", A421&lt;=64,"56-64")</f>
        <v>56-64</v>
      </c>
      <c r="C421" t="s">
        <v>7</v>
      </c>
      <c r="D421">
        <v>26.98</v>
      </c>
      <c r="E421">
        <v>0</v>
      </c>
      <c r="F421" t="s">
        <v>8</v>
      </c>
      <c r="G421" t="s">
        <v>54</v>
      </c>
      <c r="H421" s="2">
        <v>28950.4692</v>
      </c>
      <c r="I421" s="2">
        <f t="shared" si="42"/>
        <v>28950.4692</v>
      </c>
      <c r="J421" t="str">
        <f t="shared" si="43"/>
        <v>High</v>
      </c>
      <c r="K421" s="1">
        <f t="shared" si="44"/>
        <v>0.875</v>
      </c>
      <c r="L421" t="str">
        <f t="shared" si="45"/>
        <v>Overweight</v>
      </c>
      <c r="M421" t="str">
        <f t="shared" si="46"/>
        <v>High Risk</v>
      </c>
      <c r="N421" t="str">
        <f t="shared" si="47"/>
        <v>Tier 4</v>
      </c>
      <c r="O421">
        <f t="shared" si="48"/>
        <v>4</v>
      </c>
    </row>
    <row r="422" spans="1:15" x14ac:dyDescent="0.2">
      <c r="A422">
        <v>64</v>
      </c>
      <c r="B422" t="str" cm="1">
        <f t="array" ref="B422">_xlfn.IFS(A422&lt;=25,"18-25", A422&lt;=35,"26-35", A422&lt;=45,"36-45", A422&lt;=55,"46-55", A422&lt;=64,"56-64")</f>
        <v>56-64</v>
      </c>
      <c r="C422" t="s">
        <v>10</v>
      </c>
      <c r="D422">
        <v>33.880000000000003</v>
      </c>
      <c r="E422">
        <v>0</v>
      </c>
      <c r="F422" t="s">
        <v>8</v>
      </c>
      <c r="G422" t="s">
        <v>51</v>
      </c>
      <c r="H422" s="2">
        <v>46889.261200000001</v>
      </c>
      <c r="I422" s="2">
        <f t="shared" si="42"/>
        <v>46889.261200000001</v>
      </c>
      <c r="J422" t="str">
        <f t="shared" si="43"/>
        <v>High</v>
      </c>
      <c r="K422" s="1">
        <f t="shared" si="44"/>
        <v>0.98099999999999998</v>
      </c>
      <c r="L422" t="str">
        <f t="shared" si="45"/>
        <v>Obese</v>
      </c>
      <c r="M422" t="str">
        <f t="shared" si="46"/>
        <v>High Risk</v>
      </c>
      <c r="N422" t="str">
        <f t="shared" si="47"/>
        <v>Tier 1</v>
      </c>
      <c r="O422">
        <f t="shared" si="48"/>
        <v>6</v>
      </c>
    </row>
    <row r="423" spans="1:15" x14ac:dyDescent="0.2">
      <c r="A423">
        <v>61</v>
      </c>
      <c r="B423" t="str" cm="1">
        <f t="array" ref="B423">_xlfn.IFS(A423&lt;=25,"18-25", A423&lt;=35,"26-35", A423&lt;=45,"36-45", A423&lt;=55,"46-55", A423&lt;=64,"56-64")</f>
        <v>56-64</v>
      </c>
      <c r="C423" t="s">
        <v>10</v>
      </c>
      <c r="D423">
        <v>35.86</v>
      </c>
      <c r="E423">
        <v>0</v>
      </c>
      <c r="F423" t="s">
        <v>8</v>
      </c>
      <c r="G423" t="s">
        <v>51</v>
      </c>
      <c r="H423" s="2">
        <v>46599.108399999997</v>
      </c>
      <c r="I423" s="2">
        <f t="shared" si="42"/>
        <v>46599.108399999997</v>
      </c>
      <c r="J423" t="str">
        <f t="shared" si="43"/>
        <v>High</v>
      </c>
      <c r="K423" s="1">
        <f t="shared" si="44"/>
        <v>0.97899999999999998</v>
      </c>
      <c r="L423" t="str">
        <f t="shared" si="45"/>
        <v>Obese</v>
      </c>
      <c r="M423" t="str">
        <f t="shared" si="46"/>
        <v>High Risk</v>
      </c>
      <c r="N423" t="str">
        <f t="shared" si="47"/>
        <v>Tier 1</v>
      </c>
      <c r="O423">
        <f t="shared" si="48"/>
        <v>6</v>
      </c>
    </row>
    <row r="424" spans="1:15" x14ac:dyDescent="0.2">
      <c r="A424">
        <v>40</v>
      </c>
      <c r="B424" t="str" cm="1">
        <f t="array" ref="B424">_xlfn.IFS(A424&lt;=25,"18-25", A424&lt;=35,"26-35", A424&lt;=45,"36-45", A424&lt;=55,"46-55", A424&lt;=64,"56-64")</f>
        <v>36-45</v>
      </c>
      <c r="C424" t="s">
        <v>10</v>
      </c>
      <c r="D424">
        <v>32.774999999999999</v>
      </c>
      <c r="E424">
        <v>1</v>
      </c>
      <c r="F424" t="s">
        <v>8</v>
      </c>
      <c r="G424" t="s">
        <v>53</v>
      </c>
      <c r="H424" s="2">
        <v>39125.332249999999</v>
      </c>
      <c r="I424" s="2">
        <f t="shared" si="42"/>
        <v>19562.666125</v>
      </c>
      <c r="J424" t="str">
        <f t="shared" si="43"/>
        <v>High</v>
      </c>
      <c r="K424" s="1">
        <f t="shared" si="44"/>
        <v>0.93200000000000005</v>
      </c>
      <c r="L424" t="str">
        <f t="shared" si="45"/>
        <v>Obese</v>
      </c>
      <c r="M424" t="str">
        <f t="shared" si="46"/>
        <v>High Risk</v>
      </c>
      <c r="N424" t="str">
        <f t="shared" si="47"/>
        <v>Tier 2</v>
      </c>
      <c r="O424">
        <f t="shared" si="48"/>
        <v>5</v>
      </c>
    </row>
    <row r="425" spans="1:15" x14ac:dyDescent="0.2">
      <c r="A425">
        <v>25</v>
      </c>
      <c r="B425" t="str" cm="1">
        <f t="array" ref="B425">_xlfn.IFS(A425&lt;=25,"18-25", A425&lt;=35,"26-35", A425&lt;=45,"36-45", A425&lt;=55,"46-55", A425&lt;=64,"56-64")</f>
        <v>18-25</v>
      </c>
      <c r="C425" t="s">
        <v>10</v>
      </c>
      <c r="D425">
        <v>30.59</v>
      </c>
      <c r="E425">
        <v>0</v>
      </c>
      <c r="F425" t="s">
        <v>11</v>
      </c>
      <c r="G425" t="s">
        <v>53</v>
      </c>
      <c r="H425" s="2">
        <v>2727.3951000000002</v>
      </c>
      <c r="I425" s="2">
        <f t="shared" si="42"/>
        <v>2727.3951000000002</v>
      </c>
      <c r="J425" t="str">
        <f t="shared" si="43"/>
        <v>Low</v>
      </c>
      <c r="K425" s="1">
        <f t="shared" si="44"/>
        <v>0.127</v>
      </c>
      <c r="L425" t="str">
        <f t="shared" si="45"/>
        <v>Obese</v>
      </c>
      <c r="M425" t="str">
        <f t="shared" si="46"/>
        <v>Standard</v>
      </c>
      <c r="N425" t="str">
        <f t="shared" si="47"/>
        <v>Tier 2</v>
      </c>
      <c r="O425">
        <f t="shared" si="48"/>
        <v>2</v>
      </c>
    </row>
    <row r="426" spans="1:15" x14ac:dyDescent="0.2">
      <c r="A426">
        <v>48</v>
      </c>
      <c r="B426" t="str" cm="1">
        <f t="array" ref="B426">_xlfn.IFS(A426&lt;=25,"18-25", A426&lt;=35,"26-35", A426&lt;=45,"36-45", A426&lt;=55,"46-55", A426&lt;=64,"56-64")</f>
        <v>46-55</v>
      </c>
      <c r="C426" t="s">
        <v>10</v>
      </c>
      <c r="D426">
        <v>30.2</v>
      </c>
      <c r="E426">
        <v>2</v>
      </c>
      <c r="F426" t="s">
        <v>11</v>
      </c>
      <c r="G426" t="s">
        <v>52</v>
      </c>
      <c r="H426" s="2">
        <v>8968.33</v>
      </c>
      <c r="I426" s="2">
        <f t="shared" si="42"/>
        <v>2989.4433333333332</v>
      </c>
      <c r="J426" t="str">
        <f t="shared" si="43"/>
        <v>Low</v>
      </c>
      <c r="K426" s="1">
        <f t="shared" si="44"/>
        <v>0.48199999999999998</v>
      </c>
      <c r="L426" t="str">
        <f t="shared" si="45"/>
        <v>Obese</v>
      </c>
      <c r="M426" t="str">
        <f t="shared" si="46"/>
        <v>Standard</v>
      </c>
      <c r="N426" t="str">
        <f t="shared" si="47"/>
        <v>Tier 3</v>
      </c>
      <c r="O426">
        <f t="shared" si="48"/>
        <v>2</v>
      </c>
    </row>
    <row r="427" spans="1:15" x14ac:dyDescent="0.2">
      <c r="A427">
        <v>45</v>
      </c>
      <c r="B427" t="str" cm="1">
        <f t="array" ref="B427">_xlfn.IFS(A427&lt;=25,"18-25", A427&lt;=35,"26-35", A427&lt;=45,"36-45", A427&lt;=55,"46-55", A427&lt;=64,"56-64")</f>
        <v>36-45</v>
      </c>
      <c r="C427" t="s">
        <v>10</v>
      </c>
      <c r="D427">
        <v>24.31</v>
      </c>
      <c r="E427">
        <v>5</v>
      </c>
      <c r="F427" t="s">
        <v>11</v>
      </c>
      <c r="G427" t="s">
        <v>51</v>
      </c>
      <c r="H427" s="2">
        <v>9788.8659000000007</v>
      </c>
      <c r="I427" s="2">
        <f t="shared" si="42"/>
        <v>1631.47765</v>
      </c>
      <c r="J427" t="str">
        <f t="shared" si="43"/>
        <v>Low</v>
      </c>
      <c r="K427" s="1">
        <f t="shared" si="44"/>
        <v>0.52</v>
      </c>
      <c r="L427" t="str">
        <f t="shared" si="45"/>
        <v>Normal</v>
      </c>
      <c r="M427" t="str">
        <f t="shared" si="46"/>
        <v>Standard</v>
      </c>
      <c r="N427" t="str">
        <f t="shared" si="47"/>
        <v>Tier 1</v>
      </c>
      <c r="O427">
        <f t="shared" si="48"/>
        <v>1</v>
      </c>
    </row>
    <row r="428" spans="1:15" x14ac:dyDescent="0.2">
      <c r="A428">
        <v>38</v>
      </c>
      <c r="B428" t="str" cm="1">
        <f t="array" ref="B428">_xlfn.IFS(A428&lt;=25,"18-25", A428&lt;=35,"26-35", A428&lt;=45,"36-45", A428&lt;=55,"46-55", A428&lt;=64,"56-64")</f>
        <v>36-45</v>
      </c>
      <c r="C428" t="s">
        <v>7</v>
      </c>
      <c r="D428">
        <v>27.265000000000001</v>
      </c>
      <c r="E428">
        <v>1</v>
      </c>
      <c r="F428" t="s">
        <v>11</v>
      </c>
      <c r="G428" t="s">
        <v>53</v>
      </c>
      <c r="H428" s="2">
        <v>6555.07035</v>
      </c>
      <c r="I428" s="2">
        <f t="shared" si="42"/>
        <v>3277.535175</v>
      </c>
      <c r="J428" t="str">
        <f t="shared" si="43"/>
        <v>Low</v>
      </c>
      <c r="K428" s="1">
        <f t="shared" si="44"/>
        <v>0.35099999999999998</v>
      </c>
      <c r="L428" t="str">
        <f t="shared" si="45"/>
        <v>Overweight</v>
      </c>
      <c r="M428" t="str">
        <f t="shared" si="46"/>
        <v>Standard</v>
      </c>
      <c r="N428" t="str">
        <f t="shared" si="47"/>
        <v>Tier 2</v>
      </c>
      <c r="O428">
        <f t="shared" si="48"/>
        <v>1</v>
      </c>
    </row>
    <row r="429" spans="1:15" x14ac:dyDescent="0.2">
      <c r="A429">
        <v>18</v>
      </c>
      <c r="B429" t="str" cm="1">
        <f t="array" ref="B429">_xlfn.IFS(A429&lt;=25,"18-25", A429&lt;=35,"26-35", A429&lt;=45,"36-45", A429&lt;=55,"46-55", A429&lt;=64,"56-64")</f>
        <v>18-25</v>
      </c>
      <c r="C429" t="s">
        <v>7</v>
      </c>
      <c r="D429">
        <v>29.164999999999999</v>
      </c>
      <c r="E429">
        <v>0</v>
      </c>
      <c r="F429" t="s">
        <v>11</v>
      </c>
      <c r="G429" t="s">
        <v>53</v>
      </c>
      <c r="H429" s="2">
        <v>7323.7348190000002</v>
      </c>
      <c r="I429" s="2">
        <f t="shared" si="42"/>
        <v>7323.7348190000002</v>
      </c>
      <c r="J429" t="str">
        <f t="shared" si="43"/>
        <v>Low</v>
      </c>
      <c r="K429" s="1">
        <f t="shared" si="44"/>
        <v>0.39400000000000002</v>
      </c>
      <c r="L429" t="str">
        <f t="shared" si="45"/>
        <v>Overweight</v>
      </c>
      <c r="M429" t="str">
        <f t="shared" si="46"/>
        <v>Standard</v>
      </c>
      <c r="N429" t="str">
        <f t="shared" si="47"/>
        <v>Tier 2</v>
      </c>
      <c r="O429">
        <f t="shared" si="48"/>
        <v>1</v>
      </c>
    </row>
    <row r="430" spans="1:15" x14ac:dyDescent="0.2">
      <c r="A430">
        <v>21</v>
      </c>
      <c r="B430" t="str" cm="1">
        <f t="array" ref="B430">_xlfn.IFS(A430&lt;=25,"18-25", A430&lt;=35,"26-35", A430&lt;=45,"36-45", A430&lt;=55,"46-55", A430&lt;=64,"56-64")</f>
        <v>18-25</v>
      </c>
      <c r="C430" t="s">
        <v>7</v>
      </c>
      <c r="D430">
        <v>16.815000000000001</v>
      </c>
      <c r="E430">
        <v>1</v>
      </c>
      <c r="F430" t="s">
        <v>11</v>
      </c>
      <c r="G430" t="s">
        <v>53</v>
      </c>
      <c r="H430" s="2">
        <v>3167.4558499999998</v>
      </c>
      <c r="I430" s="2">
        <f t="shared" si="42"/>
        <v>1583.7279249999999</v>
      </c>
      <c r="J430" t="str">
        <f t="shared" si="43"/>
        <v>Low</v>
      </c>
      <c r="K430" s="1">
        <f t="shared" si="44"/>
        <v>0.14799999999999999</v>
      </c>
      <c r="L430" t="str">
        <f t="shared" si="45"/>
        <v>Underweight</v>
      </c>
      <c r="M430" t="str">
        <f t="shared" si="46"/>
        <v>Standard</v>
      </c>
      <c r="N430" t="str">
        <f t="shared" si="47"/>
        <v>Tier 2</v>
      </c>
      <c r="O430">
        <f t="shared" si="48"/>
        <v>0</v>
      </c>
    </row>
    <row r="431" spans="1:15" x14ac:dyDescent="0.2">
      <c r="A431">
        <v>27</v>
      </c>
      <c r="B431" t="str" cm="1">
        <f t="array" ref="B431">_xlfn.IFS(A431&lt;=25,"18-25", A431&lt;=35,"26-35", A431&lt;=45,"36-45", A431&lt;=55,"46-55", A431&lt;=64,"56-64")</f>
        <v>26-35</v>
      </c>
      <c r="C431" t="s">
        <v>7</v>
      </c>
      <c r="D431">
        <v>30.4</v>
      </c>
      <c r="E431">
        <v>3</v>
      </c>
      <c r="F431" t="s">
        <v>11</v>
      </c>
      <c r="G431" t="s">
        <v>54</v>
      </c>
      <c r="H431" s="2">
        <v>18804.752400000001</v>
      </c>
      <c r="I431" s="2">
        <f t="shared" si="42"/>
        <v>4701.1881000000003</v>
      </c>
      <c r="J431" t="str">
        <f t="shared" si="43"/>
        <v>High</v>
      </c>
      <c r="K431" s="1">
        <f t="shared" si="44"/>
        <v>0.77500000000000002</v>
      </c>
      <c r="L431" t="str">
        <f t="shared" si="45"/>
        <v>Obese</v>
      </c>
      <c r="M431" t="str">
        <f t="shared" si="46"/>
        <v>Standard</v>
      </c>
      <c r="N431" t="str">
        <f t="shared" si="47"/>
        <v>Tier 4</v>
      </c>
      <c r="O431">
        <f t="shared" si="48"/>
        <v>2</v>
      </c>
    </row>
    <row r="432" spans="1:15" x14ac:dyDescent="0.2">
      <c r="A432">
        <v>19</v>
      </c>
      <c r="B432" t="str" cm="1">
        <f t="array" ref="B432">_xlfn.IFS(A432&lt;=25,"18-25", A432&lt;=35,"26-35", A432&lt;=45,"36-45", A432&lt;=55,"46-55", A432&lt;=64,"56-64")</f>
        <v>18-25</v>
      </c>
      <c r="C432" t="s">
        <v>10</v>
      </c>
      <c r="D432">
        <v>33.1</v>
      </c>
      <c r="E432">
        <v>0</v>
      </c>
      <c r="F432" t="s">
        <v>11</v>
      </c>
      <c r="G432" t="s">
        <v>52</v>
      </c>
      <c r="H432" s="2">
        <v>23082.955330000001</v>
      </c>
      <c r="I432" s="2">
        <f t="shared" si="42"/>
        <v>23082.955330000001</v>
      </c>
      <c r="J432" t="str">
        <f t="shared" si="43"/>
        <v>High</v>
      </c>
      <c r="K432" s="1">
        <f t="shared" si="44"/>
        <v>0.83</v>
      </c>
      <c r="L432" t="str">
        <f t="shared" si="45"/>
        <v>Obese</v>
      </c>
      <c r="M432" t="str">
        <f t="shared" si="46"/>
        <v>Standard</v>
      </c>
      <c r="N432" t="str">
        <f t="shared" si="47"/>
        <v>Tier 3</v>
      </c>
      <c r="O432">
        <f t="shared" si="48"/>
        <v>2</v>
      </c>
    </row>
    <row r="433" spans="1:15" x14ac:dyDescent="0.2">
      <c r="A433">
        <v>29</v>
      </c>
      <c r="B433" t="str" cm="1">
        <f t="array" ref="B433">_xlfn.IFS(A433&lt;=25,"18-25", A433&lt;=35,"26-35", A433&lt;=45,"36-45", A433&lt;=55,"46-55", A433&lt;=64,"56-64")</f>
        <v>26-35</v>
      </c>
      <c r="C433" t="s">
        <v>7</v>
      </c>
      <c r="D433">
        <v>20.234999999999999</v>
      </c>
      <c r="E433">
        <v>2</v>
      </c>
      <c r="F433" t="s">
        <v>11</v>
      </c>
      <c r="G433" t="s">
        <v>54</v>
      </c>
      <c r="H433" s="2">
        <v>4906.4096499999996</v>
      </c>
      <c r="I433" s="2">
        <f t="shared" si="42"/>
        <v>1635.4698833333332</v>
      </c>
      <c r="J433" t="str">
        <f t="shared" si="43"/>
        <v>Low</v>
      </c>
      <c r="K433" s="1">
        <f t="shared" si="44"/>
        <v>0.26300000000000001</v>
      </c>
      <c r="L433" t="str">
        <f t="shared" si="45"/>
        <v>Normal</v>
      </c>
      <c r="M433" t="str">
        <f t="shared" si="46"/>
        <v>Standard</v>
      </c>
      <c r="N433" t="str">
        <f t="shared" si="47"/>
        <v>Tier 4</v>
      </c>
      <c r="O433">
        <f t="shared" si="48"/>
        <v>0</v>
      </c>
    </row>
    <row r="434" spans="1:15" x14ac:dyDescent="0.2">
      <c r="A434">
        <v>42</v>
      </c>
      <c r="B434" t="str" cm="1">
        <f t="array" ref="B434">_xlfn.IFS(A434&lt;=25,"18-25", A434&lt;=35,"26-35", A434&lt;=45,"36-45", A434&lt;=55,"46-55", A434&lt;=64,"56-64")</f>
        <v>36-45</v>
      </c>
      <c r="C434" t="s">
        <v>10</v>
      </c>
      <c r="D434">
        <v>26.9</v>
      </c>
      <c r="E434">
        <v>0</v>
      </c>
      <c r="F434" t="s">
        <v>11</v>
      </c>
      <c r="G434" t="s">
        <v>52</v>
      </c>
      <c r="H434" s="2">
        <v>5969.723</v>
      </c>
      <c r="I434" s="2">
        <f t="shared" si="42"/>
        <v>5969.723</v>
      </c>
      <c r="J434" t="str">
        <f t="shared" si="43"/>
        <v>Low</v>
      </c>
      <c r="K434" s="1">
        <f t="shared" si="44"/>
        <v>0.316</v>
      </c>
      <c r="L434" t="str">
        <f t="shared" si="45"/>
        <v>Overweight</v>
      </c>
      <c r="M434" t="str">
        <f t="shared" si="46"/>
        <v>Standard</v>
      </c>
      <c r="N434" t="str">
        <f t="shared" si="47"/>
        <v>Tier 3</v>
      </c>
      <c r="O434">
        <f t="shared" si="48"/>
        <v>1</v>
      </c>
    </row>
    <row r="435" spans="1:15" x14ac:dyDescent="0.2">
      <c r="A435">
        <v>60</v>
      </c>
      <c r="B435" t="str" cm="1">
        <f t="array" ref="B435">_xlfn.IFS(A435&lt;=25,"18-25", A435&lt;=35,"26-35", A435&lt;=45,"36-45", A435&lt;=55,"46-55", A435&lt;=64,"56-64")</f>
        <v>56-64</v>
      </c>
      <c r="C435" t="s">
        <v>7</v>
      </c>
      <c r="D435">
        <v>30.5</v>
      </c>
      <c r="E435">
        <v>0</v>
      </c>
      <c r="F435" t="s">
        <v>11</v>
      </c>
      <c r="G435" t="s">
        <v>52</v>
      </c>
      <c r="H435" s="2">
        <v>12638.195</v>
      </c>
      <c r="I435" s="2">
        <f t="shared" si="42"/>
        <v>12638.195</v>
      </c>
      <c r="J435" t="str">
        <f t="shared" si="43"/>
        <v>Low</v>
      </c>
      <c r="K435" s="1">
        <f t="shared" si="44"/>
        <v>0.66</v>
      </c>
      <c r="L435" t="str">
        <f t="shared" si="45"/>
        <v>Obese</v>
      </c>
      <c r="M435" t="str">
        <f t="shared" si="46"/>
        <v>Standard</v>
      </c>
      <c r="N435" t="str">
        <f t="shared" si="47"/>
        <v>Tier 3</v>
      </c>
      <c r="O435">
        <f t="shared" si="48"/>
        <v>2</v>
      </c>
    </row>
    <row r="436" spans="1:15" x14ac:dyDescent="0.2">
      <c r="A436">
        <v>31</v>
      </c>
      <c r="B436" t="str" cm="1">
        <f t="array" ref="B436">_xlfn.IFS(A436&lt;=25,"18-25", A436&lt;=35,"26-35", A436&lt;=45,"36-45", A436&lt;=55,"46-55", A436&lt;=64,"56-64")</f>
        <v>26-35</v>
      </c>
      <c r="C436" t="s">
        <v>10</v>
      </c>
      <c r="D436">
        <v>28.594999999999999</v>
      </c>
      <c r="E436">
        <v>1</v>
      </c>
      <c r="F436" t="s">
        <v>11</v>
      </c>
      <c r="G436" t="s">
        <v>54</v>
      </c>
      <c r="H436" s="2">
        <v>4243.5900499999998</v>
      </c>
      <c r="I436" s="2">
        <f t="shared" si="42"/>
        <v>2121.7950249999999</v>
      </c>
      <c r="J436" t="str">
        <f t="shared" si="43"/>
        <v>Low</v>
      </c>
      <c r="K436" s="1">
        <f t="shared" si="44"/>
        <v>0.21299999999999999</v>
      </c>
      <c r="L436" t="str">
        <f t="shared" si="45"/>
        <v>Overweight</v>
      </c>
      <c r="M436" t="str">
        <f t="shared" si="46"/>
        <v>Standard</v>
      </c>
      <c r="N436" t="str">
        <f t="shared" si="47"/>
        <v>Tier 4</v>
      </c>
      <c r="O436">
        <f t="shared" si="48"/>
        <v>1</v>
      </c>
    </row>
    <row r="437" spans="1:15" x14ac:dyDescent="0.2">
      <c r="A437">
        <v>60</v>
      </c>
      <c r="B437" t="str" cm="1">
        <f t="array" ref="B437">_xlfn.IFS(A437&lt;=25,"18-25", A437&lt;=35,"26-35", A437&lt;=45,"36-45", A437&lt;=55,"46-55", A437&lt;=64,"56-64")</f>
        <v>56-64</v>
      </c>
      <c r="C437" t="s">
        <v>10</v>
      </c>
      <c r="D437">
        <v>33.11</v>
      </c>
      <c r="E437">
        <v>3</v>
      </c>
      <c r="F437" t="s">
        <v>11</v>
      </c>
      <c r="G437" t="s">
        <v>51</v>
      </c>
      <c r="H437" s="2">
        <v>13919.822899999999</v>
      </c>
      <c r="I437" s="2">
        <f t="shared" si="42"/>
        <v>3479.9557249999998</v>
      </c>
      <c r="J437" t="str">
        <f t="shared" si="43"/>
        <v>High</v>
      </c>
      <c r="K437" s="1">
        <f t="shared" si="44"/>
        <v>0.70599999999999996</v>
      </c>
      <c r="L437" t="str">
        <f t="shared" si="45"/>
        <v>Obese</v>
      </c>
      <c r="M437" t="str">
        <f t="shared" si="46"/>
        <v>Standard</v>
      </c>
      <c r="N437" t="str">
        <f t="shared" si="47"/>
        <v>Tier 1</v>
      </c>
      <c r="O437">
        <f t="shared" si="48"/>
        <v>3</v>
      </c>
    </row>
    <row r="438" spans="1:15" x14ac:dyDescent="0.2">
      <c r="A438">
        <v>22</v>
      </c>
      <c r="B438" t="str" cm="1">
        <f t="array" ref="B438">_xlfn.IFS(A438&lt;=25,"18-25", A438&lt;=35,"26-35", A438&lt;=45,"36-45", A438&lt;=55,"46-55", A438&lt;=64,"56-64")</f>
        <v>18-25</v>
      </c>
      <c r="C438" t="s">
        <v>10</v>
      </c>
      <c r="D438">
        <v>31.73</v>
      </c>
      <c r="E438">
        <v>0</v>
      </c>
      <c r="F438" t="s">
        <v>11</v>
      </c>
      <c r="G438" t="s">
        <v>53</v>
      </c>
      <c r="H438" s="2">
        <v>2254.7966999999999</v>
      </c>
      <c r="I438" s="2">
        <f t="shared" si="42"/>
        <v>2254.7966999999999</v>
      </c>
      <c r="J438" t="str">
        <f t="shared" si="43"/>
        <v>Low</v>
      </c>
      <c r="K438" s="1">
        <f t="shared" si="44"/>
        <v>9.4E-2</v>
      </c>
      <c r="L438" t="str">
        <f t="shared" si="45"/>
        <v>Obese</v>
      </c>
      <c r="M438" t="str">
        <f t="shared" si="46"/>
        <v>Standard</v>
      </c>
      <c r="N438" t="str">
        <f t="shared" si="47"/>
        <v>Tier 2</v>
      </c>
      <c r="O438">
        <f t="shared" si="48"/>
        <v>2</v>
      </c>
    </row>
    <row r="439" spans="1:15" x14ac:dyDescent="0.2">
      <c r="A439">
        <v>35</v>
      </c>
      <c r="B439" t="str" cm="1">
        <f t="array" ref="B439">_xlfn.IFS(A439&lt;=25,"18-25", A439&lt;=35,"26-35", A439&lt;=45,"36-45", A439&lt;=55,"46-55", A439&lt;=64,"56-64")</f>
        <v>26-35</v>
      </c>
      <c r="C439" t="s">
        <v>10</v>
      </c>
      <c r="D439">
        <v>28.9</v>
      </c>
      <c r="E439">
        <v>3</v>
      </c>
      <c r="F439" t="s">
        <v>11</v>
      </c>
      <c r="G439" t="s">
        <v>52</v>
      </c>
      <c r="H439" s="2">
        <v>5926.8459999999995</v>
      </c>
      <c r="I439" s="2">
        <f t="shared" si="42"/>
        <v>1481.7114999999999</v>
      </c>
      <c r="J439" t="str">
        <f t="shared" si="43"/>
        <v>Low</v>
      </c>
      <c r="K439" s="1">
        <f t="shared" si="44"/>
        <v>0.314</v>
      </c>
      <c r="L439" t="str">
        <f t="shared" si="45"/>
        <v>Overweight</v>
      </c>
      <c r="M439" t="str">
        <f t="shared" si="46"/>
        <v>Standard</v>
      </c>
      <c r="N439" t="str">
        <f t="shared" si="47"/>
        <v>Tier 3</v>
      </c>
      <c r="O439">
        <f t="shared" si="48"/>
        <v>1</v>
      </c>
    </row>
    <row r="440" spans="1:15" x14ac:dyDescent="0.2">
      <c r="A440">
        <v>52</v>
      </c>
      <c r="B440" t="str" cm="1">
        <f t="array" ref="B440">_xlfn.IFS(A440&lt;=25,"18-25", A440&lt;=35,"26-35", A440&lt;=45,"36-45", A440&lt;=55,"46-55", A440&lt;=64,"56-64")</f>
        <v>46-55</v>
      </c>
      <c r="C440" t="s">
        <v>7</v>
      </c>
      <c r="D440">
        <v>46.75</v>
      </c>
      <c r="E440">
        <v>5</v>
      </c>
      <c r="F440" t="s">
        <v>11</v>
      </c>
      <c r="G440" t="s">
        <v>51</v>
      </c>
      <c r="H440" s="2">
        <v>12592.5345</v>
      </c>
      <c r="I440" s="2">
        <f t="shared" si="42"/>
        <v>2098.7557499999998</v>
      </c>
      <c r="J440" t="str">
        <f t="shared" si="43"/>
        <v>Low</v>
      </c>
      <c r="K440" s="1">
        <f t="shared" si="44"/>
        <v>0.65600000000000003</v>
      </c>
      <c r="L440" t="str">
        <f t="shared" si="45"/>
        <v>Obese</v>
      </c>
      <c r="M440" t="str">
        <f t="shared" si="46"/>
        <v>Standard</v>
      </c>
      <c r="N440" t="str">
        <f t="shared" si="47"/>
        <v>Tier 1</v>
      </c>
      <c r="O440">
        <f t="shared" si="48"/>
        <v>3</v>
      </c>
    </row>
    <row r="441" spans="1:15" x14ac:dyDescent="0.2">
      <c r="A441">
        <v>26</v>
      </c>
      <c r="B441" t="str" cm="1">
        <f t="array" ref="B441">_xlfn.IFS(A441&lt;=25,"18-25", A441&lt;=35,"26-35", A441&lt;=45,"36-45", A441&lt;=55,"46-55", A441&lt;=64,"56-64")</f>
        <v>26-35</v>
      </c>
      <c r="C441" t="s">
        <v>10</v>
      </c>
      <c r="D441">
        <v>29.45</v>
      </c>
      <c r="E441">
        <v>0</v>
      </c>
      <c r="F441" t="s">
        <v>11</v>
      </c>
      <c r="G441" t="s">
        <v>53</v>
      </c>
      <c r="H441" s="2">
        <v>2897.3235</v>
      </c>
      <c r="I441" s="2">
        <f t="shared" si="42"/>
        <v>2897.3235</v>
      </c>
      <c r="J441" t="str">
        <f t="shared" si="43"/>
        <v>Low</v>
      </c>
      <c r="K441" s="1">
        <f t="shared" si="44"/>
        <v>0.13700000000000001</v>
      </c>
      <c r="L441" t="str">
        <f t="shared" si="45"/>
        <v>Overweight</v>
      </c>
      <c r="M441" t="str">
        <f t="shared" si="46"/>
        <v>Standard</v>
      </c>
      <c r="N441" t="str">
        <f t="shared" si="47"/>
        <v>Tier 2</v>
      </c>
      <c r="O441">
        <f t="shared" si="48"/>
        <v>1</v>
      </c>
    </row>
    <row r="442" spans="1:15" x14ac:dyDescent="0.2">
      <c r="A442">
        <v>31</v>
      </c>
      <c r="B442" t="str" cm="1">
        <f t="array" ref="B442">_xlfn.IFS(A442&lt;=25,"18-25", A442&lt;=35,"26-35", A442&lt;=45,"36-45", A442&lt;=55,"46-55", A442&lt;=64,"56-64")</f>
        <v>26-35</v>
      </c>
      <c r="C442" t="s">
        <v>7</v>
      </c>
      <c r="D442">
        <v>32.68</v>
      </c>
      <c r="E442">
        <v>1</v>
      </c>
      <c r="F442" t="s">
        <v>11</v>
      </c>
      <c r="G442" t="s">
        <v>54</v>
      </c>
      <c r="H442" s="2">
        <v>4738.2682000000004</v>
      </c>
      <c r="I442" s="2">
        <f t="shared" si="42"/>
        <v>2369.1341000000002</v>
      </c>
      <c r="J442" t="str">
        <f t="shared" si="43"/>
        <v>Low</v>
      </c>
      <c r="K442" s="1">
        <f t="shared" si="44"/>
        <v>0.249</v>
      </c>
      <c r="L442" t="str">
        <f t="shared" si="45"/>
        <v>Obese</v>
      </c>
      <c r="M442" t="str">
        <f t="shared" si="46"/>
        <v>Standard</v>
      </c>
      <c r="N442" t="str">
        <f t="shared" si="47"/>
        <v>Tier 4</v>
      </c>
      <c r="O442">
        <f t="shared" si="48"/>
        <v>2</v>
      </c>
    </row>
    <row r="443" spans="1:15" x14ac:dyDescent="0.2">
      <c r="A443">
        <v>33</v>
      </c>
      <c r="B443" t="str" cm="1">
        <f t="array" ref="B443">_xlfn.IFS(A443&lt;=25,"18-25", A443&lt;=35,"26-35", A443&lt;=45,"36-45", A443&lt;=55,"46-55", A443&lt;=64,"56-64")</f>
        <v>26-35</v>
      </c>
      <c r="C443" t="s">
        <v>7</v>
      </c>
      <c r="D443">
        <v>33.5</v>
      </c>
      <c r="E443">
        <v>0</v>
      </c>
      <c r="F443" t="s">
        <v>8</v>
      </c>
      <c r="G443" t="s">
        <v>52</v>
      </c>
      <c r="H443" s="2">
        <v>37079.372000000003</v>
      </c>
      <c r="I443" s="2">
        <f t="shared" si="42"/>
        <v>37079.372000000003</v>
      </c>
      <c r="J443" t="str">
        <f t="shared" si="43"/>
        <v>High</v>
      </c>
      <c r="K443" s="1">
        <f t="shared" si="44"/>
        <v>0.91600000000000004</v>
      </c>
      <c r="L443" t="str">
        <f t="shared" si="45"/>
        <v>Obese</v>
      </c>
      <c r="M443" t="str">
        <f t="shared" si="46"/>
        <v>High Risk</v>
      </c>
      <c r="N443" t="str">
        <f t="shared" si="47"/>
        <v>Tier 3</v>
      </c>
      <c r="O443">
        <f t="shared" si="48"/>
        <v>5</v>
      </c>
    </row>
    <row r="444" spans="1:15" x14ac:dyDescent="0.2">
      <c r="A444">
        <v>18</v>
      </c>
      <c r="B444" t="str" cm="1">
        <f t="array" ref="B444">_xlfn.IFS(A444&lt;=25,"18-25", A444&lt;=35,"26-35", A444&lt;=45,"36-45", A444&lt;=55,"46-55", A444&lt;=64,"56-64")</f>
        <v>18-25</v>
      </c>
      <c r="C444" t="s">
        <v>10</v>
      </c>
      <c r="D444">
        <v>43.01</v>
      </c>
      <c r="E444">
        <v>0</v>
      </c>
      <c r="F444" t="s">
        <v>11</v>
      </c>
      <c r="G444" t="s">
        <v>51</v>
      </c>
      <c r="H444" s="2">
        <v>1149.3959</v>
      </c>
      <c r="I444" s="2">
        <f t="shared" si="42"/>
        <v>1149.3959</v>
      </c>
      <c r="J444" t="str">
        <f t="shared" si="43"/>
        <v>Low</v>
      </c>
      <c r="K444" s="1">
        <f t="shared" si="44"/>
        <v>5.0000000000000001E-3</v>
      </c>
      <c r="L444" t="str">
        <f t="shared" si="45"/>
        <v>Obese</v>
      </c>
      <c r="M444" t="str">
        <f t="shared" si="46"/>
        <v>Standard</v>
      </c>
      <c r="N444" t="str">
        <f t="shared" si="47"/>
        <v>Tier 1</v>
      </c>
      <c r="O444">
        <f t="shared" si="48"/>
        <v>3</v>
      </c>
    </row>
    <row r="445" spans="1:15" x14ac:dyDescent="0.2">
      <c r="A445">
        <v>59</v>
      </c>
      <c r="B445" t="str" cm="1">
        <f t="array" ref="B445">_xlfn.IFS(A445&lt;=25,"18-25", A445&lt;=35,"26-35", A445&lt;=45,"36-45", A445&lt;=55,"46-55", A445&lt;=64,"56-64")</f>
        <v>56-64</v>
      </c>
      <c r="C445" t="s">
        <v>7</v>
      </c>
      <c r="D445">
        <v>36.520000000000003</v>
      </c>
      <c r="E445">
        <v>1</v>
      </c>
      <c r="F445" t="s">
        <v>11</v>
      </c>
      <c r="G445" t="s">
        <v>51</v>
      </c>
      <c r="H445" s="2">
        <v>28287.897659999999</v>
      </c>
      <c r="I445" s="2">
        <f t="shared" si="42"/>
        <v>14143.948829999999</v>
      </c>
      <c r="J445" t="str">
        <f t="shared" si="43"/>
        <v>High</v>
      </c>
      <c r="K445" s="1">
        <f t="shared" si="44"/>
        <v>0.871</v>
      </c>
      <c r="L445" t="str">
        <f t="shared" si="45"/>
        <v>Obese</v>
      </c>
      <c r="M445" t="str">
        <f t="shared" si="46"/>
        <v>Standard</v>
      </c>
      <c r="N445" t="str">
        <f t="shared" si="47"/>
        <v>Tier 1</v>
      </c>
      <c r="O445">
        <f t="shared" si="48"/>
        <v>3</v>
      </c>
    </row>
    <row r="446" spans="1:15" x14ac:dyDescent="0.2">
      <c r="A446">
        <v>56</v>
      </c>
      <c r="B446" t="str" cm="1">
        <f t="array" ref="B446">_xlfn.IFS(A446&lt;=25,"18-25", A446&lt;=35,"26-35", A446&lt;=45,"36-45", A446&lt;=55,"46-55", A446&lt;=64,"56-64")</f>
        <v>56-64</v>
      </c>
      <c r="C446" t="s">
        <v>10</v>
      </c>
      <c r="D446">
        <v>26.695</v>
      </c>
      <c r="E446">
        <v>1</v>
      </c>
      <c r="F446" t="s">
        <v>8</v>
      </c>
      <c r="G446" t="s">
        <v>54</v>
      </c>
      <c r="H446" s="2">
        <v>26109.32905</v>
      </c>
      <c r="I446" s="2">
        <f t="shared" si="42"/>
        <v>13054.664525</v>
      </c>
      <c r="J446" t="str">
        <f t="shared" si="43"/>
        <v>High</v>
      </c>
      <c r="K446" s="1">
        <f t="shared" si="44"/>
        <v>0.85699999999999998</v>
      </c>
      <c r="L446" t="str">
        <f t="shared" si="45"/>
        <v>Overweight</v>
      </c>
      <c r="M446" t="str">
        <f t="shared" si="46"/>
        <v>High Risk</v>
      </c>
      <c r="N446" t="str">
        <f t="shared" si="47"/>
        <v>Tier 4</v>
      </c>
      <c r="O446">
        <f t="shared" si="48"/>
        <v>4</v>
      </c>
    </row>
    <row r="447" spans="1:15" x14ac:dyDescent="0.2">
      <c r="A447">
        <v>45</v>
      </c>
      <c r="B447" t="str" cm="1">
        <f t="array" ref="B447">_xlfn.IFS(A447&lt;=25,"18-25", A447&lt;=35,"26-35", A447&lt;=45,"36-45", A447&lt;=55,"46-55", A447&lt;=64,"56-64")</f>
        <v>36-45</v>
      </c>
      <c r="C447" t="s">
        <v>7</v>
      </c>
      <c r="D447">
        <v>33.1</v>
      </c>
      <c r="E447">
        <v>0</v>
      </c>
      <c r="F447" t="s">
        <v>11</v>
      </c>
      <c r="G447" t="s">
        <v>52</v>
      </c>
      <c r="H447" s="2">
        <v>7345.0839999999998</v>
      </c>
      <c r="I447" s="2">
        <f t="shared" si="42"/>
        <v>7345.0839999999998</v>
      </c>
      <c r="J447" t="str">
        <f t="shared" si="43"/>
        <v>Low</v>
      </c>
      <c r="K447" s="1">
        <f t="shared" si="44"/>
        <v>0.39700000000000002</v>
      </c>
      <c r="L447" t="str">
        <f t="shared" si="45"/>
        <v>Obese</v>
      </c>
      <c r="M447" t="str">
        <f t="shared" si="46"/>
        <v>Standard</v>
      </c>
      <c r="N447" t="str">
        <f t="shared" si="47"/>
        <v>Tier 3</v>
      </c>
      <c r="O447">
        <f t="shared" si="48"/>
        <v>2</v>
      </c>
    </row>
    <row r="448" spans="1:15" x14ac:dyDescent="0.2">
      <c r="A448">
        <v>60</v>
      </c>
      <c r="B448" t="str" cm="1">
        <f t="array" ref="B448">_xlfn.IFS(A448&lt;=25,"18-25", A448&lt;=35,"26-35", A448&lt;=45,"36-45", A448&lt;=55,"46-55", A448&lt;=64,"56-64")</f>
        <v>56-64</v>
      </c>
      <c r="C448" t="s">
        <v>10</v>
      </c>
      <c r="D448">
        <v>29.64</v>
      </c>
      <c r="E448">
        <v>0</v>
      </c>
      <c r="F448" t="s">
        <v>11</v>
      </c>
      <c r="G448" t="s">
        <v>53</v>
      </c>
      <c r="H448" s="2">
        <v>12730.999599999999</v>
      </c>
      <c r="I448" s="2">
        <f t="shared" si="42"/>
        <v>12730.999599999999</v>
      </c>
      <c r="J448" t="str">
        <f t="shared" si="43"/>
        <v>Low</v>
      </c>
      <c r="K448" s="1">
        <f t="shared" si="44"/>
        <v>0.66400000000000003</v>
      </c>
      <c r="L448" t="str">
        <f t="shared" si="45"/>
        <v>Overweight</v>
      </c>
      <c r="M448" t="str">
        <f t="shared" si="46"/>
        <v>Standard</v>
      </c>
      <c r="N448" t="str">
        <f t="shared" si="47"/>
        <v>Tier 2</v>
      </c>
      <c r="O448">
        <f t="shared" si="48"/>
        <v>1</v>
      </c>
    </row>
    <row r="449" spans="1:15" x14ac:dyDescent="0.2">
      <c r="A449">
        <v>56</v>
      </c>
      <c r="B449" t="str" cm="1">
        <f t="array" ref="B449">_xlfn.IFS(A449&lt;=25,"18-25", A449&lt;=35,"26-35", A449&lt;=45,"36-45", A449&lt;=55,"46-55", A449&lt;=64,"56-64")</f>
        <v>56-64</v>
      </c>
      <c r="C449" t="s">
        <v>7</v>
      </c>
      <c r="D449">
        <v>25.65</v>
      </c>
      <c r="E449">
        <v>0</v>
      </c>
      <c r="F449" t="s">
        <v>11</v>
      </c>
      <c r="G449" t="s">
        <v>54</v>
      </c>
      <c r="H449" s="2">
        <v>11454.021500000001</v>
      </c>
      <c r="I449" s="2">
        <f t="shared" si="42"/>
        <v>11454.021500000001</v>
      </c>
      <c r="J449" t="str">
        <f t="shared" si="43"/>
        <v>Low</v>
      </c>
      <c r="K449" s="1">
        <f t="shared" si="44"/>
        <v>0.60199999999999998</v>
      </c>
      <c r="L449" t="str">
        <f t="shared" si="45"/>
        <v>Overweight</v>
      </c>
      <c r="M449" t="str">
        <f t="shared" si="46"/>
        <v>Standard</v>
      </c>
      <c r="N449" t="str">
        <f t="shared" si="47"/>
        <v>Tier 4</v>
      </c>
      <c r="O449">
        <f t="shared" si="48"/>
        <v>1</v>
      </c>
    </row>
    <row r="450" spans="1:15" x14ac:dyDescent="0.2">
      <c r="A450">
        <v>40</v>
      </c>
      <c r="B450" t="str" cm="1">
        <f t="array" ref="B450">_xlfn.IFS(A450&lt;=25,"18-25", A450&lt;=35,"26-35", A450&lt;=45,"36-45", A450&lt;=55,"46-55", A450&lt;=64,"56-64")</f>
        <v>36-45</v>
      </c>
      <c r="C450" t="s">
        <v>7</v>
      </c>
      <c r="D450">
        <v>29.6</v>
      </c>
      <c r="E450">
        <v>0</v>
      </c>
      <c r="F450" t="s">
        <v>11</v>
      </c>
      <c r="G450" t="s">
        <v>52</v>
      </c>
      <c r="H450" s="2">
        <v>5910.9440000000004</v>
      </c>
      <c r="I450" s="2">
        <f t="shared" ref="I450:I513" si="49">H450/(E450+1)</f>
        <v>5910.9440000000004</v>
      </c>
      <c r="J450" t="str">
        <f t="shared" ref="J450:J513" si="50">IF(H450&gt;AVERAGE($H$2:$H$1339),"High","Low")</f>
        <v>Low</v>
      </c>
      <c r="K450" s="1">
        <f t="shared" ref="K450:K513" si="51">PERCENTRANK($H$2:$H$1339,H450)</f>
        <v>0.312</v>
      </c>
      <c r="L450" t="str">
        <f t="shared" ref="L450:L513" si="52">IF(D450&lt;18.5,"Underweight",IF(D450&lt;25,"Normal",IF(D450&lt;30,"Overweight","Obese")))</f>
        <v>Overweight</v>
      </c>
      <c r="M450" t="str">
        <f t="shared" ref="M450:M513" si="53">IF(F450="yes","High Risk","Standard")</f>
        <v>Standard</v>
      </c>
      <c r="N450" t="str">
        <f t="shared" ref="N450:N513" si="54">IF(G450="southeast","Tier 1",IF(G450="northeast","Tier 2",IF(G450="southwest","Tier 3","Tier 4")))</f>
        <v>Tier 3</v>
      </c>
      <c r="O450">
        <f t="shared" ref="O450:O513" si="55">IF(F450="yes",3,0)+IF(D450&gt;=30,2,IF(D450&gt;=25,1,0))+IF(G450="southeast",1,0)</f>
        <v>1</v>
      </c>
    </row>
    <row r="451" spans="1:15" x14ac:dyDescent="0.2">
      <c r="A451">
        <v>35</v>
      </c>
      <c r="B451" t="str" cm="1">
        <f t="array" ref="B451">_xlfn.IFS(A451&lt;=25,"18-25", A451&lt;=35,"26-35", A451&lt;=45,"36-45", A451&lt;=55,"46-55", A451&lt;=64,"56-64")</f>
        <v>26-35</v>
      </c>
      <c r="C451" t="s">
        <v>10</v>
      </c>
      <c r="D451">
        <v>38.6</v>
      </c>
      <c r="E451">
        <v>1</v>
      </c>
      <c r="F451" t="s">
        <v>11</v>
      </c>
      <c r="G451" t="s">
        <v>52</v>
      </c>
      <c r="H451" s="2">
        <v>4762.3289999999997</v>
      </c>
      <c r="I451" s="2">
        <f t="shared" si="49"/>
        <v>2381.1644999999999</v>
      </c>
      <c r="J451" t="str">
        <f t="shared" si="50"/>
        <v>Low</v>
      </c>
      <c r="K451" s="1">
        <f t="shared" si="51"/>
        <v>0.253</v>
      </c>
      <c r="L451" t="str">
        <f t="shared" si="52"/>
        <v>Obese</v>
      </c>
      <c r="M451" t="str">
        <f t="shared" si="53"/>
        <v>Standard</v>
      </c>
      <c r="N451" t="str">
        <f t="shared" si="54"/>
        <v>Tier 3</v>
      </c>
      <c r="O451">
        <f t="shared" si="55"/>
        <v>2</v>
      </c>
    </row>
    <row r="452" spans="1:15" x14ac:dyDescent="0.2">
      <c r="A452">
        <v>39</v>
      </c>
      <c r="B452" t="str" cm="1">
        <f t="array" ref="B452">_xlfn.IFS(A452&lt;=25,"18-25", A452&lt;=35,"26-35", A452&lt;=45,"36-45", A452&lt;=55,"46-55", A452&lt;=64,"56-64")</f>
        <v>36-45</v>
      </c>
      <c r="C452" t="s">
        <v>10</v>
      </c>
      <c r="D452">
        <v>29.6</v>
      </c>
      <c r="E452">
        <v>4</v>
      </c>
      <c r="F452" t="s">
        <v>11</v>
      </c>
      <c r="G452" t="s">
        <v>52</v>
      </c>
      <c r="H452" s="2">
        <v>7512.2669999999998</v>
      </c>
      <c r="I452" s="2">
        <f t="shared" si="49"/>
        <v>1502.4533999999999</v>
      </c>
      <c r="J452" t="str">
        <f t="shared" si="50"/>
        <v>Low</v>
      </c>
      <c r="K452" s="1">
        <f t="shared" si="51"/>
        <v>0.40600000000000003</v>
      </c>
      <c r="L452" t="str">
        <f t="shared" si="52"/>
        <v>Overweight</v>
      </c>
      <c r="M452" t="str">
        <f t="shared" si="53"/>
        <v>Standard</v>
      </c>
      <c r="N452" t="str">
        <f t="shared" si="54"/>
        <v>Tier 3</v>
      </c>
      <c r="O452">
        <f t="shared" si="55"/>
        <v>1</v>
      </c>
    </row>
    <row r="453" spans="1:15" x14ac:dyDescent="0.2">
      <c r="A453">
        <v>30</v>
      </c>
      <c r="B453" t="str" cm="1">
        <f t="array" ref="B453">_xlfn.IFS(A453&lt;=25,"18-25", A453&lt;=35,"26-35", A453&lt;=45,"36-45", A453&lt;=55,"46-55", A453&lt;=64,"56-64")</f>
        <v>26-35</v>
      </c>
      <c r="C453" t="s">
        <v>10</v>
      </c>
      <c r="D453">
        <v>24.13</v>
      </c>
      <c r="E453">
        <v>1</v>
      </c>
      <c r="F453" t="s">
        <v>11</v>
      </c>
      <c r="G453" t="s">
        <v>54</v>
      </c>
      <c r="H453" s="2">
        <v>4032.2406999999998</v>
      </c>
      <c r="I453" s="2">
        <f t="shared" si="49"/>
        <v>2016.1203499999999</v>
      </c>
      <c r="J453" t="str">
        <f t="shared" si="50"/>
        <v>Low</v>
      </c>
      <c r="K453" s="1">
        <f t="shared" si="51"/>
        <v>0.20100000000000001</v>
      </c>
      <c r="L453" t="str">
        <f t="shared" si="52"/>
        <v>Normal</v>
      </c>
      <c r="M453" t="str">
        <f t="shared" si="53"/>
        <v>Standard</v>
      </c>
      <c r="N453" t="str">
        <f t="shared" si="54"/>
        <v>Tier 4</v>
      </c>
      <c r="O453">
        <f t="shared" si="55"/>
        <v>0</v>
      </c>
    </row>
    <row r="454" spans="1:15" x14ac:dyDescent="0.2">
      <c r="A454">
        <v>24</v>
      </c>
      <c r="B454" t="str" cm="1">
        <f t="array" ref="B454">_xlfn.IFS(A454&lt;=25,"18-25", A454&lt;=35,"26-35", A454&lt;=45,"36-45", A454&lt;=55,"46-55", A454&lt;=64,"56-64")</f>
        <v>18-25</v>
      </c>
      <c r="C454" t="s">
        <v>10</v>
      </c>
      <c r="D454">
        <v>23.4</v>
      </c>
      <c r="E454">
        <v>0</v>
      </c>
      <c r="F454" t="s">
        <v>11</v>
      </c>
      <c r="G454" t="s">
        <v>52</v>
      </c>
      <c r="H454" s="2">
        <v>1969.614</v>
      </c>
      <c r="I454" s="2">
        <f t="shared" si="49"/>
        <v>1969.614</v>
      </c>
      <c r="J454" t="str">
        <f t="shared" si="50"/>
        <v>Low</v>
      </c>
      <c r="K454" s="1">
        <f t="shared" si="51"/>
        <v>6.3E-2</v>
      </c>
      <c r="L454" t="str">
        <f t="shared" si="52"/>
        <v>Normal</v>
      </c>
      <c r="M454" t="str">
        <f t="shared" si="53"/>
        <v>Standard</v>
      </c>
      <c r="N454" t="str">
        <f t="shared" si="54"/>
        <v>Tier 3</v>
      </c>
      <c r="O454">
        <f t="shared" si="55"/>
        <v>0</v>
      </c>
    </row>
    <row r="455" spans="1:15" x14ac:dyDescent="0.2">
      <c r="A455">
        <v>20</v>
      </c>
      <c r="B455" t="str" cm="1">
        <f t="array" ref="B455">_xlfn.IFS(A455&lt;=25,"18-25", A455&lt;=35,"26-35", A455&lt;=45,"36-45", A455&lt;=55,"46-55", A455&lt;=64,"56-64")</f>
        <v>18-25</v>
      </c>
      <c r="C455" t="s">
        <v>10</v>
      </c>
      <c r="D455">
        <v>29.734999999999999</v>
      </c>
      <c r="E455">
        <v>0</v>
      </c>
      <c r="F455" t="s">
        <v>11</v>
      </c>
      <c r="G455" t="s">
        <v>54</v>
      </c>
      <c r="H455" s="2">
        <v>1769.5316499999999</v>
      </c>
      <c r="I455" s="2">
        <f t="shared" si="49"/>
        <v>1769.5316499999999</v>
      </c>
      <c r="J455" t="str">
        <f t="shared" si="50"/>
        <v>Low</v>
      </c>
      <c r="K455" s="1">
        <f t="shared" si="51"/>
        <v>0.05</v>
      </c>
      <c r="L455" t="str">
        <f t="shared" si="52"/>
        <v>Overweight</v>
      </c>
      <c r="M455" t="str">
        <f t="shared" si="53"/>
        <v>Standard</v>
      </c>
      <c r="N455" t="str">
        <f t="shared" si="54"/>
        <v>Tier 4</v>
      </c>
      <c r="O455">
        <f t="shared" si="55"/>
        <v>1</v>
      </c>
    </row>
    <row r="456" spans="1:15" x14ac:dyDescent="0.2">
      <c r="A456">
        <v>32</v>
      </c>
      <c r="B456" t="str" cm="1">
        <f t="array" ref="B456">_xlfn.IFS(A456&lt;=25,"18-25", A456&lt;=35,"26-35", A456&lt;=45,"36-45", A456&lt;=55,"46-55", A456&lt;=64,"56-64")</f>
        <v>26-35</v>
      </c>
      <c r="C456" t="s">
        <v>10</v>
      </c>
      <c r="D456">
        <v>46.53</v>
      </c>
      <c r="E456">
        <v>2</v>
      </c>
      <c r="F456" t="s">
        <v>11</v>
      </c>
      <c r="G456" t="s">
        <v>51</v>
      </c>
      <c r="H456" s="2">
        <v>4686.3887000000004</v>
      </c>
      <c r="I456" s="2">
        <f t="shared" si="49"/>
        <v>1562.1295666666667</v>
      </c>
      <c r="J456" t="str">
        <f t="shared" si="50"/>
        <v>Low</v>
      </c>
      <c r="K456" s="1">
        <f t="shared" si="51"/>
        <v>0.246</v>
      </c>
      <c r="L456" t="str">
        <f t="shared" si="52"/>
        <v>Obese</v>
      </c>
      <c r="M456" t="str">
        <f t="shared" si="53"/>
        <v>Standard</v>
      </c>
      <c r="N456" t="str">
        <f t="shared" si="54"/>
        <v>Tier 1</v>
      </c>
      <c r="O456">
        <f t="shared" si="55"/>
        <v>3</v>
      </c>
    </row>
    <row r="457" spans="1:15" x14ac:dyDescent="0.2">
      <c r="A457">
        <v>59</v>
      </c>
      <c r="B457" t="str" cm="1">
        <f t="array" ref="B457">_xlfn.IFS(A457&lt;=25,"18-25", A457&lt;=35,"26-35", A457&lt;=45,"36-45", A457&lt;=55,"46-55", A457&lt;=64,"56-64")</f>
        <v>56-64</v>
      </c>
      <c r="C457" t="s">
        <v>10</v>
      </c>
      <c r="D457">
        <v>37.4</v>
      </c>
      <c r="E457">
        <v>0</v>
      </c>
      <c r="F457" t="s">
        <v>11</v>
      </c>
      <c r="G457" t="s">
        <v>52</v>
      </c>
      <c r="H457" s="2">
        <v>21797.000400000001</v>
      </c>
      <c r="I457" s="2">
        <f t="shared" si="49"/>
        <v>21797.000400000001</v>
      </c>
      <c r="J457" t="str">
        <f t="shared" si="50"/>
        <v>High</v>
      </c>
      <c r="K457" s="1">
        <f t="shared" si="51"/>
        <v>0.81799999999999995</v>
      </c>
      <c r="L457" t="str">
        <f t="shared" si="52"/>
        <v>Obese</v>
      </c>
      <c r="M457" t="str">
        <f t="shared" si="53"/>
        <v>Standard</v>
      </c>
      <c r="N457" t="str">
        <f t="shared" si="54"/>
        <v>Tier 3</v>
      </c>
      <c r="O457">
        <f t="shared" si="55"/>
        <v>2</v>
      </c>
    </row>
    <row r="458" spans="1:15" x14ac:dyDescent="0.2">
      <c r="A458">
        <v>55</v>
      </c>
      <c r="B458" t="str" cm="1">
        <f t="array" ref="B458">_xlfn.IFS(A458&lt;=25,"18-25", A458&lt;=35,"26-35", A458&lt;=45,"36-45", A458&lt;=55,"46-55", A458&lt;=64,"56-64")</f>
        <v>46-55</v>
      </c>
      <c r="C458" t="s">
        <v>7</v>
      </c>
      <c r="D458">
        <v>30.14</v>
      </c>
      <c r="E458">
        <v>2</v>
      </c>
      <c r="F458" t="s">
        <v>11</v>
      </c>
      <c r="G458" t="s">
        <v>51</v>
      </c>
      <c r="H458" s="2">
        <v>11881.9696</v>
      </c>
      <c r="I458" s="2">
        <f t="shared" si="49"/>
        <v>3960.6565333333333</v>
      </c>
      <c r="J458" t="str">
        <f t="shared" si="50"/>
        <v>Low</v>
      </c>
      <c r="K458" s="1">
        <f t="shared" si="51"/>
        <v>0.626</v>
      </c>
      <c r="L458" t="str">
        <f t="shared" si="52"/>
        <v>Obese</v>
      </c>
      <c r="M458" t="str">
        <f t="shared" si="53"/>
        <v>Standard</v>
      </c>
      <c r="N458" t="str">
        <f t="shared" si="54"/>
        <v>Tier 1</v>
      </c>
      <c r="O458">
        <f t="shared" si="55"/>
        <v>3</v>
      </c>
    </row>
    <row r="459" spans="1:15" x14ac:dyDescent="0.2">
      <c r="A459">
        <v>57</v>
      </c>
      <c r="B459" t="str" cm="1">
        <f t="array" ref="B459">_xlfn.IFS(A459&lt;=25,"18-25", A459&lt;=35,"26-35", A459&lt;=45,"36-45", A459&lt;=55,"46-55", A459&lt;=64,"56-64")</f>
        <v>56-64</v>
      </c>
      <c r="C459" t="s">
        <v>7</v>
      </c>
      <c r="D459">
        <v>30.495000000000001</v>
      </c>
      <c r="E459">
        <v>0</v>
      </c>
      <c r="F459" t="s">
        <v>11</v>
      </c>
      <c r="G459" t="s">
        <v>54</v>
      </c>
      <c r="H459" s="2">
        <v>11840.77505</v>
      </c>
      <c r="I459" s="2">
        <f t="shared" si="49"/>
        <v>11840.77505</v>
      </c>
      <c r="J459" t="str">
        <f t="shared" si="50"/>
        <v>Low</v>
      </c>
      <c r="K459" s="1">
        <f t="shared" si="51"/>
        <v>0.621</v>
      </c>
      <c r="L459" t="str">
        <f t="shared" si="52"/>
        <v>Obese</v>
      </c>
      <c r="M459" t="str">
        <f t="shared" si="53"/>
        <v>Standard</v>
      </c>
      <c r="N459" t="str">
        <f t="shared" si="54"/>
        <v>Tier 4</v>
      </c>
      <c r="O459">
        <f t="shared" si="55"/>
        <v>2</v>
      </c>
    </row>
    <row r="460" spans="1:15" x14ac:dyDescent="0.2">
      <c r="A460">
        <v>56</v>
      </c>
      <c r="B460" t="str" cm="1">
        <f t="array" ref="B460">_xlfn.IFS(A460&lt;=25,"18-25", A460&lt;=35,"26-35", A460&lt;=45,"36-45", A460&lt;=55,"46-55", A460&lt;=64,"56-64")</f>
        <v>56-64</v>
      </c>
      <c r="C460" t="s">
        <v>10</v>
      </c>
      <c r="D460">
        <v>39.6</v>
      </c>
      <c r="E460">
        <v>0</v>
      </c>
      <c r="F460" t="s">
        <v>11</v>
      </c>
      <c r="G460" t="s">
        <v>52</v>
      </c>
      <c r="H460" s="2">
        <v>10601.412</v>
      </c>
      <c r="I460" s="2">
        <f t="shared" si="49"/>
        <v>10601.412</v>
      </c>
      <c r="J460" t="str">
        <f t="shared" si="50"/>
        <v>Low</v>
      </c>
      <c r="K460" s="1">
        <f t="shared" si="51"/>
        <v>0.55900000000000005</v>
      </c>
      <c r="L460" t="str">
        <f t="shared" si="52"/>
        <v>Obese</v>
      </c>
      <c r="M460" t="str">
        <f t="shared" si="53"/>
        <v>Standard</v>
      </c>
      <c r="N460" t="str">
        <f t="shared" si="54"/>
        <v>Tier 3</v>
      </c>
      <c r="O460">
        <f t="shared" si="55"/>
        <v>2</v>
      </c>
    </row>
    <row r="461" spans="1:15" x14ac:dyDescent="0.2">
      <c r="A461">
        <v>40</v>
      </c>
      <c r="B461" t="str" cm="1">
        <f t="array" ref="B461">_xlfn.IFS(A461&lt;=25,"18-25", A461&lt;=35,"26-35", A461&lt;=45,"36-45", A461&lt;=55,"46-55", A461&lt;=64,"56-64")</f>
        <v>36-45</v>
      </c>
      <c r="C461" t="s">
        <v>7</v>
      </c>
      <c r="D461">
        <v>33</v>
      </c>
      <c r="E461">
        <v>3</v>
      </c>
      <c r="F461" t="s">
        <v>11</v>
      </c>
      <c r="G461" t="s">
        <v>51</v>
      </c>
      <c r="H461" s="2">
        <v>7682.67</v>
      </c>
      <c r="I461" s="2">
        <f t="shared" si="49"/>
        <v>1920.6675</v>
      </c>
      <c r="J461" t="str">
        <f t="shared" si="50"/>
        <v>Low</v>
      </c>
      <c r="K461" s="1">
        <f t="shared" si="51"/>
        <v>0.41499999999999998</v>
      </c>
      <c r="L461" t="str">
        <f t="shared" si="52"/>
        <v>Obese</v>
      </c>
      <c r="M461" t="str">
        <f t="shared" si="53"/>
        <v>Standard</v>
      </c>
      <c r="N461" t="str">
        <f t="shared" si="54"/>
        <v>Tier 1</v>
      </c>
      <c r="O461">
        <f t="shared" si="55"/>
        <v>3</v>
      </c>
    </row>
    <row r="462" spans="1:15" x14ac:dyDescent="0.2">
      <c r="A462">
        <v>49</v>
      </c>
      <c r="B462" t="str" cm="1">
        <f t="array" ref="B462">_xlfn.IFS(A462&lt;=25,"18-25", A462&lt;=35,"26-35", A462&lt;=45,"36-45", A462&lt;=55,"46-55", A462&lt;=64,"56-64")</f>
        <v>46-55</v>
      </c>
      <c r="C462" t="s">
        <v>7</v>
      </c>
      <c r="D462">
        <v>36.630000000000003</v>
      </c>
      <c r="E462">
        <v>3</v>
      </c>
      <c r="F462" t="s">
        <v>11</v>
      </c>
      <c r="G462" t="s">
        <v>51</v>
      </c>
      <c r="H462" s="2">
        <v>10381.4787</v>
      </c>
      <c r="I462" s="2">
        <f t="shared" si="49"/>
        <v>2595.3696749999999</v>
      </c>
      <c r="J462" t="str">
        <f t="shared" si="50"/>
        <v>Low</v>
      </c>
      <c r="K462" s="1">
        <f t="shared" si="51"/>
        <v>0.54800000000000004</v>
      </c>
      <c r="L462" t="str">
        <f t="shared" si="52"/>
        <v>Obese</v>
      </c>
      <c r="M462" t="str">
        <f t="shared" si="53"/>
        <v>Standard</v>
      </c>
      <c r="N462" t="str">
        <f t="shared" si="54"/>
        <v>Tier 1</v>
      </c>
      <c r="O462">
        <f t="shared" si="55"/>
        <v>3</v>
      </c>
    </row>
    <row r="463" spans="1:15" x14ac:dyDescent="0.2">
      <c r="A463">
        <v>42</v>
      </c>
      <c r="B463" t="str" cm="1">
        <f t="array" ref="B463">_xlfn.IFS(A463&lt;=25,"18-25", A463&lt;=35,"26-35", A463&lt;=45,"36-45", A463&lt;=55,"46-55", A463&lt;=64,"56-64")</f>
        <v>36-45</v>
      </c>
      <c r="C463" t="s">
        <v>10</v>
      </c>
      <c r="D463">
        <v>30</v>
      </c>
      <c r="E463">
        <v>0</v>
      </c>
      <c r="F463" t="s">
        <v>8</v>
      </c>
      <c r="G463" t="s">
        <v>52</v>
      </c>
      <c r="H463" s="2">
        <v>22144.031999999999</v>
      </c>
      <c r="I463" s="2">
        <f t="shared" si="49"/>
        <v>22144.031999999999</v>
      </c>
      <c r="J463" t="str">
        <f t="shared" si="50"/>
        <v>High</v>
      </c>
      <c r="K463" s="1">
        <f t="shared" si="51"/>
        <v>0.82099999999999995</v>
      </c>
      <c r="L463" t="str">
        <f t="shared" si="52"/>
        <v>Obese</v>
      </c>
      <c r="M463" t="str">
        <f t="shared" si="53"/>
        <v>High Risk</v>
      </c>
      <c r="N463" t="str">
        <f t="shared" si="54"/>
        <v>Tier 3</v>
      </c>
      <c r="O463">
        <f t="shared" si="55"/>
        <v>5</v>
      </c>
    </row>
    <row r="464" spans="1:15" x14ac:dyDescent="0.2">
      <c r="A464">
        <v>62</v>
      </c>
      <c r="B464" t="str" cm="1">
        <f t="array" ref="B464">_xlfn.IFS(A464&lt;=25,"18-25", A464&lt;=35,"26-35", A464&lt;=45,"36-45", A464&lt;=55,"46-55", A464&lt;=64,"56-64")</f>
        <v>56-64</v>
      </c>
      <c r="C464" t="s">
        <v>7</v>
      </c>
      <c r="D464">
        <v>38.094999999999999</v>
      </c>
      <c r="E464">
        <v>2</v>
      </c>
      <c r="F464" t="s">
        <v>11</v>
      </c>
      <c r="G464" t="s">
        <v>53</v>
      </c>
      <c r="H464" s="2">
        <v>15230.324049999999</v>
      </c>
      <c r="I464" s="2">
        <f t="shared" si="49"/>
        <v>5076.7746833333331</v>
      </c>
      <c r="J464" t="str">
        <f t="shared" si="50"/>
        <v>High</v>
      </c>
      <c r="K464" s="1">
        <f t="shared" si="51"/>
        <v>0.73499999999999999</v>
      </c>
      <c r="L464" t="str">
        <f t="shared" si="52"/>
        <v>Obese</v>
      </c>
      <c r="M464" t="str">
        <f t="shared" si="53"/>
        <v>Standard</v>
      </c>
      <c r="N464" t="str">
        <f t="shared" si="54"/>
        <v>Tier 2</v>
      </c>
      <c r="O464">
        <f t="shared" si="55"/>
        <v>2</v>
      </c>
    </row>
    <row r="465" spans="1:15" x14ac:dyDescent="0.2">
      <c r="A465">
        <v>56</v>
      </c>
      <c r="B465" t="str" cm="1">
        <f t="array" ref="B465">_xlfn.IFS(A465&lt;=25,"18-25", A465&lt;=35,"26-35", A465&lt;=45,"36-45", A465&lt;=55,"46-55", A465&lt;=64,"56-64")</f>
        <v>56-64</v>
      </c>
      <c r="C465" t="s">
        <v>10</v>
      </c>
      <c r="D465">
        <v>25.934999999999999</v>
      </c>
      <c r="E465">
        <v>0</v>
      </c>
      <c r="F465" t="s">
        <v>11</v>
      </c>
      <c r="G465" t="s">
        <v>53</v>
      </c>
      <c r="H465" s="2">
        <v>11165.417649999999</v>
      </c>
      <c r="I465" s="2">
        <f t="shared" si="49"/>
        <v>11165.417649999999</v>
      </c>
      <c r="J465" t="str">
        <f t="shared" si="50"/>
        <v>Low</v>
      </c>
      <c r="K465" s="1">
        <f t="shared" si="51"/>
        <v>0.58499999999999996</v>
      </c>
      <c r="L465" t="str">
        <f t="shared" si="52"/>
        <v>Overweight</v>
      </c>
      <c r="M465" t="str">
        <f t="shared" si="53"/>
        <v>Standard</v>
      </c>
      <c r="N465" t="str">
        <f t="shared" si="54"/>
        <v>Tier 2</v>
      </c>
      <c r="O465">
        <f t="shared" si="55"/>
        <v>1</v>
      </c>
    </row>
    <row r="466" spans="1:15" x14ac:dyDescent="0.2">
      <c r="A466">
        <v>19</v>
      </c>
      <c r="B466" t="str" cm="1">
        <f t="array" ref="B466">_xlfn.IFS(A466&lt;=25,"18-25", A466&lt;=35,"26-35", A466&lt;=45,"36-45", A466&lt;=55,"46-55", A466&lt;=64,"56-64")</f>
        <v>18-25</v>
      </c>
      <c r="C466" t="s">
        <v>10</v>
      </c>
      <c r="D466">
        <v>25.175000000000001</v>
      </c>
      <c r="E466">
        <v>0</v>
      </c>
      <c r="F466" t="s">
        <v>11</v>
      </c>
      <c r="G466" t="s">
        <v>54</v>
      </c>
      <c r="H466" s="2">
        <v>1632.0362500000001</v>
      </c>
      <c r="I466" s="2">
        <f t="shared" si="49"/>
        <v>1632.0362500000001</v>
      </c>
      <c r="J466" t="str">
        <f t="shared" si="50"/>
        <v>Low</v>
      </c>
      <c r="K466" s="1">
        <f t="shared" si="51"/>
        <v>2.5999999999999999E-2</v>
      </c>
      <c r="L466" t="str">
        <f t="shared" si="52"/>
        <v>Overweight</v>
      </c>
      <c r="M466" t="str">
        <f t="shared" si="53"/>
        <v>Standard</v>
      </c>
      <c r="N466" t="str">
        <f t="shared" si="54"/>
        <v>Tier 4</v>
      </c>
      <c r="O466">
        <f t="shared" si="55"/>
        <v>1</v>
      </c>
    </row>
    <row r="467" spans="1:15" x14ac:dyDescent="0.2">
      <c r="A467">
        <v>30</v>
      </c>
      <c r="B467" t="str" cm="1">
        <f t="array" ref="B467">_xlfn.IFS(A467&lt;=25,"18-25", A467&lt;=35,"26-35", A467&lt;=45,"36-45", A467&lt;=55,"46-55", A467&lt;=64,"56-64")</f>
        <v>26-35</v>
      </c>
      <c r="C467" t="s">
        <v>7</v>
      </c>
      <c r="D467">
        <v>28.38</v>
      </c>
      <c r="E467">
        <v>1</v>
      </c>
      <c r="F467" t="s">
        <v>8</v>
      </c>
      <c r="G467" t="s">
        <v>51</v>
      </c>
      <c r="H467" s="2">
        <v>19521.968199999999</v>
      </c>
      <c r="I467" s="2">
        <f t="shared" si="49"/>
        <v>9760.9840999999997</v>
      </c>
      <c r="J467" t="str">
        <f t="shared" si="50"/>
        <v>High</v>
      </c>
      <c r="K467" s="1">
        <f t="shared" si="51"/>
        <v>0.78900000000000003</v>
      </c>
      <c r="L467" t="str">
        <f t="shared" si="52"/>
        <v>Overweight</v>
      </c>
      <c r="M467" t="str">
        <f t="shared" si="53"/>
        <v>High Risk</v>
      </c>
      <c r="N467" t="str">
        <f t="shared" si="54"/>
        <v>Tier 1</v>
      </c>
      <c r="O467">
        <f t="shared" si="55"/>
        <v>5</v>
      </c>
    </row>
    <row r="468" spans="1:15" x14ac:dyDescent="0.2">
      <c r="A468">
        <v>60</v>
      </c>
      <c r="B468" t="str" cm="1">
        <f t="array" ref="B468">_xlfn.IFS(A468&lt;=25,"18-25", A468&lt;=35,"26-35", A468&lt;=45,"36-45", A468&lt;=55,"46-55", A468&lt;=64,"56-64")</f>
        <v>56-64</v>
      </c>
      <c r="C468" t="s">
        <v>7</v>
      </c>
      <c r="D468">
        <v>28.7</v>
      </c>
      <c r="E468">
        <v>1</v>
      </c>
      <c r="F468" t="s">
        <v>11</v>
      </c>
      <c r="G468" t="s">
        <v>52</v>
      </c>
      <c r="H468" s="2">
        <v>13224.692999999999</v>
      </c>
      <c r="I468" s="2">
        <f t="shared" si="49"/>
        <v>6612.3464999999997</v>
      </c>
      <c r="J468" t="str">
        <f t="shared" si="50"/>
        <v>Low</v>
      </c>
      <c r="K468" s="1">
        <f t="shared" si="51"/>
        <v>0.68500000000000005</v>
      </c>
      <c r="L468" t="str">
        <f t="shared" si="52"/>
        <v>Overweight</v>
      </c>
      <c r="M468" t="str">
        <f t="shared" si="53"/>
        <v>Standard</v>
      </c>
      <c r="N468" t="str">
        <f t="shared" si="54"/>
        <v>Tier 3</v>
      </c>
      <c r="O468">
        <f t="shared" si="55"/>
        <v>1</v>
      </c>
    </row>
    <row r="469" spans="1:15" x14ac:dyDescent="0.2">
      <c r="A469">
        <v>56</v>
      </c>
      <c r="B469" t="str" cm="1">
        <f t="array" ref="B469">_xlfn.IFS(A469&lt;=25,"18-25", A469&lt;=35,"26-35", A469&lt;=45,"36-45", A469&lt;=55,"46-55", A469&lt;=64,"56-64")</f>
        <v>56-64</v>
      </c>
      <c r="C469" t="s">
        <v>7</v>
      </c>
      <c r="D469">
        <v>33.82</v>
      </c>
      <c r="E469">
        <v>2</v>
      </c>
      <c r="F469" t="s">
        <v>11</v>
      </c>
      <c r="G469" t="s">
        <v>54</v>
      </c>
      <c r="H469" s="2">
        <v>12643.3778</v>
      </c>
      <c r="I469" s="2">
        <f t="shared" si="49"/>
        <v>4214.4592666666667</v>
      </c>
      <c r="J469" t="str">
        <f t="shared" si="50"/>
        <v>Low</v>
      </c>
      <c r="K469" s="1">
        <f t="shared" si="51"/>
        <v>0.66100000000000003</v>
      </c>
      <c r="L469" t="str">
        <f t="shared" si="52"/>
        <v>Obese</v>
      </c>
      <c r="M469" t="str">
        <f t="shared" si="53"/>
        <v>Standard</v>
      </c>
      <c r="N469" t="str">
        <f t="shared" si="54"/>
        <v>Tier 4</v>
      </c>
      <c r="O469">
        <f t="shared" si="55"/>
        <v>2</v>
      </c>
    </row>
    <row r="470" spans="1:15" x14ac:dyDescent="0.2">
      <c r="A470">
        <v>28</v>
      </c>
      <c r="B470" t="str" cm="1">
        <f t="array" ref="B470">_xlfn.IFS(A470&lt;=25,"18-25", A470&lt;=35,"26-35", A470&lt;=45,"36-45", A470&lt;=55,"46-55", A470&lt;=64,"56-64")</f>
        <v>26-35</v>
      </c>
      <c r="C470" t="s">
        <v>7</v>
      </c>
      <c r="D470">
        <v>24.32</v>
      </c>
      <c r="E470">
        <v>1</v>
      </c>
      <c r="F470" t="s">
        <v>11</v>
      </c>
      <c r="G470" t="s">
        <v>53</v>
      </c>
      <c r="H470" s="2">
        <v>23288.928400000001</v>
      </c>
      <c r="I470" s="2">
        <f t="shared" si="49"/>
        <v>11644.4642</v>
      </c>
      <c r="J470" t="str">
        <f t="shared" si="50"/>
        <v>High</v>
      </c>
      <c r="K470" s="1">
        <f t="shared" si="51"/>
        <v>0.83199999999999996</v>
      </c>
      <c r="L470" t="str">
        <f t="shared" si="52"/>
        <v>Normal</v>
      </c>
      <c r="M470" t="str">
        <f t="shared" si="53"/>
        <v>Standard</v>
      </c>
      <c r="N470" t="str">
        <f t="shared" si="54"/>
        <v>Tier 2</v>
      </c>
      <c r="O470">
        <f t="shared" si="55"/>
        <v>0</v>
      </c>
    </row>
    <row r="471" spans="1:15" x14ac:dyDescent="0.2">
      <c r="A471">
        <v>18</v>
      </c>
      <c r="B471" t="str" cm="1">
        <f t="array" ref="B471">_xlfn.IFS(A471&lt;=25,"18-25", A471&lt;=35,"26-35", A471&lt;=45,"36-45", A471&lt;=55,"46-55", A471&lt;=64,"56-64")</f>
        <v>18-25</v>
      </c>
      <c r="C471" t="s">
        <v>7</v>
      </c>
      <c r="D471">
        <v>24.09</v>
      </c>
      <c r="E471">
        <v>1</v>
      </c>
      <c r="F471" t="s">
        <v>11</v>
      </c>
      <c r="G471" t="s">
        <v>51</v>
      </c>
      <c r="H471" s="2">
        <v>2201.0971</v>
      </c>
      <c r="I471" s="2">
        <f t="shared" si="49"/>
        <v>1100.54855</v>
      </c>
      <c r="J471" t="str">
        <f t="shared" si="50"/>
        <v>Low</v>
      </c>
      <c r="K471" s="1">
        <f t="shared" si="51"/>
        <v>8.5999999999999993E-2</v>
      </c>
      <c r="L471" t="str">
        <f t="shared" si="52"/>
        <v>Normal</v>
      </c>
      <c r="M471" t="str">
        <f t="shared" si="53"/>
        <v>Standard</v>
      </c>
      <c r="N471" t="str">
        <f t="shared" si="54"/>
        <v>Tier 1</v>
      </c>
      <c r="O471">
        <f t="shared" si="55"/>
        <v>1</v>
      </c>
    </row>
    <row r="472" spans="1:15" x14ac:dyDescent="0.2">
      <c r="A472">
        <v>27</v>
      </c>
      <c r="B472" t="str" cm="1">
        <f t="array" ref="B472">_xlfn.IFS(A472&lt;=25,"18-25", A472&lt;=35,"26-35", A472&lt;=45,"36-45", A472&lt;=55,"46-55", A472&lt;=64,"56-64")</f>
        <v>26-35</v>
      </c>
      <c r="C472" t="s">
        <v>10</v>
      </c>
      <c r="D472">
        <v>32.67</v>
      </c>
      <c r="E472">
        <v>0</v>
      </c>
      <c r="F472" t="s">
        <v>11</v>
      </c>
      <c r="G472" t="s">
        <v>51</v>
      </c>
      <c r="H472" s="2">
        <v>2497.0383000000002</v>
      </c>
      <c r="I472" s="2">
        <f t="shared" si="49"/>
        <v>2497.0383000000002</v>
      </c>
      <c r="J472" t="str">
        <f t="shared" si="50"/>
        <v>Low</v>
      </c>
      <c r="K472" s="1">
        <f t="shared" si="51"/>
        <v>0.111</v>
      </c>
      <c r="L472" t="str">
        <f t="shared" si="52"/>
        <v>Obese</v>
      </c>
      <c r="M472" t="str">
        <f t="shared" si="53"/>
        <v>Standard</v>
      </c>
      <c r="N472" t="str">
        <f t="shared" si="54"/>
        <v>Tier 1</v>
      </c>
      <c r="O472">
        <f t="shared" si="55"/>
        <v>3</v>
      </c>
    </row>
    <row r="473" spans="1:15" x14ac:dyDescent="0.2">
      <c r="A473">
        <v>18</v>
      </c>
      <c r="B473" t="str" cm="1">
        <f t="array" ref="B473">_xlfn.IFS(A473&lt;=25,"18-25", A473&lt;=35,"26-35", A473&lt;=45,"36-45", A473&lt;=55,"46-55", A473&lt;=64,"56-64")</f>
        <v>18-25</v>
      </c>
      <c r="C473" t="s">
        <v>7</v>
      </c>
      <c r="D473">
        <v>30.114999999999998</v>
      </c>
      <c r="E473">
        <v>0</v>
      </c>
      <c r="F473" t="s">
        <v>11</v>
      </c>
      <c r="G473" t="s">
        <v>53</v>
      </c>
      <c r="H473" s="2">
        <v>2203.4718499999999</v>
      </c>
      <c r="I473" s="2">
        <f t="shared" si="49"/>
        <v>2203.4718499999999</v>
      </c>
      <c r="J473" t="str">
        <f t="shared" si="50"/>
        <v>Low</v>
      </c>
      <c r="K473" s="1">
        <f t="shared" si="51"/>
        <v>8.6999999999999994E-2</v>
      </c>
      <c r="L473" t="str">
        <f t="shared" si="52"/>
        <v>Obese</v>
      </c>
      <c r="M473" t="str">
        <f t="shared" si="53"/>
        <v>Standard</v>
      </c>
      <c r="N473" t="str">
        <f t="shared" si="54"/>
        <v>Tier 2</v>
      </c>
      <c r="O473">
        <f t="shared" si="55"/>
        <v>2</v>
      </c>
    </row>
    <row r="474" spans="1:15" x14ac:dyDescent="0.2">
      <c r="A474">
        <v>19</v>
      </c>
      <c r="B474" t="str" cm="1">
        <f t="array" ref="B474">_xlfn.IFS(A474&lt;=25,"18-25", A474&lt;=35,"26-35", A474&lt;=45,"36-45", A474&lt;=55,"46-55", A474&lt;=64,"56-64")</f>
        <v>18-25</v>
      </c>
      <c r="C474" t="s">
        <v>7</v>
      </c>
      <c r="D474">
        <v>29.8</v>
      </c>
      <c r="E474">
        <v>0</v>
      </c>
      <c r="F474" t="s">
        <v>11</v>
      </c>
      <c r="G474" t="s">
        <v>52</v>
      </c>
      <c r="H474" s="2">
        <v>1744.4649999999999</v>
      </c>
      <c r="I474" s="2">
        <f t="shared" si="49"/>
        <v>1744.4649999999999</v>
      </c>
      <c r="J474" t="str">
        <f t="shared" si="50"/>
        <v>Low</v>
      </c>
      <c r="K474" s="1">
        <f t="shared" si="51"/>
        <v>4.8000000000000001E-2</v>
      </c>
      <c r="L474" t="str">
        <f t="shared" si="52"/>
        <v>Overweight</v>
      </c>
      <c r="M474" t="str">
        <f t="shared" si="53"/>
        <v>Standard</v>
      </c>
      <c r="N474" t="str">
        <f t="shared" si="54"/>
        <v>Tier 3</v>
      </c>
      <c r="O474">
        <f t="shared" si="55"/>
        <v>1</v>
      </c>
    </row>
    <row r="475" spans="1:15" x14ac:dyDescent="0.2">
      <c r="A475">
        <v>47</v>
      </c>
      <c r="B475" t="str" cm="1">
        <f t="array" ref="B475">_xlfn.IFS(A475&lt;=25,"18-25", A475&lt;=35,"26-35", A475&lt;=45,"36-45", A475&lt;=55,"46-55", A475&lt;=64,"56-64")</f>
        <v>46-55</v>
      </c>
      <c r="C475" t="s">
        <v>7</v>
      </c>
      <c r="D475">
        <v>33.344999999999999</v>
      </c>
      <c r="E475">
        <v>0</v>
      </c>
      <c r="F475" t="s">
        <v>11</v>
      </c>
      <c r="G475" t="s">
        <v>53</v>
      </c>
      <c r="H475" s="2">
        <v>20878.78443</v>
      </c>
      <c r="I475" s="2">
        <f t="shared" si="49"/>
        <v>20878.78443</v>
      </c>
      <c r="J475" t="str">
        <f t="shared" si="50"/>
        <v>High</v>
      </c>
      <c r="K475" s="1">
        <f t="shared" si="51"/>
        <v>0.80700000000000005</v>
      </c>
      <c r="L475" t="str">
        <f t="shared" si="52"/>
        <v>Obese</v>
      </c>
      <c r="M475" t="str">
        <f t="shared" si="53"/>
        <v>Standard</v>
      </c>
      <c r="N475" t="str">
        <f t="shared" si="54"/>
        <v>Tier 2</v>
      </c>
      <c r="O475">
        <f t="shared" si="55"/>
        <v>2</v>
      </c>
    </row>
    <row r="476" spans="1:15" x14ac:dyDescent="0.2">
      <c r="A476">
        <v>54</v>
      </c>
      <c r="B476" t="str" cm="1">
        <f t="array" ref="B476">_xlfn.IFS(A476&lt;=25,"18-25", A476&lt;=35,"26-35", A476&lt;=45,"36-45", A476&lt;=55,"46-55", A476&lt;=64,"56-64")</f>
        <v>46-55</v>
      </c>
      <c r="C476" t="s">
        <v>10</v>
      </c>
      <c r="D476">
        <v>25.1</v>
      </c>
      <c r="E476">
        <v>3</v>
      </c>
      <c r="F476" t="s">
        <v>8</v>
      </c>
      <c r="G476" t="s">
        <v>52</v>
      </c>
      <c r="H476" s="2">
        <v>25382.296999999999</v>
      </c>
      <c r="I476" s="2">
        <f t="shared" si="49"/>
        <v>6345.5742499999997</v>
      </c>
      <c r="J476" t="str">
        <f t="shared" si="50"/>
        <v>High</v>
      </c>
      <c r="K476" s="1">
        <f t="shared" si="51"/>
        <v>0.85199999999999998</v>
      </c>
      <c r="L476" t="str">
        <f t="shared" si="52"/>
        <v>Overweight</v>
      </c>
      <c r="M476" t="str">
        <f t="shared" si="53"/>
        <v>High Risk</v>
      </c>
      <c r="N476" t="str">
        <f t="shared" si="54"/>
        <v>Tier 3</v>
      </c>
      <c r="O476">
        <f t="shared" si="55"/>
        <v>4</v>
      </c>
    </row>
    <row r="477" spans="1:15" x14ac:dyDescent="0.2">
      <c r="A477">
        <v>61</v>
      </c>
      <c r="B477" t="str" cm="1">
        <f t="array" ref="B477">_xlfn.IFS(A477&lt;=25,"18-25", A477&lt;=35,"26-35", A477&lt;=45,"36-45", A477&lt;=55,"46-55", A477&lt;=64,"56-64")</f>
        <v>56-64</v>
      </c>
      <c r="C477" t="s">
        <v>10</v>
      </c>
      <c r="D477">
        <v>28.31</v>
      </c>
      <c r="E477">
        <v>1</v>
      </c>
      <c r="F477" t="s">
        <v>8</v>
      </c>
      <c r="G477" t="s">
        <v>54</v>
      </c>
      <c r="H477" s="2">
        <v>28868.6639</v>
      </c>
      <c r="I477" s="2">
        <f t="shared" si="49"/>
        <v>14434.33195</v>
      </c>
      <c r="J477" t="str">
        <f t="shared" si="50"/>
        <v>High</v>
      </c>
      <c r="K477" s="1">
        <f t="shared" si="51"/>
        <v>0.874</v>
      </c>
      <c r="L477" t="str">
        <f t="shared" si="52"/>
        <v>Overweight</v>
      </c>
      <c r="M477" t="str">
        <f t="shared" si="53"/>
        <v>High Risk</v>
      </c>
      <c r="N477" t="str">
        <f t="shared" si="54"/>
        <v>Tier 4</v>
      </c>
      <c r="O477">
        <f t="shared" si="55"/>
        <v>4</v>
      </c>
    </row>
    <row r="478" spans="1:15" x14ac:dyDescent="0.2">
      <c r="A478">
        <v>24</v>
      </c>
      <c r="B478" t="str" cm="1">
        <f t="array" ref="B478">_xlfn.IFS(A478&lt;=25,"18-25", A478&lt;=35,"26-35", A478&lt;=45,"36-45", A478&lt;=55,"46-55", A478&lt;=64,"56-64")</f>
        <v>18-25</v>
      </c>
      <c r="C478" t="s">
        <v>10</v>
      </c>
      <c r="D478">
        <v>28.5</v>
      </c>
      <c r="E478">
        <v>0</v>
      </c>
      <c r="F478" t="s">
        <v>8</v>
      </c>
      <c r="G478" t="s">
        <v>53</v>
      </c>
      <c r="H478" s="2">
        <v>35147.528480000001</v>
      </c>
      <c r="I478" s="2">
        <f t="shared" si="49"/>
        <v>35147.528480000001</v>
      </c>
      <c r="J478" t="str">
        <f t="shared" si="50"/>
        <v>High</v>
      </c>
      <c r="K478" s="1">
        <f t="shared" si="51"/>
        <v>0.90200000000000002</v>
      </c>
      <c r="L478" t="str">
        <f t="shared" si="52"/>
        <v>Overweight</v>
      </c>
      <c r="M478" t="str">
        <f t="shared" si="53"/>
        <v>High Risk</v>
      </c>
      <c r="N478" t="str">
        <f t="shared" si="54"/>
        <v>Tier 2</v>
      </c>
      <c r="O478">
        <f t="shared" si="55"/>
        <v>4</v>
      </c>
    </row>
    <row r="479" spans="1:15" x14ac:dyDescent="0.2">
      <c r="A479">
        <v>25</v>
      </c>
      <c r="B479" t="str" cm="1">
        <f t="array" ref="B479">_xlfn.IFS(A479&lt;=25,"18-25", A479&lt;=35,"26-35", A479&lt;=45,"36-45", A479&lt;=55,"46-55", A479&lt;=64,"56-64")</f>
        <v>18-25</v>
      </c>
      <c r="C479" t="s">
        <v>10</v>
      </c>
      <c r="D479">
        <v>35.625</v>
      </c>
      <c r="E479">
        <v>0</v>
      </c>
      <c r="F479" t="s">
        <v>11</v>
      </c>
      <c r="G479" t="s">
        <v>54</v>
      </c>
      <c r="H479" s="2">
        <v>2534.3937500000002</v>
      </c>
      <c r="I479" s="2">
        <f t="shared" si="49"/>
        <v>2534.3937500000002</v>
      </c>
      <c r="J479" t="str">
        <f t="shared" si="50"/>
        <v>Low</v>
      </c>
      <c r="K479" s="1">
        <f t="shared" si="51"/>
        <v>0.114</v>
      </c>
      <c r="L479" t="str">
        <f t="shared" si="52"/>
        <v>Obese</v>
      </c>
      <c r="M479" t="str">
        <f t="shared" si="53"/>
        <v>Standard</v>
      </c>
      <c r="N479" t="str">
        <f t="shared" si="54"/>
        <v>Tier 4</v>
      </c>
      <c r="O479">
        <f t="shared" si="55"/>
        <v>2</v>
      </c>
    </row>
    <row r="480" spans="1:15" x14ac:dyDescent="0.2">
      <c r="A480">
        <v>21</v>
      </c>
      <c r="B480" t="str" cm="1">
        <f t="array" ref="B480">_xlfn.IFS(A480&lt;=25,"18-25", A480&lt;=35,"26-35", A480&lt;=45,"36-45", A480&lt;=55,"46-55", A480&lt;=64,"56-64")</f>
        <v>18-25</v>
      </c>
      <c r="C480" t="s">
        <v>10</v>
      </c>
      <c r="D480">
        <v>36.85</v>
      </c>
      <c r="E480">
        <v>0</v>
      </c>
      <c r="F480" t="s">
        <v>11</v>
      </c>
      <c r="G480" t="s">
        <v>51</v>
      </c>
      <c r="H480" s="2">
        <v>1534.3045</v>
      </c>
      <c r="I480" s="2">
        <f t="shared" si="49"/>
        <v>1534.3045</v>
      </c>
      <c r="J480" t="str">
        <f t="shared" si="50"/>
        <v>Low</v>
      </c>
      <c r="K480" s="1">
        <f t="shared" si="51"/>
        <v>1.7000000000000001E-2</v>
      </c>
      <c r="L480" t="str">
        <f t="shared" si="52"/>
        <v>Obese</v>
      </c>
      <c r="M480" t="str">
        <f t="shared" si="53"/>
        <v>Standard</v>
      </c>
      <c r="N480" t="str">
        <f t="shared" si="54"/>
        <v>Tier 1</v>
      </c>
      <c r="O480">
        <f t="shared" si="55"/>
        <v>3</v>
      </c>
    </row>
    <row r="481" spans="1:15" x14ac:dyDescent="0.2">
      <c r="A481">
        <v>23</v>
      </c>
      <c r="B481" t="str" cm="1">
        <f t="array" ref="B481">_xlfn.IFS(A481&lt;=25,"18-25", A481&lt;=35,"26-35", A481&lt;=45,"36-45", A481&lt;=55,"46-55", A481&lt;=64,"56-64")</f>
        <v>18-25</v>
      </c>
      <c r="C481" t="s">
        <v>10</v>
      </c>
      <c r="D481">
        <v>32.56</v>
      </c>
      <c r="E481">
        <v>0</v>
      </c>
      <c r="F481" t="s">
        <v>11</v>
      </c>
      <c r="G481" t="s">
        <v>51</v>
      </c>
      <c r="H481" s="2">
        <v>1824.2854</v>
      </c>
      <c r="I481" s="2">
        <f t="shared" si="49"/>
        <v>1824.2854</v>
      </c>
      <c r="J481" t="str">
        <f t="shared" si="50"/>
        <v>Low</v>
      </c>
      <c r="K481" s="1">
        <f t="shared" si="51"/>
        <v>5.1999999999999998E-2</v>
      </c>
      <c r="L481" t="str">
        <f t="shared" si="52"/>
        <v>Obese</v>
      </c>
      <c r="M481" t="str">
        <f t="shared" si="53"/>
        <v>Standard</v>
      </c>
      <c r="N481" t="str">
        <f t="shared" si="54"/>
        <v>Tier 1</v>
      </c>
      <c r="O481">
        <f t="shared" si="55"/>
        <v>3</v>
      </c>
    </row>
    <row r="482" spans="1:15" x14ac:dyDescent="0.2">
      <c r="A482">
        <v>63</v>
      </c>
      <c r="B482" t="str" cm="1">
        <f t="array" ref="B482">_xlfn.IFS(A482&lt;=25,"18-25", A482&lt;=35,"26-35", A482&lt;=45,"36-45", A482&lt;=55,"46-55", A482&lt;=64,"56-64")</f>
        <v>56-64</v>
      </c>
      <c r="C482" t="s">
        <v>10</v>
      </c>
      <c r="D482">
        <v>41.325000000000003</v>
      </c>
      <c r="E482">
        <v>3</v>
      </c>
      <c r="F482" t="s">
        <v>11</v>
      </c>
      <c r="G482" t="s">
        <v>54</v>
      </c>
      <c r="H482" s="2">
        <v>15555.188749999999</v>
      </c>
      <c r="I482" s="2">
        <f t="shared" si="49"/>
        <v>3888.7971874999998</v>
      </c>
      <c r="J482" t="str">
        <f t="shared" si="50"/>
        <v>High</v>
      </c>
      <c r="K482" s="1">
        <f t="shared" si="51"/>
        <v>0.73799999999999999</v>
      </c>
      <c r="L482" t="str">
        <f t="shared" si="52"/>
        <v>Obese</v>
      </c>
      <c r="M482" t="str">
        <f t="shared" si="53"/>
        <v>Standard</v>
      </c>
      <c r="N482" t="str">
        <f t="shared" si="54"/>
        <v>Tier 4</v>
      </c>
      <c r="O482">
        <f t="shared" si="55"/>
        <v>2</v>
      </c>
    </row>
    <row r="483" spans="1:15" x14ac:dyDescent="0.2">
      <c r="A483">
        <v>49</v>
      </c>
      <c r="B483" t="str" cm="1">
        <f t="array" ref="B483">_xlfn.IFS(A483&lt;=25,"18-25", A483&lt;=35,"26-35", A483&lt;=45,"36-45", A483&lt;=55,"46-55", A483&lt;=64,"56-64")</f>
        <v>46-55</v>
      </c>
      <c r="C483" t="s">
        <v>10</v>
      </c>
      <c r="D483">
        <v>37.51</v>
      </c>
      <c r="E483">
        <v>2</v>
      </c>
      <c r="F483" t="s">
        <v>11</v>
      </c>
      <c r="G483" t="s">
        <v>51</v>
      </c>
      <c r="H483" s="2">
        <v>9304.7019</v>
      </c>
      <c r="I483" s="2">
        <f t="shared" si="49"/>
        <v>3101.5673000000002</v>
      </c>
      <c r="J483" t="str">
        <f t="shared" si="50"/>
        <v>Low</v>
      </c>
      <c r="K483" s="1">
        <f t="shared" si="51"/>
        <v>0.498</v>
      </c>
      <c r="L483" t="str">
        <f t="shared" si="52"/>
        <v>Obese</v>
      </c>
      <c r="M483" t="str">
        <f t="shared" si="53"/>
        <v>Standard</v>
      </c>
      <c r="N483" t="str">
        <f t="shared" si="54"/>
        <v>Tier 1</v>
      </c>
      <c r="O483">
        <f t="shared" si="55"/>
        <v>3</v>
      </c>
    </row>
    <row r="484" spans="1:15" x14ac:dyDescent="0.2">
      <c r="A484">
        <v>18</v>
      </c>
      <c r="B484" t="str" cm="1">
        <f t="array" ref="B484">_xlfn.IFS(A484&lt;=25,"18-25", A484&lt;=35,"26-35", A484&lt;=45,"36-45", A484&lt;=55,"46-55", A484&lt;=64,"56-64")</f>
        <v>18-25</v>
      </c>
      <c r="C484" t="s">
        <v>7</v>
      </c>
      <c r="D484">
        <v>31.35</v>
      </c>
      <c r="E484">
        <v>0</v>
      </c>
      <c r="F484" t="s">
        <v>11</v>
      </c>
      <c r="G484" t="s">
        <v>51</v>
      </c>
      <c r="H484" s="2">
        <v>1622.1885</v>
      </c>
      <c r="I484" s="2">
        <f t="shared" si="49"/>
        <v>1622.1885</v>
      </c>
      <c r="J484" t="str">
        <f t="shared" si="50"/>
        <v>Low</v>
      </c>
      <c r="K484" s="1">
        <f t="shared" si="51"/>
        <v>0.02</v>
      </c>
      <c r="L484" t="str">
        <f t="shared" si="52"/>
        <v>Obese</v>
      </c>
      <c r="M484" t="str">
        <f t="shared" si="53"/>
        <v>Standard</v>
      </c>
      <c r="N484" t="str">
        <f t="shared" si="54"/>
        <v>Tier 1</v>
      </c>
      <c r="O484">
        <f t="shared" si="55"/>
        <v>3</v>
      </c>
    </row>
    <row r="485" spans="1:15" x14ac:dyDescent="0.2">
      <c r="A485">
        <v>51</v>
      </c>
      <c r="B485" t="str" cm="1">
        <f t="array" ref="B485">_xlfn.IFS(A485&lt;=25,"18-25", A485&lt;=35,"26-35", A485&lt;=45,"36-45", A485&lt;=55,"46-55", A485&lt;=64,"56-64")</f>
        <v>46-55</v>
      </c>
      <c r="C485" t="s">
        <v>7</v>
      </c>
      <c r="D485">
        <v>39.5</v>
      </c>
      <c r="E485">
        <v>1</v>
      </c>
      <c r="F485" t="s">
        <v>11</v>
      </c>
      <c r="G485" t="s">
        <v>52</v>
      </c>
      <c r="H485" s="2">
        <v>9880.0679999999993</v>
      </c>
      <c r="I485" s="2">
        <f t="shared" si="49"/>
        <v>4940.0339999999997</v>
      </c>
      <c r="J485" t="str">
        <f t="shared" si="50"/>
        <v>Low</v>
      </c>
      <c r="K485" s="1">
        <f t="shared" si="51"/>
        <v>0.52800000000000002</v>
      </c>
      <c r="L485" t="str">
        <f t="shared" si="52"/>
        <v>Obese</v>
      </c>
      <c r="M485" t="str">
        <f t="shared" si="53"/>
        <v>Standard</v>
      </c>
      <c r="N485" t="str">
        <f t="shared" si="54"/>
        <v>Tier 3</v>
      </c>
      <c r="O485">
        <f t="shared" si="55"/>
        <v>2</v>
      </c>
    </row>
    <row r="486" spans="1:15" x14ac:dyDescent="0.2">
      <c r="A486">
        <v>48</v>
      </c>
      <c r="B486" t="str" cm="1">
        <f t="array" ref="B486">_xlfn.IFS(A486&lt;=25,"18-25", A486&lt;=35,"26-35", A486&lt;=45,"36-45", A486&lt;=55,"46-55", A486&lt;=64,"56-64")</f>
        <v>46-55</v>
      </c>
      <c r="C486" t="s">
        <v>10</v>
      </c>
      <c r="D486">
        <v>34.299999999999997</v>
      </c>
      <c r="E486">
        <v>3</v>
      </c>
      <c r="F486" t="s">
        <v>11</v>
      </c>
      <c r="G486" t="s">
        <v>52</v>
      </c>
      <c r="H486" s="2">
        <v>9563.0290000000005</v>
      </c>
      <c r="I486" s="2">
        <f t="shared" si="49"/>
        <v>2390.7572500000001</v>
      </c>
      <c r="J486" t="str">
        <f t="shared" si="50"/>
        <v>Low</v>
      </c>
      <c r="K486" s="1">
        <f t="shared" si="51"/>
        <v>0.50900000000000001</v>
      </c>
      <c r="L486" t="str">
        <f t="shared" si="52"/>
        <v>Obese</v>
      </c>
      <c r="M486" t="str">
        <f t="shared" si="53"/>
        <v>Standard</v>
      </c>
      <c r="N486" t="str">
        <f t="shared" si="54"/>
        <v>Tier 3</v>
      </c>
      <c r="O486">
        <f t="shared" si="55"/>
        <v>2</v>
      </c>
    </row>
    <row r="487" spans="1:15" x14ac:dyDescent="0.2">
      <c r="A487">
        <v>31</v>
      </c>
      <c r="B487" t="str" cm="1">
        <f t="array" ref="B487">_xlfn.IFS(A487&lt;=25,"18-25", A487&lt;=35,"26-35", A487&lt;=45,"36-45", A487&lt;=55,"46-55", A487&lt;=64,"56-64")</f>
        <v>26-35</v>
      </c>
      <c r="C487" t="s">
        <v>7</v>
      </c>
      <c r="D487">
        <v>31.065000000000001</v>
      </c>
      <c r="E487">
        <v>0</v>
      </c>
      <c r="F487" t="s">
        <v>11</v>
      </c>
      <c r="G487" t="s">
        <v>53</v>
      </c>
      <c r="H487" s="2">
        <v>4347.0233500000004</v>
      </c>
      <c r="I487" s="2">
        <f t="shared" si="49"/>
        <v>4347.0233500000004</v>
      </c>
      <c r="J487" t="str">
        <f t="shared" si="50"/>
        <v>Low</v>
      </c>
      <c r="K487" s="1">
        <f t="shared" si="51"/>
        <v>0.219</v>
      </c>
      <c r="L487" t="str">
        <f t="shared" si="52"/>
        <v>Obese</v>
      </c>
      <c r="M487" t="str">
        <f t="shared" si="53"/>
        <v>Standard</v>
      </c>
      <c r="N487" t="str">
        <f t="shared" si="54"/>
        <v>Tier 2</v>
      </c>
      <c r="O487">
        <f t="shared" si="55"/>
        <v>2</v>
      </c>
    </row>
    <row r="488" spans="1:15" x14ac:dyDescent="0.2">
      <c r="A488">
        <v>54</v>
      </c>
      <c r="B488" t="str" cm="1">
        <f t="array" ref="B488">_xlfn.IFS(A488&lt;=25,"18-25", A488&lt;=35,"26-35", A488&lt;=45,"36-45", A488&lt;=55,"46-55", A488&lt;=64,"56-64")</f>
        <v>46-55</v>
      </c>
      <c r="C488" t="s">
        <v>7</v>
      </c>
      <c r="D488">
        <v>21.47</v>
      </c>
      <c r="E488">
        <v>3</v>
      </c>
      <c r="F488" t="s">
        <v>11</v>
      </c>
      <c r="G488" t="s">
        <v>54</v>
      </c>
      <c r="H488" s="2">
        <v>12475.3513</v>
      </c>
      <c r="I488" s="2">
        <f t="shared" si="49"/>
        <v>3118.8378250000001</v>
      </c>
      <c r="J488" t="str">
        <f t="shared" si="50"/>
        <v>Low</v>
      </c>
      <c r="K488" s="1">
        <f t="shared" si="51"/>
        <v>0.65100000000000002</v>
      </c>
      <c r="L488" t="str">
        <f t="shared" si="52"/>
        <v>Normal</v>
      </c>
      <c r="M488" t="str">
        <f t="shared" si="53"/>
        <v>Standard</v>
      </c>
      <c r="N488" t="str">
        <f t="shared" si="54"/>
        <v>Tier 4</v>
      </c>
      <c r="O488">
        <f t="shared" si="55"/>
        <v>0</v>
      </c>
    </row>
    <row r="489" spans="1:15" x14ac:dyDescent="0.2">
      <c r="A489">
        <v>19</v>
      </c>
      <c r="B489" t="str" cm="1">
        <f t="array" ref="B489">_xlfn.IFS(A489&lt;=25,"18-25", A489&lt;=35,"26-35", A489&lt;=45,"36-45", A489&lt;=55,"46-55", A489&lt;=64,"56-64")</f>
        <v>18-25</v>
      </c>
      <c r="C489" t="s">
        <v>10</v>
      </c>
      <c r="D489">
        <v>28.7</v>
      </c>
      <c r="E489">
        <v>0</v>
      </c>
      <c r="F489" t="s">
        <v>11</v>
      </c>
      <c r="G489" t="s">
        <v>52</v>
      </c>
      <c r="H489" s="2">
        <v>1253.9359999999999</v>
      </c>
      <c r="I489" s="2">
        <f t="shared" si="49"/>
        <v>1253.9359999999999</v>
      </c>
      <c r="J489" t="str">
        <f t="shared" si="50"/>
        <v>Low</v>
      </c>
      <c r="K489" s="1">
        <f t="shared" si="51"/>
        <v>0.01</v>
      </c>
      <c r="L489" t="str">
        <f t="shared" si="52"/>
        <v>Overweight</v>
      </c>
      <c r="M489" t="str">
        <f t="shared" si="53"/>
        <v>Standard</v>
      </c>
      <c r="N489" t="str">
        <f t="shared" si="54"/>
        <v>Tier 3</v>
      </c>
      <c r="O489">
        <f t="shared" si="55"/>
        <v>1</v>
      </c>
    </row>
    <row r="490" spans="1:15" x14ac:dyDescent="0.2">
      <c r="A490">
        <v>44</v>
      </c>
      <c r="B490" t="str" cm="1">
        <f t="array" ref="B490">_xlfn.IFS(A490&lt;=25,"18-25", A490&lt;=35,"26-35", A490&lt;=45,"36-45", A490&lt;=55,"46-55", A490&lt;=64,"56-64")</f>
        <v>36-45</v>
      </c>
      <c r="C490" t="s">
        <v>7</v>
      </c>
      <c r="D490">
        <v>38.06</v>
      </c>
      <c r="E490">
        <v>0</v>
      </c>
      <c r="F490" t="s">
        <v>8</v>
      </c>
      <c r="G490" t="s">
        <v>51</v>
      </c>
      <c r="H490" s="2">
        <v>48885.135609999998</v>
      </c>
      <c r="I490" s="2">
        <f t="shared" si="49"/>
        <v>48885.135609999998</v>
      </c>
      <c r="J490" t="str">
        <f t="shared" si="50"/>
        <v>High</v>
      </c>
      <c r="K490" s="1">
        <f t="shared" si="51"/>
        <v>0.99299999999999999</v>
      </c>
      <c r="L490" t="str">
        <f t="shared" si="52"/>
        <v>Obese</v>
      </c>
      <c r="M490" t="str">
        <f t="shared" si="53"/>
        <v>High Risk</v>
      </c>
      <c r="N490" t="str">
        <f t="shared" si="54"/>
        <v>Tier 1</v>
      </c>
      <c r="O490">
        <f t="shared" si="55"/>
        <v>6</v>
      </c>
    </row>
    <row r="491" spans="1:15" x14ac:dyDescent="0.2">
      <c r="A491">
        <v>53</v>
      </c>
      <c r="B491" t="str" cm="1">
        <f t="array" ref="B491">_xlfn.IFS(A491&lt;=25,"18-25", A491&lt;=35,"26-35", A491&lt;=45,"36-45", A491&lt;=55,"46-55", A491&lt;=64,"56-64")</f>
        <v>46-55</v>
      </c>
      <c r="C491" t="s">
        <v>10</v>
      </c>
      <c r="D491">
        <v>31.16</v>
      </c>
      <c r="E491">
        <v>1</v>
      </c>
      <c r="F491" t="s">
        <v>11</v>
      </c>
      <c r="G491" t="s">
        <v>54</v>
      </c>
      <c r="H491" s="2">
        <v>10461.9794</v>
      </c>
      <c r="I491" s="2">
        <f t="shared" si="49"/>
        <v>5230.9897000000001</v>
      </c>
      <c r="J491" t="str">
        <f t="shared" si="50"/>
        <v>Low</v>
      </c>
      <c r="K491" s="1">
        <f t="shared" si="51"/>
        <v>0.55200000000000005</v>
      </c>
      <c r="L491" t="str">
        <f t="shared" si="52"/>
        <v>Obese</v>
      </c>
      <c r="M491" t="str">
        <f t="shared" si="53"/>
        <v>Standard</v>
      </c>
      <c r="N491" t="str">
        <f t="shared" si="54"/>
        <v>Tier 4</v>
      </c>
      <c r="O491">
        <f t="shared" si="55"/>
        <v>2</v>
      </c>
    </row>
    <row r="492" spans="1:15" x14ac:dyDescent="0.2">
      <c r="A492">
        <v>19</v>
      </c>
      <c r="B492" t="str" cm="1">
        <f t="array" ref="B492">_xlfn.IFS(A492&lt;=25,"18-25", A492&lt;=35,"26-35", A492&lt;=45,"36-45", A492&lt;=55,"46-55", A492&lt;=64,"56-64")</f>
        <v>18-25</v>
      </c>
      <c r="C492" t="s">
        <v>7</v>
      </c>
      <c r="D492">
        <v>32.9</v>
      </c>
      <c r="E492">
        <v>0</v>
      </c>
      <c r="F492" t="s">
        <v>11</v>
      </c>
      <c r="G492" t="s">
        <v>52</v>
      </c>
      <c r="H492" s="2">
        <v>1748.7739999999999</v>
      </c>
      <c r="I492" s="2">
        <f t="shared" si="49"/>
        <v>1748.7739999999999</v>
      </c>
      <c r="J492" t="str">
        <f t="shared" si="50"/>
        <v>Low</v>
      </c>
      <c r="K492" s="1">
        <f t="shared" si="51"/>
        <v>4.9000000000000002E-2</v>
      </c>
      <c r="L492" t="str">
        <f t="shared" si="52"/>
        <v>Obese</v>
      </c>
      <c r="M492" t="str">
        <f t="shared" si="53"/>
        <v>Standard</v>
      </c>
      <c r="N492" t="str">
        <f t="shared" si="54"/>
        <v>Tier 3</v>
      </c>
      <c r="O492">
        <f t="shared" si="55"/>
        <v>2</v>
      </c>
    </row>
    <row r="493" spans="1:15" x14ac:dyDescent="0.2">
      <c r="A493">
        <v>61</v>
      </c>
      <c r="B493" t="str" cm="1">
        <f t="array" ref="B493">_xlfn.IFS(A493&lt;=25,"18-25", A493&lt;=35,"26-35", A493&lt;=45,"36-45", A493&lt;=55,"46-55", A493&lt;=64,"56-64")</f>
        <v>56-64</v>
      </c>
      <c r="C493" t="s">
        <v>7</v>
      </c>
      <c r="D493">
        <v>25.08</v>
      </c>
      <c r="E493">
        <v>0</v>
      </c>
      <c r="F493" t="s">
        <v>11</v>
      </c>
      <c r="G493" t="s">
        <v>51</v>
      </c>
      <c r="H493" s="2">
        <v>24513.091260000001</v>
      </c>
      <c r="I493" s="2">
        <f t="shared" si="49"/>
        <v>24513.091260000001</v>
      </c>
      <c r="J493" t="str">
        <f t="shared" si="50"/>
        <v>High</v>
      </c>
      <c r="K493" s="1">
        <f t="shared" si="51"/>
        <v>0.84199999999999997</v>
      </c>
      <c r="L493" t="str">
        <f t="shared" si="52"/>
        <v>Overweight</v>
      </c>
      <c r="M493" t="str">
        <f t="shared" si="53"/>
        <v>Standard</v>
      </c>
      <c r="N493" t="str">
        <f t="shared" si="54"/>
        <v>Tier 1</v>
      </c>
      <c r="O493">
        <f t="shared" si="55"/>
        <v>2</v>
      </c>
    </row>
    <row r="494" spans="1:15" x14ac:dyDescent="0.2">
      <c r="A494">
        <v>18</v>
      </c>
      <c r="B494" t="str" cm="1">
        <f t="array" ref="B494">_xlfn.IFS(A494&lt;=25,"18-25", A494&lt;=35,"26-35", A494&lt;=45,"36-45", A494&lt;=55,"46-55", A494&lt;=64,"56-64")</f>
        <v>18-25</v>
      </c>
      <c r="C494" t="s">
        <v>7</v>
      </c>
      <c r="D494">
        <v>25.08</v>
      </c>
      <c r="E494">
        <v>0</v>
      </c>
      <c r="F494" t="s">
        <v>11</v>
      </c>
      <c r="G494" t="s">
        <v>53</v>
      </c>
      <c r="H494" s="2">
        <v>2196.4731999999999</v>
      </c>
      <c r="I494" s="2">
        <f t="shared" si="49"/>
        <v>2196.4731999999999</v>
      </c>
      <c r="J494" t="str">
        <f t="shared" si="50"/>
        <v>Low</v>
      </c>
      <c r="K494" s="1">
        <f t="shared" si="51"/>
        <v>8.4000000000000005E-2</v>
      </c>
      <c r="L494" t="str">
        <f t="shared" si="52"/>
        <v>Overweight</v>
      </c>
      <c r="M494" t="str">
        <f t="shared" si="53"/>
        <v>Standard</v>
      </c>
      <c r="N494" t="str">
        <f t="shared" si="54"/>
        <v>Tier 2</v>
      </c>
      <c r="O494">
        <f t="shared" si="55"/>
        <v>1</v>
      </c>
    </row>
    <row r="495" spans="1:15" x14ac:dyDescent="0.2">
      <c r="A495">
        <v>61</v>
      </c>
      <c r="B495" t="str" cm="1">
        <f t="array" ref="B495">_xlfn.IFS(A495&lt;=25,"18-25", A495&lt;=35,"26-35", A495&lt;=45,"36-45", A495&lt;=55,"46-55", A495&lt;=64,"56-64")</f>
        <v>56-64</v>
      </c>
      <c r="C495" t="s">
        <v>10</v>
      </c>
      <c r="D495">
        <v>43.4</v>
      </c>
      <c r="E495">
        <v>0</v>
      </c>
      <c r="F495" t="s">
        <v>11</v>
      </c>
      <c r="G495" t="s">
        <v>52</v>
      </c>
      <c r="H495" s="2">
        <v>12574.049000000001</v>
      </c>
      <c r="I495" s="2">
        <f t="shared" si="49"/>
        <v>12574.049000000001</v>
      </c>
      <c r="J495" t="str">
        <f t="shared" si="50"/>
        <v>Low</v>
      </c>
      <c r="K495" s="1">
        <f t="shared" si="51"/>
        <v>0.65500000000000003</v>
      </c>
      <c r="L495" t="str">
        <f t="shared" si="52"/>
        <v>Obese</v>
      </c>
      <c r="M495" t="str">
        <f t="shared" si="53"/>
        <v>Standard</v>
      </c>
      <c r="N495" t="str">
        <f t="shared" si="54"/>
        <v>Tier 3</v>
      </c>
      <c r="O495">
        <f t="shared" si="55"/>
        <v>2</v>
      </c>
    </row>
    <row r="496" spans="1:15" x14ac:dyDescent="0.2">
      <c r="A496">
        <v>21</v>
      </c>
      <c r="B496" t="str" cm="1">
        <f t="array" ref="B496">_xlfn.IFS(A496&lt;=25,"18-25", A496&lt;=35,"26-35", A496&lt;=45,"36-45", A496&lt;=55,"46-55", A496&lt;=64,"56-64")</f>
        <v>18-25</v>
      </c>
      <c r="C496" t="s">
        <v>10</v>
      </c>
      <c r="D496">
        <v>25.7</v>
      </c>
      <c r="E496">
        <v>4</v>
      </c>
      <c r="F496" t="s">
        <v>8</v>
      </c>
      <c r="G496" t="s">
        <v>52</v>
      </c>
      <c r="H496" s="2">
        <v>17942.106</v>
      </c>
      <c r="I496" s="2">
        <f t="shared" si="49"/>
        <v>3588.4211999999998</v>
      </c>
      <c r="J496" t="str">
        <f t="shared" si="50"/>
        <v>High</v>
      </c>
      <c r="K496" s="1">
        <f t="shared" si="51"/>
        <v>0.76500000000000001</v>
      </c>
      <c r="L496" t="str">
        <f t="shared" si="52"/>
        <v>Overweight</v>
      </c>
      <c r="M496" t="str">
        <f t="shared" si="53"/>
        <v>High Risk</v>
      </c>
      <c r="N496" t="str">
        <f t="shared" si="54"/>
        <v>Tier 3</v>
      </c>
      <c r="O496">
        <f t="shared" si="55"/>
        <v>4</v>
      </c>
    </row>
    <row r="497" spans="1:15" x14ac:dyDescent="0.2">
      <c r="A497">
        <v>20</v>
      </c>
      <c r="B497" t="str" cm="1">
        <f t="array" ref="B497">_xlfn.IFS(A497&lt;=25,"18-25", A497&lt;=35,"26-35", A497&lt;=45,"36-45", A497&lt;=55,"46-55", A497&lt;=64,"56-64")</f>
        <v>18-25</v>
      </c>
      <c r="C497" t="s">
        <v>10</v>
      </c>
      <c r="D497">
        <v>27.93</v>
      </c>
      <c r="E497">
        <v>0</v>
      </c>
      <c r="F497" t="s">
        <v>11</v>
      </c>
      <c r="G497" t="s">
        <v>53</v>
      </c>
      <c r="H497" s="2">
        <v>1967.0227</v>
      </c>
      <c r="I497" s="2">
        <f t="shared" si="49"/>
        <v>1967.0227</v>
      </c>
      <c r="J497" t="str">
        <f t="shared" si="50"/>
        <v>Low</v>
      </c>
      <c r="K497" s="1">
        <f t="shared" si="51"/>
        <v>6.2E-2</v>
      </c>
      <c r="L497" t="str">
        <f t="shared" si="52"/>
        <v>Overweight</v>
      </c>
      <c r="M497" t="str">
        <f t="shared" si="53"/>
        <v>Standard</v>
      </c>
      <c r="N497" t="str">
        <f t="shared" si="54"/>
        <v>Tier 2</v>
      </c>
      <c r="O497">
        <f t="shared" si="55"/>
        <v>1</v>
      </c>
    </row>
    <row r="498" spans="1:15" x14ac:dyDescent="0.2">
      <c r="A498">
        <v>31</v>
      </c>
      <c r="B498" t="str" cm="1">
        <f t="array" ref="B498">_xlfn.IFS(A498&lt;=25,"18-25", A498&lt;=35,"26-35", A498&lt;=45,"36-45", A498&lt;=55,"46-55", A498&lt;=64,"56-64")</f>
        <v>26-35</v>
      </c>
      <c r="C498" t="s">
        <v>7</v>
      </c>
      <c r="D498">
        <v>23.6</v>
      </c>
      <c r="E498">
        <v>2</v>
      </c>
      <c r="F498" t="s">
        <v>11</v>
      </c>
      <c r="G498" t="s">
        <v>52</v>
      </c>
      <c r="H498" s="2">
        <v>4931.6469999999999</v>
      </c>
      <c r="I498" s="2">
        <f t="shared" si="49"/>
        <v>1643.8823333333332</v>
      </c>
      <c r="J498" t="str">
        <f t="shared" si="50"/>
        <v>Low</v>
      </c>
      <c r="K498" s="1">
        <f t="shared" si="51"/>
        <v>0.26500000000000001</v>
      </c>
      <c r="L498" t="str">
        <f t="shared" si="52"/>
        <v>Normal</v>
      </c>
      <c r="M498" t="str">
        <f t="shared" si="53"/>
        <v>Standard</v>
      </c>
      <c r="N498" t="str">
        <f t="shared" si="54"/>
        <v>Tier 3</v>
      </c>
      <c r="O498">
        <f t="shared" si="55"/>
        <v>0</v>
      </c>
    </row>
    <row r="499" spans="1:15" x14ac:dyDescent="0.2">
      <c r="A499">
        <v>45</v>
      </c>
      <c r="B499" t="str" cm="1">
        <f t="array" ref="B499">_xlfn.IFS(A499&lt;=25,"18-25", A499&lt;=35,"26-35", A499&lt;=45,"36-45", A499&lt;=55,"46-55", A499&lt;=64,"56-64")</f>
        <v>36-45</v>
      </c>
      <c r="C499" t="s">
        <v>10</v>
      </c>
      <c r="D499">
        <v>28.7</v>
      </c>
      <c r="E499">
        <v>2</v>
      </c>
      <c r="F499" t="s">
        <v>11</v>
      </c>
      <c r="G499" t="s">
        <v>52</v>
      </c>
      <c r="H499" s="2">
        <v>8027.9679999999998</v>
      </c>
      <c r="I499" s="2">
        <f t="shared" si="49"/>
        <v>2675.9893333333334</v>
      </c>
      <c r="J499" t="str">
        <f t="shared" si="50"/>
        <v>Low</v>
      </c>
      <c r="K499" s="1">
        <f t="shared" si="51"/>
        <v>0.42799999999999999</v>
      </c>
      <c r="L499" t="str">
        <f t="shared" si="52"/>
        <v>Overweight</v>
      </c>
      <c r="M499" t="str">
        <f t="shared" si="53"/>
        <v>Standard</v>
      </c>
      <c r="N499" t="str">
        <f t="shared" si="54"/>
        <v>Tier 3</v>
      </c>
      <c r="O499">
        <f t="shared" si="55"/>
        <v>1</v>
      </c>
    </row>
    <row r="500" spans="1:15" x14ac:dyDescent="0.2">
      <c r="A500">
        <v>44</v>
      </c>
      <c r="B500" t="str" cm="1">
        <f t="array" ref="B500">_xlfn.IFS(A500&lt;=25,"18-25", A500&lt;=35,"26-35", A500&lt;=45,"36-45", A500&lt;=55,"46-55", A500&lt;=64,"56-64")</f>
        <v>36-45</v>
      </c>
      <c r="C500" t="s">
        <v>7</v>
      </c>
      <c r="D500">
        <v>23.98</v>
      </c>
      <c r="E500">
        <v>2</v>
      </c>
      <c r="F500" t="s">
        <v>11</v>
      </c>
      <c r="G500" t="s">
        <v>51</v>
      </c>
      <c r="H500" s="2">
        <v>8211.1002000000008</v>
      </c>
      <c r="I500" s="2">
        <f t="shared" si="49"/>
        <v>2737.0334000000003</v>
      </c>
      <c r="J500" t="str">
        <f t="shared" si="50"/>
        <v>Low</v>
      </c>
      <c r="K500" s="1">
        <f t="shared" si="51"/>
        <v>0.436</v>
      </c>
      <c r="L500" t="str">
        <f t="shared" si="52"/>
        <v>Normal</v>
      </c>
      <c r="M500" t="str">
        <f t="shared" si="53"/>
        <v>Standard</v>
      </c>
      <c r="N500" t="str">
        <f t="shared" si="54"/>
        <v>Tier 1</v>
      </c>
      <c r="O500">
        <f t="shared" si="55"/>
        <v>1</v>
      </c>
    </row>
    <row r="501" spans="1:15" x14ac:dyDescent="0.2">
      <c r="A501">
        <v>62</v>
      </c>
      <c r="B501" t="str" cm="1">
        <f t="array" ref="B501">_xlfn.IFS(A501&lt;=25,"18-25", A501&lt;=35,"26-35", A501&lt;=45,"36-45", A501&lt;=55,"46-55", A501&lt;=64,"56-64")</f>
        <v>56-64</v>
      </c>
      <c r="C501" t="s">
        <v>7</v>
      </c>
      <c r="D501">
        <v>39.200000000000003</v>
      </c>
      <c r="E501">
        <v>0</v>
      </c>
      <c r="F501" t="s">
        <v>11</v>
      </c>
      <c r="G501" t="s">
        <v>52</v>
      </c>
      <c r="H501" s="2">
        <v>13470.86</v>
      </c>
      <c r="I501" s="2">
        <f t="shared" si="49"/>
        <v>13470.86</v>
      </c>
      <c r="J501" t="str">
        <f t="shared" si="50"/>
        <v>High</v>
      </c>
      <c r="K501" s="1">
        <f t="shared" si="51"/>
        <v>0.69399999999999995</v>
      </c>
      <c r="L501" t="str">
        <f t="shared" si="52"/>
        <v>Obese</v>
      </c>
      <c r="M501" t="str">
        <f t="shared" si="53"/>
        <v>Standard</v>
      </c>
      <c r="N501" t="str">
        <f t="shared" si="54"/>
        <v>Tier 3</v>
      </c>
      <c r="O501">
        <f t="shared" si="55"/>
        <v>2</v>
      </c>
    </row>
    <row r="502" spans="1:15" x14ac:dyDescent="0.2">
      <c r="A502">
        <v>29</v>
      </c>
      <c r="B502" t="str" cm="1">
        <f t="array" ref="B502">_xlfn.IFS(A502&lt;=25,"18-25", A502&lt;=35,"26-35", A502&lt;=45,"36-45", A502&lt;=55,"46-55", A502&lt;=64,"56-64")</f>
        <v>26-35</v>
      </c>
      <c r="C502" t="s">
        <v>10</v>
      </c>
      <c r="D502">
        <v>34.4</v>
      </c>
      <c r="E502">
        <v>0</v>
      </c>
      <c r="F502" t="s">
        <v>8</v>
      </c>
      <c r="G502" t="s">
        <v>52</v>
      </c>
      <c r="H502" s="2">
        <v>36197.699000000001</v>
      </c>
      <c r="I502" s="2">
        <f t="shared" si="49"/>
        <v>36197.699000000001</v>
      </c>
      <c r="J502" t="str">
        <f t="shared" si="50"/>
        <v>High</v>
      </c>
      <c r="K502" s="1">
        <f t="shared" si="51"/>
        <v>0.90900000000000003</v>
      </c>
      <c r="L502" t="str">
        <f t="shared" si="52"/>
        <v>Obese</v>
      </c>
      <c r="M502" t="str">
        <f t="shared" si="53"/>
        <v>High Risk</v>
      </c>
      <c r="N502" t="str">
        <f t="shared" si="54"/>
        <v>Tier 3</v>
      </c>
      <c r="O502">
        <f t="shared" si="55"/>
        <v>5</v>
      </c>
    </row>
    <row r="503" spans="1:15" x14ac:dyDescent="0.2">
      <c r="A503">
        <v>43</v>
      </c>
      <c r="B503" t="str" cm="1">
        <f t="array" ref="B503">_xlfn.IFS(A503&lt;=25,"18-25", A503&lt;=35,"26-35", A503&lt;=45,"36-45", A503&lt;=55,"46-55", A503&lt;=64,"56-64")</f>
        <v>36-45</v>
      </c>
      <c r="C503" t="s">
        <v>10</v>
      </c>
      <c r="D503">
        <v>26.03</v>
      </c>
      <c r="E503">
        <v>0</v>
      </c>
      <c r="F503" t="s">
        <v>11</v>
      </c>
      <c r="G503" t="s">
        <v>53</v>
      </c>
      <c r="H503" s="2">
        <v>6837.3687</v>
      </c>
      <c r="I503" s="2">
        <f t="shared" si="49"/>
        <v>6837.3687</v>
      </c>
      <c r="J503" t="str">
        <f t="shared" si="50"/>
        <v>Low</v>
      </c>
      <c r="K503" s="1">
        <f t="shared" si="51"/>
        <v>0.36699999999999999</v>
      </c>
      <c r="L503" t="str">
        <f t="shared" si="52"/>
        <v>Overweight</v>
      </c>
      <c r="M503" t="str">
        <f t="shared" si="53"/>
        <v>Standard</v>
      </c>
      <c r="N503" t="str">
        <f t="shared" si="54"/>
        <v>Tier 2</v>
      </c>
      <c r="O503">
        <f t="shared" si="55"/>
        <v>1</v>
      </c>
    </row>
    <row r="504" spans="1:15" x14ac:dyDescent="0.2">
      <c r="A504">
        <v>51</v>
      </c>
      <c r="B504" t="str" cm="1">
        <f t="array" ref="B504">_xlfn.IFS(A504&lt;=25,"18-25", A504&lt;=35,"26-35", A504&lt;=45,"36-45", A504&lt;=55,"46-55", A504&lt;=64,"56-64")</f>
        <v>46-55</v>
      </c>
      <c r="C504" t="s">
        <v>10</v>
      </c>
      <c r="D504">
        <v>23.21</v>
      </c>
      <c r="E504">
        <v>1</v>
      </c>
      <c r="F504" t="s">
        <v>8</v>
      </c>
      <c r="G504" t="s">
        <v>51</v>
      </c>
      <c r="H504" s="2">
        <v>22218.1149</v>
      </c>
      <c r="I504" s="2">
        <f t="shared" si="49"/>
        <v>11109.05745</v>
      </c>
      <c r="J504" t="str">
        <f t="shared" si="50"/>
        <v>High</v>
      </c>
      <c r="K504" s="1">
        <f t="shared" si="51"/>
        <v>0.82299999999999995</v>
      </c>
      <c r="L504" t="str">
        <f t="shared" si="52"/>
        <v>Normal</v>
      </c>
      <c r="M504" t="str">
        <f t="shared" si="53"/>
        <v>High Risk</v>
      </c>
      <c r="N504" t="str">
        <f t="shared" si="54"/>
        <v>Tier 1</v>
      </c>
      <c r="O504">
        <f t="shared" si="55"/>
        <v>4</v>
      </c>
    </row>
    <row r="505" spans="1:15" x14ac:dyDescent="0.2">
      <c r="A505">
        <v>19</v>
      </c>
      <c r="B505" t="str" cm="1">
        <f t="array" ref="B505">_xlfn.IFS(A505&lt;=25,"18-25", A505&lt;=35,"26-35", A505&lt;=45,"36-45", A505&lt;=55,"46-55", A505&lt;=64,"56-64")</f>
        <v>18-25</v>
      </c>
      <c r="C505" t="s">
        <v>10</v>
      </c>
      <c r="D505">
        <v>30.25</v>
      </c>
      <c r="E505">
        <v>0</v>
      </c>
      <c r="F505" t="s">
        <v>8</v>
      </c>
      <c r="G505" t="s">
        <v>51</v>
      </c>
      <c r="H505" s="2">
        <v>32548.340499999998</v>
      </c>
      <c r="I505" s="2">
        <f t="shared" si="49"/>
        <v>32548.340499999998</v>
      </c>
      <c r="J505" t="str">
        <f t="shared" si="50"/>
        <v>High</v>
      </c>
      <c r="K505" s="1">
        <f t="shared" si="51"/>
        <v>0.88500000000000001</v>
      </c>
      <c r="L505" t="str">
        <f t="shared" si="52"/>
        <v>Obese</v>
      </c>
      <c r="M505" t="str">
        <f t="shared" si="53"/>
        <v>High Risk</v>
      </c>
      <c r="N505" t="str">
        <f t="shared" si="54"/>
        <v>Tier 1</v>
      </c>
      <c r="O505">
        <f t="shared" si="55"/>
        <v>6</v>
      </c>
    </row>
    <row r="506" spans="1:15" x14ac:dyDescent="0.2">
      <c r="A506">
        <v>38</v>
      </c>
      <c r="B506" t="str" cm="1">
        <f t="array" ref="B506">_xlfn.IFS(A506&lt;=25,"18-25", A506&lt;=35,"26-35", A506&lt;=45,"36-45", A506&lt;=55,"46-55", A506&lt;=64,"56-64")</f>
        <v>36-45</v>
      </c>
      <c r="C506" t="s">
        <v>7</v>
      </c>
      <c r="D506">
        <v>28.93</v>
      </c>
      <c r="E506">
        <v>1</v>
      </c>
      <c r="F506" t="s">
        <v>11</v>
      </c>
      <c r="G506" t="s">
        <v>51</v>
      </c>
      <c r="H506" s="2">
        <v>5974.3846999999996</v>
      </c>
      <c r="I506" s="2">
        <f t="shared" si="49"/>
        <v>2987.1923499999998</v>
      </c>
      <c r="J506" t="str">
        <f t="shared" si="50"/>
        <v>Low</v>
      </c>
      <c r="K506" s="1">
        <f t="shared" si="51"/>
        <v>0.317</v>
      </c>
      <c r="L506" t="str">
        <f t="shared" si="52"/>
        <v>Overweight</v>
      </c>
      <c r="M506" t="str">
        <f t="shared" si="53"/>
        <v>Standard</v>
      </c>
      <c r="N506" t="str">
        <f t="shared" si="54"/>
        <v>Tier 1</v>
      </c>
      <c r="O506">
        <f t="shared" si="55"/>
        <v>2</v>
      </c>
    </row>
    <row r="507" spans="1:15" x14ac:dyDescent="0.2">
      <c r="A507">
        <v>37</v>
      </c>
      <c r="B507" t="str" cm="1">
        <f t="array" ref="B507">_xlfn.IFS(A507&lt;=25,"18-25", A507&lt;=35,"26-35", A507&lt;=45,"36-45", A507&lt;=55,"46-55", A507&lt;=64,"56-64")</f>
        <v>36-45</v>
      </c>
      <c r="C507" t="s">
        <v>10</v>
      </c>
      <c r="D507">
        <v>30.875</v>
      </c>
      <c r="E507">
        <v>3</v>
      </c>
      <c r="F507" t="s">
        <v>11</v>
      </c>
      <c r="G507" t="s">
        <v>54</v>
      </c>
      <c r="H507" s="2">
        <v>6796.8632500000003</v>
      </c>
      <c r="I507" s="2">
        <f t="shared" si="49"/>
        <v>1699.2158125000001</v>
      </c>
      <c r="J507" t="str">
        <f t="shared" si="50"/>
        <v>Low</v>
      </c>
      <c r="K507" s="1">
        <f t="shared" si="51"/>
        <v>0.36599999999999999</v>
      </c>
      <c r="L507" t="str">
        <f t="shared" si="52"/>
        <v>Obese</v>
      </c>
      <c r="M507" t="str">
        <f t="shared" si="53"/>
        <v>Standard</v>
      </c>
      <c r="N507" t="str">
        <f t="shared" si="54"/>
        <v>Tier 4</v>
      </c>
      <c r="O507">
        <f t="shared" si="55"/>
        <v>2</v>
      </c>
    </row>
    <row r="508" spans="1:15" x14ac:dyDescent="0.2">
      <c r="A508">
        <v>22</v>
      </c>
      <c r="B508" t="str" cm="1">
        <f t="array" ref="B508">_xlfn.IFS(A508&lt;=25,"18-25", A508&lt;=35,"26-35", A508&lt;=45,"36-45", A508&lt;=55,"46-55", A508&lt;=64,"56-64")</f>
        <v>18-25</v>
      </c>
      <c r="C508" t="s">
        <v>10</v>
      </c>
      <c r="D508">
        <v>31.35</v>
      </c>
      <c r="E508">
        <v>1</v>
      </c>
      <c r="F508" t="s">
        <v>11</v>
      </c>
      <c r="G508" t="s">
        <v>54</v>
      </c>
      <c r="H508" s="2">
        <v>2643.2685000000001</v>
      </c>
      <c r="I508" s="2">
        <f t="shared" si="49"/>
        <v>1321.6342500000001</v>
      </c>
      <c r="J508" t="str">
        <f t="shared" si="50"/>
        <v>Low</v>
      </c>
      <c r="K508" s="1">
        <f t="shared" si="51"/>
        <v>0.11899999999999999</v>
      </c>
      <c r="L508" t="str">
        <f t="shared" si="52"/>
        <v>Obese</v>
      </c>
      <c r="M508" t="str">
        <f t="shared" si="53"/>
        <v>Standard</v>
      </c>
      <c r="N508" t="str">
        <f t="shared" si="54"/>
        <v>Tier 4</v>
      </c>
      <c r="O508">
        <f t="shared" si="55"/>
        <v>2</v>
      </c>
    </row>
    <row r="509" spans="1:15" x14ac:dyDescent="0.2">
      <c r="A509">
        <v>21</v>
      </c>
      <c r="B509" t="str" cm="1">
        <f t="array" ref="B509">_xlfn.IFS(A509&lt;=25,"18-25", A509&lt;=35,"26-35", A509&lt;=45,"36-45", A509&lt;=55,"46-55", A509&lt;=64,"56-64")</f>
        <v>18-25</v>
      </c>
      <c r="C509" t="s">
        <v>10</v>
      </c>
      <c r="D509">
        <v>23.75</v>
      </c>
      <c r="E509">
        <v>2</v>
      </c>
      <c r="F509" t="s">
        <v>11</v>
      </c>
      <c r="G509" t="s">
        <v>54</v>
      </c>
      <c r="H509" s="2">
        <v>3077.0954999999999</v>
      </c>
      <c r="I509" s="2">
        <f t="shared" si="49"/>
        <v>1025.6985</v>
      </c>
      <c r="J509" t="str">
        <f t="shared" si="50"/>
        <v>Low</v>
      </c>
      <c r="K509" s="1">
        <f t="shared" si="51"/>
        <v>0.14699999999999999</v>
      </c>
      <c r="L509" t="str">
        <f t="shared" si="52"/>
        <v>Normal</v>
      </c>
      <c r="M509" t="str">
        <f t="shared" si="53"/>
        <v>Standard</v>
      </c>
      <c r="N509" t="str">
        <f t="shared" si="54"/>
        <v>Tier 4</v>
      </c>
      <c r="O509">
        <f t="shared" si="55"/>
        <v>0</v>
      </c>
    </row>
    <row r="510" spans="1:15" x14ac:dyDescent="0.2">
      <c r="A510">
        <v>24</v>
      </c>
      <c r="B510" t="str" cm="1">
        <f t="array" ref="B510">_xlfn.IFS(A510&lt;=25,"18-25", A510&lt;=35,"26-35", A510&lt;=45,"36-45", A510&lt;=55,"46-55", A510&lt;=64,"56-64")</f>
        <v>18-25</v>
      </c>
      <c r="C510" t="s">
        <v>7</v>
      </c>
      <c r="D510">
        <v>25.27</v>
      </c>
      <c r="E510">
        <v>0</v>
      </c>
      <c r="F510" t="s">
        <v>11</v>
      </c>
      <c r="G510" t="s">
        <v>53</v>
      </c>
      <c r="H510" s="2">
        <v>3044.2132999999999</v>
      </c>
      <c r="I510" s="2">
        <f t="shared" si="49"/>
        <v>3044.2132999999999</v>
      </c>
      <c r="J510" t="str">
        <f t="shared" si="50"/>
        <v>Low</v>
      </c>
      <c r="K510" s="1">
        <f t="shared" si="51"/>
        <v>0.14299999999999999</v>
      </c>
      <c r="L510" t="str">
        <f t="shared" si="52"/>
        <v>Overweight</v>
      </c>
      <c r="M510" t="str">
        <f t="shared" si="53"/>
        <v>Standard</v>
      </c>
      <c r="N510" t="str">
        <f t="shared" si="54"/>
        <v>Tier 2</v>
      </c>
      <c r="O510">
        <f t="shared" si="55"/>
        <v>1</v>
      </c>
    </row>
    <row r="511" spans="1:15" x14ac:dyDescent="0.2">
      <c r="A511">
        <v>57</v>
      </c>
      <c r="B511" t="str" cm="1">
        <f t="array" ref="B511">_xlfn.IFS(A511&lt;=25,"18-25", A511&lt;=35,"26-35", A511&lt;=45,"36-45", A511&lt;=55,"46-55", A511&lt;=64,"56-64")</f>
        <v>56-64</v>
      </c>
      <c r="C511" t="s">
        <v>7</v>
      </c>
      <c r="D511">
        <v>28.7</v>
      </c>
      <c r="E511">
        <v>0</v>
      </c>
      <c r="F511" t="s">
        <v>11</v>
      </c>
      <c r="G511" t="s">
        <v>52</v>
      </c>
      <c r="H511" s="2">
        <v>11455.28</v>
      </c>
      <c r="I511" s="2">
        <f t="shared" si="49"/>
        <v>11455.28</v>
      </c>
      <c r="J511" t="str">
        <f t="shared" si="50"/>
        <v>Low</v>
      </c>
      <c r="K511" s="1">
        <f t="shared" si="51"/>
        <v>0.60199999999999998</v>
      </c>
      <c r="L511" t="str">
        <f t="shared" si="52"/>
        <v>Overweight</v>
      </c>
      <c r="M511" t="str">
        <f t="shared" si="53"/>
        <v>Standard</v>
      </c>
      <c r="N511" t="str">
        <f t="shared" si="54"/>
        <v>Tier 3</v>
      </c>
      <c r="O511">
        <f t="shared" si="55"/>
        <v>1</v>
      </c>
    </row>
    <row r="512" spans="1:15" x14ac:dyDescent="0.2">
      <c r="A512">
        <v>56</v>
      </c>
      <c r="B512" t="str" cm="1">
        <f t="array" ref="B512">_xlfn.IFS(A512&lt;=25,"18-25", A512&lt;=35,"26-35", A512&lt;=45,"36-45", A512&lt;=55,"46-55", A512&lt;=64,"56-64")</f>
        <v>56-64</v>
      </c>
      <c r="C512" t="s">
        <v>10</v>
      </c>
      <c r="D512">
        <v>32.11</v>
      </c>
      <c r="E512">
        <v>1</v>
      </c>
      <c r="F512" t="s">
        <v>11</v>
      </c>
      <c r="G512" t="s">
        <v>53</v>
      </c>
      <c r="H512" s="2">
        <v>11763.000899999999</v>
      </c>
      <c r="I512" s="2">
        <f t="shared" si="49"/>
        <v>5881.5004499999995</v>
      </c>
      <c r="J512" t="str">
        <f t="shared" si="50"/>
        <v>Low</v>
      </c>
      <c r="K512" s="1">
        <f t="shared" si="51"/>
        <v>0.61799999999999999</v>
      </c>
      <c r="L512" t="str">
        <f t="shared" si="52"/>
        <v>Obese</v>
      </c>
      <c r="M512" t="str">
        <f t="shared" si="53"/>
        <v>Standard</v>
      </c>
      <c r="N512" t="str">
        <f t="shared" si="54"/>
        <v>Tier 2</v>
      </c>
      <c r="O512">
        <f t="shared" si="55"/>
        <v>2</v>
      </c>
    </row>
    <row r="513" spans="1:15" x14ac:dyDescent="0.2">
      <c r="A513">
        <v>27</v>
      </c>
      <c r="B513" t="str" cm="1">
        <f t="array" ref="B513">_xlfn.IFS(A513&lt;=25,"18-25", A513&lt;=35,"26-35", A513&lt;=45,"36-45", A513&lt;=55,"46-55", A513&lt;=64,"56-64")</f>
        <v>26-35</v>
      </c>
      <c r="C513" t="s">
        <v>10</v>
      </c>
      <c r="D513">
        <v>33.659999999999997</v>
      </c>
      <c r="E513">
        <v>0</v>
      </c>
      <c r="F513" t="s">
        <v>11</v>
      </c>
      <c r="G513" t="s">
        <v>51</v>
      </c>
      <c r="H513" s="2">
        <v>2498.4144000000001</v>
      </c>
      <c r="I513" s="2">
        <f t="shared" si="49"/>
        <v>2498.4144000000001</v>
      </c>
      <c r="J513" t="str">
        <f t="shared" si="50"/>
        <v>Low</v>
      </c>
      <c r="K513" s="1">
        <f t="shared" si="51"/>
        <v>0.112</v>
      </c>
      <c r="L513" t="str">
        <f t="shared" si="52"/>
        <v>Obese</v>
      </c>
      <c r="M513" t="str">
        <f t="shared" si="53"/>
        <v>Standard</v>
      </c>
      <c r="N513" t="str">
        <f t="shared" si="54"/>
        <v>Tier 1</v>
      </c>
      <c r="O513">
        <f t="shared" si="55"/>
        <v>3</v>
      </c>
    </row>
    <row r="514" spans="1:15" x14ac:dyDescent="0.2">
      <c r="A514">
        <v>51</v>
      </c>
      <c r="B514" t="str" cm="1">
        <f t="array" ref="B514">_xlfn.IFS(A514&lt;=25,"18-25", A514&lt;=35,"26-35", A514&lt;=45,"36-45", A514&lt;=55,"46-55", A514&lt;=64,"56-64")</f>
        <v>46-55</v>
      </c>
      <c r="C514" t="s">
        <v>10</v>
      </c>
      <c r="D514">
        <v>22.42</v>
      </c>
      <c r="E514">
        <v>0</v>
      </c>
      <c r="F514" t="s">
        <v>11</v>
      </c>
      <c r="G514" t="s">
        <v>53</v>
      </c>
      <c r="H514" s="2">
        <v>9361.3268000000007</v>
      </c>
      <c r="I514" s="2">
        <f t="shared" ref="I514:I577" si="56">H514/(E514+1)</f>
        <v>9361.3268000000007</v>
      </c>
      <c r="J514" t="str">
        <f t="shared" ref="J514:J577" si="57">IF(H514&gt;AVERAGE($H$2:$H$1339),"High","Low")</f>
        <v>Low</v>
      </c>
      <c r="K514" s="1">
        <f t="shared" ref="K514:K577" si="58">PERCENTRANK($H$2:$H$1339,H514)</f>
        <v>0.498</v>
      </c>
      <c r="L514" t="str">
        <f t="shared" ref="L514:L577" si="59">IF(D514&lt;18.5,"Underweight",IF(D514&lt;25,"Normal",IF(D514&lt;30,"Overweight","Obese")))</f>
        <v>Normal</v>
      </c>
      <c r="M514" t="str">
        <f t="shared" ref="M514:M577" si="60">IF(F514="yes","High Risk","Standard")</f>
        <v>Standard</v>
      </c>
      <c r="N514" t="str">
        <f t="shared" ref="N514:N577" si="61">IF(G514="southeast","Tier 1",IF(G514="northeast","Tier 2",IF(G514="southwest","Tier 3","Tier 4")))</f>
        <v>Tier 2</v>
      </c>
      <c r="O514">
        <f t="shared" ref="O514:O577" si="62">IF(F514="yes",3,0)+IF(D514&gt;=30,2,IF(D514&gt;=25,1,0))+IF(G514="southeast",1,0)</f>
        <v>0</v>
      </c>
    </row>
    <row r="515" spans="1:15" x14ac:dyDescent="0.2">
      <c r="A515">
        <v>19</v>
      </c>
      <c r="B515" t="str" cm="1">
        <f t="array" ref="B515">_xlfn.IFS(A515&lt;=25,"18-25", A515&lt;=35,"26-35", A515&lt;=45,"36-45", A515&lt;=55,"46-55", A515&lt;=64,"56-64")</f>
        <v>18-25</v>
      </c>
      <c r="C515" t="s">
        <v>10</v>
      </c>
      <c r="D515">
        <v>30.4</v>
      </c>
      <c r="E515">
        <v>0</v>
      </c>
      <c r="F515" t="s">
        <v>11</v>
      </c>
      <c r="G515" t="s">
        <v>52</v>
      </c>
      <c r="H515" s="2">
        <v>1256.299</v>
      </c>
      <c r="I515" s="2">
        <f t="shared" si="56"/>
        <v>1256.299</v>
      </c>
      <c r="J515" t="str">
        <f t="shared" si="57"/>
        <v>Low</v>
      </c>
      <c r="K515" s="1">
        <f t="shared" si="58"/>
        <v>1.0999999999999999E-2</v>
      </c>
      <c r="L515" t="str">
        <f t="shared" si="59"/>
        <v>Obese</v>
      </c>
      <c r="M515" t="str">
        <f t="shared" si="60"/>
        <v>Standard</v>
      </c>
      <c r="N515" t="str">
        <f t="shared" si="61"/>
        <v>Tier 3</v>
      </c>
      <c r="O515">
        <f t="shared" si="62"/>
        <v>2</v>
      </c>
    </row>
    <row r="516" spans="1:15" x14ac:dyDescent="0.2">
      <c r="A516">
        <v>39</v>
      </c>
      <c r="B516" t="str" cm="1">
        <f t="array" ref="B516">_xlfn.IFS(A516&lt;=25,"18-25", A516&lt;=35,"26-35", A516&lt;=45,"36-45", A516&lt;=55,"46-55", A516&lt;=64,"56-64")</f>
        <v>36-45</v>
      </c>
      <c r="C516" t="s">
        <v>10</v>
      </c>
      <c r="D516">
        <v>28.3</v>
      </c>
      <c r="E516">
        <v>1</v>
      </c>
      <c r="F516" t="s">
        <v>8</v>
      </c>
      <c r="G516" t="s">
        <v>52</v>
      </c>
      <c r="H516" s="2">
        <v>21082.16</v>
      </c>
      <c r="I516" s="2">
        <f t="shared" si="56"/>
        <v>10541.08</v>
      </c>
      <c r="J516" t="str">
        <f t="shared" si="57"/>
        <v>High</v>
      </c>
      <c r="K516" s="1">
        <f t="shared" si="58"/>
        <v>0.80800000000000005</v>
      </c>
      <c r="L516" t="str">
        <f t="shared" si="59"/>
        <v>Overweight</v>
      </c>
      <c r="M516" t="str">
        <f t="shared" si="60"/>
        <v>High Risk</v>
      </c>
      <c r="N516" t="str">
        <f t="shared" si="61"/>
        <v>Tier 3</v>
      </c>
      <c r="O516">
        <f t="shared" si="62"/>
        <v>4</v>
      </c>
    </row>
    <row r="517" spans="1:15" x14ac:dyDescent="0.2">
      <c r="A517">
        <v>58</v>
      </c>
      <c r="B517" t="str" cm="1">
        <f t="array" ref="B517">_xlfn.IFS(A517&lt;=25,"18-25", A517&lt;=35,"26-35", A517&lt;=45,"36-45", A517&lt;=55,"46-55", A517&lt;=64,"56-64")</f>
        <v>56-64</v>
      </c>
      <c r="C517" t="s">
        <v>10</v>
      </c>
      <c r="D517">
        <v>35.700000000000003</v>
      </c>
      <c r="E517">
        <v>0</v>
      </c>
      <c r="F517" t="s">
        <v>11</v>
      </c>
      <c r="G517" t="s">
        <v>52</v>
      </c>
      <c r="H517" s="2">
        <v>11362.754999999999</v>
      </c>
      <c r="I517" s="2">
        <f t="shared" si="56"/>
        <v>11362.754999999999</v>
      </c>
      <c r="J517" t="str">
        <f t="shared" si="57"/>
        <v>Low</v>
      </c>
      <c r="K517" s="1">
        <f t="shared" si="58"/>
        <v>0.59599999999999997</v>
      </c>
      <c r="L517" t="str">
        <f t="shared" si="59"/>
        <v>Obese</v>
      </c>
      <c r="M517" t="str">
        <f t="shared" si="60"/>
        <v>Standard</v>
      </c>
      <c r="N517" t="str">
        <f t="shared" si="61"/>
        <v>Tier 3</v>
      </c>
      <c r="O517">
        <f t="shared" si="62"/>
        <v>2</v>
      </c>
    </row>
    <row r="518" spans="1:15" x14ac:dyDescent="0.2">
      <c r="A518">
        <v>20</v>
      </c>
      <c r="B518" t="str" cm="1">
        <f t="array" ref="B518">_xlfn.IFS(A518&lt;=25,"18-25", A518&lt;=35,"26-35", A518&lt;=45,"36-45", A518&lt;=55,"46-55", A518&lt;=64,"56-64")</f>
        <v>18-25</v>
      </c>
      <c r="C518" t="s">
        <v>10</v>
      </c>
      <c r="D518">
        <v>35.31</v>
      </c>
      <c r="E518">
        <v>1</v>
      </c>
      <c r="F518" t="s">
        <v>11</v>
      </c>
      <c r="G518" t="s">
        <v>51</v>
      </c>
      <c r="H518" s="2">
        <v>27724.28875</v>
      </c>
      <c r="I518" s="2">
        <f t="shared" si="56"/>
        <v>13862.144375</v>
      </c>
      <c r="J518" t="str">
        <f t="shared" si="57"/>
        <v>High</v>
      </c>
      <c r="K518" s="1">
        <f t="shared" si="58"/>
        <v>0.86799999999999999</v>
      </c>
      <c r="L518" t="str">
        <f t="shared" si="59"/>
        <v>Obese</v>
      </c>
      <c r="M518" t="str">
        <f t="shared" si="60"/>
        <v>Standard</v>
      </c>
      <c r="N518" t="str">
        <f t="shared" si="61"/>
        <v>Tier 1</v>
      </c>
      <c r="O518">
        <f t="shared" si="62"/>
        <v>3</v>
      </c>
    </row>
    <row r="519" spans="1:15" x14ac:dyDescent="0.2">
      <c r="A519">
        <v>45</v>
      </c>
      <c r="B519" t="str" cm="1">
        <f t="array" ref="B519">_xlfn.IFS(A519&lt;=25,"18-25", A519&lt;=35,"26-35", A519&lt;=45,"36-45", A519&lt;=55,"46-55", A519&lt;=64,"56-64")</f>
        <v>36-45</v>
      </c>
      <c r="C519" t="s">
        <v>10</v>
      </c>
      <c r="D519">
        <v>30.495000000000001</v>
      </c>
      <c r="E519">
        <v>2</v>
      </c>
      <c r="F519" t="s">
        <v>11</v>
      </c>
      <c r="G519" t="s">
        <v>54</v>
      </c>
      <c r="H519" s="2">
        <v>8413.4630500000003</v>
      </c>
      <c r="I519" s="2">
        <f t="shared" si="56"/>
        <v>2804.4876833333333</v>
      </c>
      <c r="J519" t="str">
        <f t="shared" si="57"/>
        <v>Low</v>
      </c>
      <c r="K519" s="1">
        <f t="shared" si="58"/>
        <v>0.44800000000000001</v>
      </c>
      <c r="L519" t="str">
        <f t="shared" si="59"/>
        <v>Obese</v>
      </c>
      <c r="M519" t="str">
        <f t="shared" si="60"/>
        <v>Standard</v>
      </c>
      <c r="N519" t="str">
        <f t="shared" si="61"/>
        <v>Tier 4</v>
      </c>
      <c r="O519">
        <f t="shared" si="62"/>
        <v>2</v>
      </c>
    </row>
    <row r="520" spans="1:15" x14ac:dyDescent="0.2">
      <c r="A520">
        <v>35</v>
      </c>
      <c r="B520" t="str" cm="1">
        <f t="array" ref="B520">_xlfn.IFS(A520&lt;=25,"18-25", A520&lt;=35,"26-35", A520&lt;=45,"36-45", A520&lt;=55,"46-55", A520&lt;=64,"56-64")</f>
        <v>26-35</v>
      </c>
      <c r="C520" t="s">
        <v>7</v>
      </c>
      <c r="D520">
        <v>31</v>
      </c>
      <c r="E520">
        <v>1</v>
      </c>
      <c r="F520" t="s">
        <v>11</v>
      </c>
      <c r="G520" t="s">
        <v>52</v>
      </c>
      <c r="H520" s="2">
        <v>5240.7650000000003</v>
      </c>
      <c r="I520" s="2">
        <f t="shared" si="56"/>
        <v>2620.3825000000002</v>
      </c>
      <c r="J520" t="str">
        <f t="shared" si="57"/>
        <v>Low</v>
      </c>
      <c r="K520" s="1">
        <f t="shared" si="58"/>
        <v>0.27800000000000002</v>
      </c>
      <c r="L520" t="str">
        <f t="shared" si="59"/>
        <v>Obese</v>
      </c>
      <c r="M520" t="str">
        <f t="shared" si="60"/>
        <v>Standard</v>
      </c>
      <c r="N520" t="str">
        <f t="shared" si="61"/>
        <v>Tier 3</v>
      </c>
      <c r="O520">
        <f t="shared" si="62"/>
        <v>2</v>
      </c>
    </row>
    <row r="521" spans="1:15" x14ac:dyDescent="0.2">
      <c r="A521">
        <v>31</v>
      </c>
      <c r="B521" t="str" cm="1">
        <f t="array" ref="B521">_xlfn.IFS(A521&lt;=25,"18-25", A521&lt;=35,"26-35", A521&lt;=45,"36-45", A521&lt;=55,"46-55", A521&lt;=64,"56-64")</f>
        <v>26-35</v>
      </c>
      <c r="C521" t="s">
        <v>10</v>
      </c>
      <c r="D521">
        <v>30.875</v>
      </c>
      <c r="E521">
        <v>0</v>
      </c>
      <c r="F521" t="s">
        <v>11</v>
      </c>
      <c r="G521" t="s">
        <v>53</v>
      </c>
      <c r="H521" s="2">
        <v>3857.7592500000001</v>
      </c>
      <c r="I521" s="2">
        <f t="shared" si="56"/>
        <v>3857.7592500000001</v>
      </c>
      <c r="J521" t="str">
        <f t="shared" si="57"/>
        <v>Low</v>
      </c>
      <c r="K521" s="1">
        <f t="shared" si="58"/>
        <v>0.189</v>
      </c>
      <c r="L521" t="str">
        <f t="shared" si="59"/>
        <v>Obese</v>
      </c>
      <c r="M521" t="str">
        <f t="shared" si="60"/>
        <v>Standard</v>
      </c>
      <c r="N521" t="str">
        <f t="shared" si="61"/>
        <v>Tier 2</v>
      </c>
      <c r="O521">
        <f t="shared" si="62"/>
        <v>2</v>
      </c>
    </row>
    <row r="522" spans="1:15" x14ac:dyDescent="0.2">
      <c r="A522">
        <v>50</v>
      </c>
      <c r="B522" t="str" cm="1">
        <f t="array" ref="B522">_xlfn.IFS(A522&lt;=25,"18-25", A522&lt;=35,"26-35", A522&lt;=45,"36-45", A522&lt;=55,"46-55", A522&lt;=64,"56-64")</f>
        <v>46-55</v>
      </c>
      <c r="C522" t="s">
        <v>7</v>
      </c>
      <c r="D522">
        <v>27.36</v>
      </c>
      <c r="E522">
        <v>0</v>
      </c>
      <c r="F522" t="s">
        <v>11</v>
      </c>
      <c r="G522" t="s">
        <v>53</v>
      </c>
      <c r="H522" s="2">
        <v>25656.575260000001</v>
      </c>
      <c r="I522" s="2">
        <f t="shared" si="56"/>
        <v>25656.575260000001</v>
      </c>
      <c r="J522" t="str">
        <f t="shared" si="57"/>
        <v>High</v>
      </c>
      <c r="K522" s="1">
        <f t="shared" si="58"/>
        <v>0.85399999999999998</v>
      </c>
      <c r="L522" t="str">
        <f t="shared" si="59"/>
        <v>Overweight</v>
      </c>
      <c r="M522" t="str">
        <f t="shared" si="60"/>
        <v>Standard</v>
      </c>
      <c r="N522" t="str">
        <f t="shared" si="61"/>
        <v>Tier 2</v>
      </c>
      <c r="O522">
        <f t="shared" si="62"/>
        <v>1</v>
      </c>
    </row>
    <row r="523" spans="1:15" x14ac:dyDescent="0.2">
      <c r="A523">
        <v>32</v>
      </c>
      <c r="B523" t="str" cm="1">
        <f t="array" ref="B523">_xlfn.IFS(A523&lt;=25,"18-25", A523&lt;=35,"26-35", A523&lt;=45,"36-45", A523&lt;=55,"46-55", A523&lt;=64,"56-64")</f>
        <v>26-35</v>
      </c>
      <c r="C523" t="s">
        <v>7</v>
      </c>
      <c r="D523">
        <v>44.22</v>
      </c>
      <c r="E523">
        <v>0</v>
      </c>
      <c r="F523" t="s">
        <v>11</v>
      </c>
      <c r="G523" t="s">
        <v>51</v>
      </c>
      <c r="H523" s="2">
        <v>3994.1777999999999</v>
      </c>
      <c r="I523" s="2">
        <f t="shared" si="56"/>
        <v>3994.1777999999999</v>
      </c>
      <c r="J523" t="str">
        <f t="shared" si="57"/>
        <v>Low</v>
      </c>
      <c r="K523" s="1">
        <f t="shared" si="58"/>
        <v>0.2</v>
      </c>
      <c r="L523" t="str">
        <f t="shared" si="59"/>
        <v>Obese</v>
      </c>
      <c r="M523" t="str">
        <f t="shared" si="60"/>
        <v>Standard</v>
      </c>
      <c r="N523" t="str">
        <f t="shared" si="61"/>
        <v>Tier 1</v>
      </c>
      <c r="O523">
        <f t="shared" si="62"/>
        <v>3</v>
      </c>
    </row>
    <row r="524" spans="1:15" x14ac:dyDescent="0.2">
      <c r="A524">
        <v>51</v>
      </c>
      <c r="B524" t="str" cm="1">
        <f t="array" ref="B524">_xlfn.IFS(A524&lt;=25,"18-25", A524&lt;=35,"26-35", A524&lt;=45,"36-45", A524&lt;=55,"46-55", A524&lt;=64,"56-64")</f>
        <v>46-55</v>
      </c>
      <c r="C524" t="s">
        <v>7</v>
      </c>
      <c r="D524">
        <v>33.914999999999999</v>
      </c>
      <c r="E524">
        <v>0</v>
      </c>
      <c r="F524" t="s">
        <v>11</v>
      </c>
      <c r="G524" t="s">
        <v>53</v>
      </c>
      <c r="H524" s="2">
        <v>9866.3048500000004</v>
      </c>
      <c r="I524" s="2">
        <f t="shared" si="56"/>
        <v>9866.3048500000004</v>
      </c>
      <c r="J524" t="str">
        <f t="shared" si="57"/>
        <v>Low</v>
      </c>
      <c r="K524" s="1">
        <f t="shared" si="58"/>
        <v>0.52500000000000002</v>
      </c>
      <c r="L524" t="str">
        <f t="shared" si="59"/>
        <v>Obese</v>
      </c>
      <c r="M524" t="str">
        <f t="shared" si="60"/>
        <v>Standard</v>
      </c>
      <c r="N524" t="str">
        <f t="shared" si="61"/>
        <v>Tier 2</v>
      </c>
      <c r="O524">
        <f t="shared" si="62"/>
        <v>2</v>
      </c>
    </row>
    <row r="525" spans="1:15" x14ac:dyDescent="0.2">
      <c r="A525">
        <v>38</v>
      </c>
      <c r="B525" t="str" cm="1">
        <f t="array" ref="B525">_xlfn.IFS(A525&lt;=25,"18-25", A525&lt;=35,"26-35", A525&lt;=45,"36-45", A525&lt;=55,"46-55", A525&lt;=64,"56-64")</f>
        <v>36-45</v>
      </c>
      <c r="C525" t="s">
        <v>7</v>
      </c>
      <c r="D525">
        <v>37.729999999999997</v>
      </c>
      <c r="E525">
        <v>0</v>
      </c>
      <c r="F525" t="s">
        <v>11</v>
      </c>
      <c r="G525" t="s">
        <v>51</v>
      </c>
      <c r="H525" s="2">
        <v>5397.6166999999996</v>
      </c>
      <c r="I525" s="2">
        <f t="shared" si="56"/>
        <v>5397.6166999999996</v>
      </c>
      <c r="J525" t="str">
        <f t="shared" si="57"/>
        <v>Low</v>
      </c>
      <c r="K525" s="1">
        <f t="shared" si="58"/>
        <v>0.29199999999999998</v>
      </c>
      <c r="L525" t="str">
        <f t="shared" si="59"/>
        <v>Obese</v>
      </c>
      <c r="M525" t="str">
        <f t="shared" si="60"/>
        <v>Standard</v>
      </c>
      <c r="N525" t="str">
        <f t="shared" si="61"/>
        <v>Tier 1</v>
      </c>
      <c r="O525">
        <f t="shared" si="62"/>
        <v>3</v>
      </c>
    </row>
    <row r="526" spans="1:15" x14ac:dyDescent="0.2">
      <c r="A526">
        <v>42</v>
      </c>
      <c r="B526" t="str" cm="1">
        <f t="array" ref="B526">_xlfn.IFS(A526&lt;=25,"18-25", A526&lt;=35,"26-35", A526&lt;=45,"36-45", A526&lt;=55,"46-55", A526&lt;=64,"56-64")</f>
        <v>36-45</v>
      </c>
      <c r="C526" t="s">
        <v>10</v>
      </c>
      <c r="D526">
        <v>26.07</v>
      </c>
      <c r="E526">
        <v>1</v>
      </c>
      <c r="F526" t="s">
        <v>8</v>
      </c>
      <c r="G526" t="s">
        <v>51</v>
      </c>
      <c r="H526" s="2">
        <v>38245.593269999998</v>
      </c>
      <c r="I526" s="2">
        <f t="shared" si="56"/>
        <v>19122.796634999999</v>
      </c>
      <c r="J526" t="str">
        <f t="shared" si="57"/>
        <v>High</v>
      </c>
      <c r="K526" s="1">
        <f t="shared" si="58"/>
        <v>0.92400000000000004</v>
      </c>
      <c r="L526" t="str">
        <f t="shared" si="59"/>
        <v>Overweight</v>
      </c>
      <c r="M526" t="str">
        <f t="shared" si="60"/>
        <v>High Risk</v>
      </c>
      <c r="N526" t="str">
        <f t="shared" si="61"/>
        <v>Tier 1</v>
      </c>
      <c r="O526">
        <f t="shared" si="62"/>
        <v>5</v>
      </c>
    </row>
    <row r="527" spans="1:15" x14ac:dyDescent="0.2">
      <c r="A527">
        <v>18</v>
      </c>
      <c r="B527" t="str" cm="1">
        <f t="array" ref="B527">_xlfn.IFS(A527&lt;=25,"18-25", A527&lt;=35,"26-35", A527&lt;=45,"36-45", A527&lt;=55,"46-55", A527&lt;=64,"56-64")</f>
        <v>18-25</v>
      </c>
      <c r="C527" t="s">
        <v>7</v>
      </c>
      <c r="D527">
        <v>33.880000000000003</v>
      </c>
      <c r="E527">
        <v>0</v>
      </c>
      <c r="F527" t="s">
        <v>11</v>
      </c>
      <c r="G527" t="s">
        <v>51</v>
      </c>
      <c r="H527" s="2">
        <v>11482.63485</v>
      </c>
      <c r="I527" s="2">
        <f t="shared" si="56"/>
        <v>11482.63485</v>
      </c>
      <c r="J527" t="str">
        <f t="shared" si="57"/>
        <v>Low</v>
      </c>
      <c r="K527" s="1">
        <f t="shared" si="58"/>
        <v>0.60299999999999998</v>
      </c>
      <c r="L527" t="str">
        <f t="shared" si="59"/>
        <v>Obese</v>
      </c>
      <c r="M527" t="str">
        <f t="shared" si="60"/>
        <v>Standard</v>
      </c>
      <c r="N527" t="str">
        <f t="shared" si="61"/>
        <v>Tier 1</v>
      </c>
      <c r="O527">
        <f t="shared" si="62"/>
        <v>3</v>
      </c>
    </row>
    <row r="528" spans="1:15" x14ac:dyDescent="0.2">
      <c r="A528">
        <v>19</v>
      </c>
      <c r="B528" t="str" cm="1">
        <f t="array" ref="B528">_xlfn.IFS(A528&lt;=25,"18-25", A528&lt;=35,"26-35", A528&lt;=45,"36-45", A528&lt;=55,"46-55", A528&lt;=64,"56-64")</f>
        <v>18-25</v>
      </c>
      <c r="C528" t="s">
        <v>7</v>
      </c>
      <c r="D528">
        <v>30.59</v>
      </c>
      <c r="E528">
        <v>2</v>
      </c>
      <c r="F528" t="s">
        <v>11</v>
      </c>
      <c r="G528" t="s">
        <v>54</v>
      </c>
      <c r="H528" s="2">
        <v>24059.680189999999</v>
      </c>
      <c r="I528" s="2">
        <f t="shared" si="56"/>
        <v>8019.8933966666664</v>
      </c>
      <c r="J528" t="str">
        <f t="shared" si="57"/>
        <v>High</v>
      </c>
      <c r="K528" s="1">
        <f t="shared" si="58"/>
        <v>0.83799999999999997</v>
      </c>
      <c r="L528" t="str">
        <f t="shared" si="59"/>
        <v>Obese</v>
      </c>
      <c r="M528" t="str">
        <f t="shared" si="60"/>
        <v>Standard</v>
      </c>
      <c r="N528" t="str">
        <f t="shared" si="61"/>
        <v>Tier 4</v>
      </c>
      <c r="O528">
        <f t="shared" si="62"/>
        <v>2</v>
      </c>
    </row>
    <row r="529" spans="1:15" x14ac:dyDescent="0.2">
      <c r="A529">
        <v>51</v>
      </c>
      <c r="B529" t="str" cm="1">
        <f t="array" ref="B529">_xlfn.IFS(A529&lt;=25,"18-25", A529&lt;=35,"26-35", A529&lt;=45,"36-45", A529&lt;=55,"46-55", A529&lt;=64,"56-64")</f>
        <v>46-55</v>
      </c>
      <c r="C529" t="s">
        <v>7</v>
      </c>
      <c r="D529">
        <v>25.8</v>
      </c>
      <c r="E529">
        <v>1</v>
      </c>
      <c r="F529" t="s">
        <v>11</v>
      </c>
      <c r="G529" t="s">
        <v>52</v>
      </c>
      <c r="H529" s="2">
        <v>9861.0249999999996</v>
      </c>
      <c r="I529" s="2">
        <f t="shared" si="56"/>
        <v>4930.5124999999998</v>
      </c>
      <c r="J529" t="str">
        <f t="shared" si="57"/>
        <v>Low</v>
      </c>
      <c r="K529" s="1">
        <f t="shared" si="58"/>
        <v>0.52300000000000002</v>
      </c>
      <c r="L529" t="str">
        <f t="shared" si="59"/>
        <v>Overweight</v>
      </c>
      <c r="M529" t="str">
        <f t="shared" si="60"/>
        <v>Standard</v>
      </c>
      <c r="N529" t="str">
        <f t="shared" si="61"/>
        <v>Tier 3</v>
      </c>
      <c r="O529">
        <f t="shared" si="62"/>
        <v>1</v>
      </c>
    </row>
    <row r="530" spans="1:15" x14ac:dyDescent="0.2">
      <c r="A530">
        <v>46</v>
      </c>
      <c r="B530" t="str" cm="1">
        <f t="array" ref="B530">_xlfn.IFS(A530&lt;=25,"18-25", A530&lt;=35,"26-35", A530&lt;=45,"36-45", A530&lt;=55,"46-55", A530&lt;=64,"56-64")</f>
        <v>46-55</v>
      </c>
      <c r="C530" t="s">
        <v>10</v>
      </c>
      <c r="D530">
        <v>39.424999999999997</v>
      </c>
      <c r="E530">
        <v>1</v>
      </c>
      <c r="F530" t="s">
        <v>11</v>
      </c>
      <c r="G530" t="s">
        <v>53</v>
      </c>
      <c r="H530" s="2">
        <v>8342.9087500000005</v>
      </c>
      <c r="I530" s="2">
        <f t="shared" si="56"/>
        <v>4171.4543750000003</v>
      </c>
      <c r="J530" t="str">
        <f t="shared" si="57"/>
        <v>Low</v>
      </c>
      <c r="K530" s="1">
        <f t="shared" si="58"/>
        <v>0.44600000000000001</v>
      </c>
      <c r="L530" t="str">
        <f t="shared" si="59"/>
        <v>Obese</v>
      </c>
      <c r="M530" t="str">
        <f t="shared" si="60"/>
        <v>Standard</v>
      </c>
      <c r="N530" t="str">
        <f t="shared" si="61"/>
        <v>Tier 2</v>
      </c>
      <c r="O530">
        <f t="shared" si="62"/>
        <v>2</v>
      </c>
    </row>
    <row r="531" spans="1:15" x14ac:dyDescent="0.2">
      <c r="A531">
        <v>18</v>
      </c>
      <c r="B531" t="str" cm="1">
        <f t="array" ref="B531">_xlfn.IFS(A531&lt;=25,"18-25", A531&lt;=35,"26-35", A531&lt;=45,"36-45", A531&lt;=55,"46-55", A531&lt;=64,"56-64")</f>
        <v>18-25</v>
      </c>
      <c r="C531" t="s">
        <v>10</v>
      </c>
      <c r="D531">
        <v>25.46</v>
      </c>
      <c r="E531">
        <v>0</v>
      </c>
      <c r="F531" t="s">
        <v>11</v>
      </c>
      <c r="G531" t="s">
        <v>53</v>
      </c>
      <c r="H531" s="2">
        <v>1708.0014000000001</v>
      </c>
      <c r="I531" s="2">
        <f t="shared" si="56"/>
        <v>1708.0014000000001</v>
      </c>
      <c r="J531" t="str">
        <f t="shared" si="57"/>
        <v>Low</v>
      </c>
      <c r="K531" s="1">
        <f t="shared" si="58"/>
        <v>3.7999999999999999E-2</v>
      </c>
      <c r="L531" t="str">
        <f t="shared" si="59"/>
        <v>Overweight</v>
      </c>
      <c r="M531" t="str">
        <f t="shared" si="60"/>
        <v>Standard</v>
      </c>
      <c r="N531" t="str">
        <f t="shared" si="61"/>
        <v>Tier 2</v>
      </c>
      <c r="O531">
        <f t="shared" si="62"/>
        <v>1</v>
      </c>
    </row>
    <row r="532" spans="1:15" x14ac:dyDescent="0.2">
      <c r="A532">
        <v>57</v>
      </c>
      <c r="B532" t="str" cm="1">
        <f t="array" ref="B532">_xlfn.IFS(A532&lt;=25,"18-25", A532&lt;=35,"26-35", A532&lt;=45,"36-45", A532&lt;=55,"46-55", A532&lt;=64,"56-64")</f>
        <v>56-64</v>
      </c>
      <c r="C532" t="s">
        <v>10</v>
      </c>
      <c r="D532">
        <v>42.13</v>
      </c>
      <c r="E532">
        <v>1</v>
      </c>
      <c r="F532" t="s">
        <v>8</v>
      </c>
      <c r="G532" t="s">
        <v>51</v>
      </c>
      <c r="H532" s="2">
        <v>48675.517699999997</v>
      </c>
      <c r="I532" s="2">
        <f t="shared" si="56"/>
        <v>24337.758849999998</v>
      </c>
      <c r="J532" t="str">
        <f t="shared" si="57"/>
        <v>High</v>
      </c>
      <c r="K532" s="1">
        <f t="shared" si="58"/>
        <v>0.99099999999999999</v>
      </c>
      <c r="L532" t="str">
        <f t="shared" si="59"/>
        <v>Obese</v>
      </c>
      <c r="M532" t="str">
        <f t="shared" si="60"/>
        <v>High Risk</v>
      </c>
      <c r="N532" t="str">
        <f t="shared" si="61"/>
        <v>Tier 1</v>
      </c>
      <c r="O532">
        <f t="shared" si="62"/>
        <v>6</v>
      </c>
    </row>
    <row r="533" spans="1:15" x14ac:dyDescent="0.2">
      <c r="A533">
        <v>62</v>
      </c>
      <c r="B533" t="str" cm="1">
        <f t="array" ref="B533">_xlfn.IFS(A533&lt;=25,"18-25", A533&lt;=35,"26-35", A533&lt;=45,"36-45", A533&lt;=55,"46-55", A533&lt;=64,"56-64")</f>
        <v>56-64</v>
      </c>
      <c r="C533" t="s">
        <v>7</v>
      </c>
      <c r="D533">
        <v>31.73</v>
      </c>
      <c r="E533">
        <v>0</v>
      </c>
      <c r="F533" t="s">
        <v>11</v>
      </c>
      <c r="G533" t="s">
        <v>53</v>
      </c>
      <c r="H533" s="2">
        <v>14043.476699999999</v>
      </c>
      <c r="I533" s="2">
        <f t="shared" si="56"/>
        <v>14043.476699999999</v>
      </c>
      <c r="J533" t="str">
        <f t="shared" si="57"/>
        <v>High</v>
      </c>
      <c r="K533" s="1">
        <f t="shared" si="58"/>
        <v>0.71099999999999997</v>
      </c>
      <c r="L533" t="str">
        <f t="shared" si="59"/>
        <v>Obese</v>
      </c>
      <c r="M533" t="str">
        <f t="shared" si="60"/>
        <v>Standard</v>
      </c>
      <c r="N533" t="str">
        <f t="shared" si="61"/>
        <v>Tier 2</v>
      </c>
      <c r="O533">
        <f t="shared" si="62"/>
        <v>2</v>
      </c>
    </row>
    <row r="534" spans="1:15" x14ac:dyDescent="0.2">
      <c r="A534">
        <v>59</v>
      </c>
      <c r="B534" t="str" cm="1">
        <f t="array" ref="B534">_xlfn.IFS(A534&lt;=25,"18-25", A534&lt;=35,"26-35", A534&lt;=45,"36-45", A534&lt;=55,"46-55", A534&lt;=64,"56-64")</f>
        <v>56-64</v>
      </c>
      <c r="C534" t="s">
        <v>10</v>
      </c>
      <c r="D534">
        <v>29.7</v>
      </c>
      <c r="E534">
        <v>2</v>
      </c>
      <c r="F534" t="s">
        <v>11</v>
      </c>
      <c r="G534" t="s">
        <v>51</v>
      </c>
      <c r="H534" s="2">
        <v>12925.886</v>
      </c>
      <c r="I534" s="2">
        <f t="shared" si="56"/>
        <v>4308.6286666666665</v>
      </c>
      <c r="J534" t="str">
        <f t="shared" si="57"/>
        <v>Low</v>
      </c>
      <c r="K534" s="1">
        <f t="shared" si="58"/>
        <v>0.66900000000000004</v>
      </c>
      <c r="L534" t="str">
        <f t="shared" si="59"/>
        <v>Overweight</v>
      </c>
      <c r="M534" t="str">
        <f t="shared" si="60"/>
        <v>Standard</v>
      </c>
      <c r="N534" t="str">
        <f t="shared" si="61"/>
        <v>Tier 1</v>
      </c>
      <c r="O534">
        <f t="shared" si="62"/>
        <v>2</v>
      </c>
    </row>
    <row r="535" spans="1:15" x14ac:dyDescent="0.2">
      <c r="A535">
        <v>37</v>
      </c>
      <c r="B535" t="str" cm="1">
        <f t="array" ref="B535">_xlfn.IFS(A535&lt;=25,"18-25", A535&lt;=35,"26-35", A535&lt;=45,"36-45", A535&lt;=55,"46-55", A535&lt;=64,"56-64")</f>
        <v>36-45</v>
      </c>
      <c r="C535" t="s">
        <v>10</v>
      </c>
      <c r="D535">
        <v>36.19</v>
      </c>
      <c r="E535">
        <v>0</v>
      </c>
      <c r="F535" t="s">
        <v>11</v>
      </c>
      <c r="G535" t="s">
        <v>51</v>
      </c>
      <c r="H535" s="2">
        <v>19214.705529999999</v>
      </c>
      <c r="I535" s="2">
        <f t="shared" si="56"/>
        <v>19214.705529999999</v>
      </c>
      <c r="J535" t="str">
        <f t="shared" si="57"/>
        <v>High</v>
      </c>
      <c r="K535" s="1">
        <f t="shared" si="58"/>
        <v>0.78400000000000003</v>
      </c>
      <c r="L535" t="str">
        <f t="shared" si="59"/>
        <v>Obese</v>
      </c>
      <c r="M535" t="str">
        <f t="shared" si="60"/>
        <v>Standard</v>
      </c>
      <c r="N535" t="str">
        <f t="shared" si="61"/>
        <v>Tier 1</v>
      </c>
      <c r="O535">
        <f t="shared" si="62"/>
        <v>3</v>
      </c>
    </row>
    <row r="536" spans="1:15" x14ac:dyDescent="0.2">
      <c r="A536">
        <v>64</v>
      </c>
      <c r="B536" t="str" cm="1">
        <f t="array" ref="B536">_xlfn.IFS(A536&lt;=25,"18-25", A536&lt;=35,"26-35", A536&lt;=45,"36-45", A536&lt;=55,"46-55", A536&lt;=64,"56-64")</f>
        <v>56-64</v>
      </c>
      <c r="C536" t="s">
        <v>10</v>
      </c>
      <c r="D536">
        <v>40.479999999999997</v>
      </c>
      <c r="E536">
        <v>0</v>
      </c>
      <c r="F536" t="s">
        <v>11</v>
      </c>
      <c r="G536" t="s">
        <v>51</v>
      </c>
      <c r="H536" s="2">
        <v>13831.1152</v>
      </c>
      <c r="I536" s="2">
        <f t="shared" si="56"/>
        <v>13831.1152</v>
      </c>
      <c r="J536" t="str">
        <f t="shared" si="57"/>
        <v>High</v>
      </c>
      <c r="K536" s="1">
        <f t="shared" si="58"/>
        <v>0.70099999999999996</v>
      </c>
      <c r="L536" t="str">
        <f t="shared" si="59"/>
        <v>Obese</v>
      </c>
      <c r="M536" t="str">
        <f t="shared" si="60"/>
        <v>Standard</v>
      </c>
      <c r="N536" t="str">
        <f t="shared" si="61"/>
        <v>Tier 1</v>
      </c>
      <c r="O536">
        <f t="shared" si="62"/>
        <v>3</v>
      </c>
    </row>
    <row r="537" spans="1:15" x14ac:dyDescent="0.2">
      <c r="A537">
        <v>38</v>
      </c>
      <c r="B537" t="str" cm="1">
        <f t="array" ref="B537">_xlfn.IFS(A537&lt;=25,"18-25", A537&lt;=35,"26-35", A537&lt;=45,"36-45", A537&lt;=55,"46-55", A537&lt;=64,"56-64")</f>
        <v>36-45</v>
      </c>
      <c r="C537" t="s">
        <v>10</v>
      </c>
      <c r="D537">
        <v>28.024999999999999</v>
      </c>
      <c r="E537">
        <v>1</v>
      </c>
      <c r="F537" t="s">
        <v>11</v>
      </c>
      <c r="G537" t="s">
        <v>53</v>
      </c>
      <c r="H537" s="2">
        <v>6067.1267500000004</v>
      </c>
      <c r="I537" s="2">
        <f t="shared" si="56"/>
        <v>3033.5633750000002</v>
      </c>
      <c r="J537" t="str">
        <f t="shared" si="57"/>
        <v>Low</v>
      </c>
      <c r="K537" s="1">
        <f t="shared" si="58"/>
        <v>0.32100000000000001</v>
      </c>
      <c r="L537" t="str">
        <f t="shared" si="59"/>
        <v>Overweight</v>
      </c>
      <c r="M537" t="str">
        <f t="shared" si="60"/>
        <v>Standard</v>
      </c>
      <c r="N537" t="str">
        <f t="shared" si="61"/>
        <v>Tier 2</v>
      </c>
      <c r="O537">
        <f t="shared" si="62"/>
        <v>1</v>
      </c>
    </row>
    <row r="538" spans="1:15" x14ac:dyDescent="0.2">
      <c r="A538">
        <v>33</v>
      </c>
      <c r="B538" t="str" cm="1">
        <f t="array" ref="B538">_xlfn.IFS(A538&lt;=25,"18-25", A538&lt;=35,"26-35", A538&lt;=45,"36-45", A538&lt;=55,"46-55", A538&lt;=64,"56-64")</f>
        <v>26-35</v>
      </c>
      <c r="C538" t="s">
        <v>7</v>
      </c>
      <c r="D538">
        <v>38.9</v>
      </c>
      <c r="E538">
        <v>3</v>
      </c>
      <c r="F538" t="s">
        <v>11</v>
      </c>
      <c r="G538" t="s">
        <v>52</v>
      </c>
      <c r="H538" s="2">
        <v>5972.3779999999997</v>
      </c>
      <c r="I538" s="2">
        <f t="shared" si="56"/>
        <v>1493.0944999999999</v>
      </c>
      <c r="J538" t="str">
        <f t="shared" si="57"/>
        <v>Low</v>
      </c>
      <c r="K538" s="1">
        <f t="shared" si="58"/>
        <v>0.317</v>
      </c>
      <c r="L538" t="str">
        <f t="shared" si="59"/>
        <v>Obese</v>
      </c>
      <c r="M538" t="str">
        <f t="shared" si="60"/>
        <v>Standard</v>
      </c>
      <c r="N538" t="str">
        <f t="shared" si="61"/>
        <v>Tier 3</v>
      </c>
      <c r="O538">
        <f t="shared" si="62"/>
        <v>2</v>
      </c>
    </row>
    <row r="539" spans="1:15" x14ac:dyDescent="0.2">
      <c r="A539">
        <v>46</v>
      </c>
      <c r="B539" t="str" cm="1">
        <f t="array" ref="B539">_xlfn.IFS(A539&lt;=25,"18-25", A539&lt;=35,"26-35", A539&lt;=45,"36-45", A539&lt;=55,"46-55", A539&lt;=64,"56-64")</f>
        <v>46-55</v>
      </c>
      <c r="C539" t="s">
        <v>7</v>
      </c>
      <c r="D539">
        <v>30.2</v>
      </c>
      <c r="E539">
        <v>2</v>
      </c>
      <c r="F539" t="s">
        <v>11</v>
      </c>
      <c r="G539" t="s">
        <v>52</v>
      </c>
      <c r="H539" s="2">
        <v>8825.0859999999993</v>
      </c>
      <c r="I539" s="2">
        <f t="shared" si="56"/>
        <v>2941.6953333333331</v>
      </c>
      <c r="J539" t="str">
        <f t="shared" si="57"/>
        <v>Low</v>
      </c>
      <c r="K539" s="1">
        <f t="shared" si="58"/>
        <v>0.47399999999999998</v>
      </c>
      <c r="L539" t="str">
        <f t="shared" si="59"/>
        <v>Obese</v>
      </c>
      <c r="M539" t="str">
        <f t="shared" si="60"/>
        <v>Standard</v>
      </c>
      <c r="N539" t="str">
        <f t="shared" si="61"/>
        <v>Tier 3</v>
      </c>
      <c r="O539">
        <f t="shared" si="62"/>
        <v>2</v>
      </c>
    </row>
    <row r="540" spans="1:15" x14ac:dyDescent="0.2">
      <c r="A540">
        <v>46</v>
      </c>
      <c r="B540" t="str" cm="1">
        <f t="array" ref="B540">_xlfn.IFS(A540&lt;=25,"18-25", A540&lt;=35,"26-35", A540&lt;=45,"36-45", A540&lt;=55,"46-55", A540&lt;=64,"56-64")</f>
        <v>46-55</v>
      </c>
      <c r="C540" t="s">
        <v>7</v>
      </c>
      <c r="D540">
        <v>28.05</v>
      </c>
      <c r="E540">
        <v>1</v>
      </c>
      <c r="F540" t="s">
        <v>11</v>
      </c>
      <c r="G540" t="s">
        <v>51</v>
      </c>
      <c r="H540" s="2">
        <v>8233.0974999999999</v>
      </c>
      <c r="I540" s="2">
        <f t="shared" si="56"/>
        <v>4116.5487499999999</v>
      </c>
      <c r="J540" t="str">
        <f t="shared" si="57"/>
        <v>Low</v>
      </c>
      <c r="K540" s="1">
        <f t="shared" si="58"/>
        <v>0.438</v>
      </c>
      <c r="L540" t="str">
        <f t="shared" si="59"/>
        <v>Overweight</v>
      </c>
      <c r="M540" t="str">
        <f t="shared" si="60"/>
        <v>Standard</v>
      </c>
      <c r="N540" t="str">
        <f t="shared" si="61"/>
        <v>Tier 1</v>
      </c>
      <c r="O540">
        <f t="shared" si="62"/>
        <v>2</v>
      </c>
    </row>
    <row r="541" spans="1:15" x14ac:dyDescent="0.2">
      <c r="A541">
        <v>53</v>
      </c>
      <c r="B541" t="str" cm="1">
        <f t="array" ref="B541">_xlfn.IFS(A541&lt;=25,"18-25", A541&lt;=35,"26-35", A541&lt;=45,"36-45", A541&lt;=55,"46-55", A541&lt;=64,"56-64")</f>
        <v>46-55</v>
      </c>
      <c r="C541" t="s">
        <v>10</v>
      </c>
      <c r="D541">
        <v>31.35</v>
      </c>
      <c r="E541">
        <v>0</v>
      </c>
      <c r="F541" t="s">
        <v>11</v>
      </c>
      <c r="G541" t="s">
        <v>51</v>
      </c>
      <c r="H541" s="2">
        <v>27346.04207</v>
      </c>
      <c r="I541" s="2">
        <f t="shared" si="56"/>
        <v>27346.04207</v>
      </c>
      <c r="J541" t="str">
        <f t="shared" si="57"/>
        <v>High</v>
      </c>
      <c r="K541" s="1">
        <f t="shared" si="58"/>
        <v>0.86599999999999999</v>
      </c>
      <c r="L541" t="str">
        <f t="shared" si="59"/>
        <v>Obese</v>
      </c>
      <c r="M541" t="str">
        <f t="shared" si="60"/>
        <v>Standard</v>
      </c>
      <c r="N541" t="str">
        <f t="shared" si="61"/>
        <v>Tier 1</v>
      </c>
      <c r="O541">
        <f t="shared" si="62"/>
        <v>3</v>
      </c>
    </row>
    <row r="542" spans="1:15" x14ac:dyDescent="0.2">
      <c r="A542">
        <v>34</v>
      </c>
      <c r="B542" t="str" cm="1">
        <f t="array" ref="B542">_xlfn.IFS(A542&lt;=25,"18-25", A542&lt;=35,"26-35", A542&lt;=45,"36-45", A542&lt;=55,"46-55", A542&lt;=64,"56-64")</f>
        <v>26-35</v>
      </c>
      <c r="C542" t="s">
        <v>7</v>
      </c>
      <c r="D542">
        <v>38</v>
      </c>
      <c r="E542">
        <v>3</v>
      </c>
      <c r="F542" t="s">
        <v>11</v>
      </c>
      <c r="G542" t="s">
        <v>52</v>
      </c>
      <c r="H542" s="2">
        <v>6196.4480000000003</v>
      </c>
      <c r="I542" s="2">
        <f t="shared" si="56"/>
        <v>1549.1120000000001</v>
      </c>
      <c r="J542" t="str">
        <f t="shared" si="57"/>
        <v>Low</v>
      </c>
      <c r="K542" s="1">
        <f t="shared" si="58"/>
        <v>0.32900000000000001</v>
      </c>
      <c r="L542" t="str">
        <f t="shared" si="59"/>
        <v>Obese</v>
      </c>
      <c r="M542" t="str">
        <f t="shared" si="60"/>
        <v>Standard</v>
      </c>
      <c r="N542" t="str">
        <f t="shared" si="61"/>
        <v>Tier 3</v>
      </c>
      <c r="O542">
        <f t="shared" si="62"/>
        <v>2</v>
      </c>
    </row>
    <row r="543" spans="1:15" x14ac:dyDescent="0.2">
      <c r="A543">
        <v>20</v>
      </c>
      <c r="B543" t="str" cm="1">
        <f t="array" ref="B543">_xlfn.IFS(A543&lt;=25,"18-25", A543&lt;=35,"26-35", A543&lt;=45,"36-45", A543&lt;=55,"46-55", A543&lt;=64,"56-64")</f>
        <v>18-25</v>
      </c>
      <c r="C543" t="s">
        <v>7</v>
      </c>
      <c r="D543">
        <v>31.79</v>
      </c>
      <c r="E543">
        <v>2</v>
      </c>
      <c r="F543" t="s">
        <v>11</v>
      </c>
      <c r="G543" t="s">
        <v>51</v>
      </c>
      <c r="H543" s="2">
        <v>3056.3881000000001</v>
      </c>
      <c r="I543" s="2">
        <f t="shared" si="56"/>
        <v>1018.7960333333334</v>
      </c>
      <c r="J543" t="str">
        <f t="shared" si="57"/>
        <v>Low</v>
      </c>
      <c r="K543" s="1">
        <f t="shared" si="58"/>
        <v>0.14499999999999999</v>
      </c>
      <c r="L543" t="str">
        <f t="shared" si="59"/>
        <v>Obese</v>
      </c>
      <c r="M543" t="str">
        <f t="shared" si="60"/>
        <v>Standard</v>
      </c>
      <c r="N543" t="str">
        <f t="shared" si="61"/>
        <v>Tier 1</v>
      </c>
      <c r="O543">
        <f t="shared" si="62"/>
        <v>3</v>
      </c>
    </row>
    <row r="544" spans="1:15" x14ac:dyDescent="0.2">
      <c r="A544">
        <v>63</v>
      </c>
      <c r="B544" t="str" cm="1">
        <f t="array" ref="B544">_xlfn.IFS(A544&lt;=25,"18-25", A544&lt;=35,"26-35", A544&lt;=45,"36-45", A544&lt;=55,"46-55", A544&lt;=64,"56-64")</f>
        <v>56-64</v>
      </c>
      <c r="C544" t="s">
        <v>7</v>
      </c>
      <c r="D544">
        <v>36.299999999999997</v>
      </c>
      <c r="E544">
        <v>0</v>
      </c>
      <c r="F544" t="s">
        <v>11</v>
      </c>
      <c r="G544" t="s">
        <v>51</v>
      </c>
      <c r="H544" s="2">
        <v>13887.204</v>
      </c>
      <c r="I544" s="2">
        <f t="shared" si="56"/>
        <v>13887.204</v>
      </c>
      <c r="J544" t="str">
        <f t="shared" si="57"/>
        <v>High</v>
      </c>
      <c r="K544" s="1">
        <f t="shared" si="58"/>
        <v>0.70399999999999996</v>
      </c>
      <c r="L544" t="str">
        <f t="shared" si="59"/>
        <v>Obese</v>
      </c>
      <c r="M544" t="str">
        <f t="shared" si="60"/>
        <v>Standard</v>
      </c>
      <c r="N544" t="str">
        <f t="shared" si="61"/>
        <v>Tier 1</v>
      </c>
      <c r="O544">
        <f t="shared" si="62"/>
        <v>3</v>
      </c>
    </row>
    <row r="545" spans="1:15" x14ac:dyDescent="0.2">
      <c r="A545">
        <v>54</v>
      </c>
      <c r="B545" t="str" cm="1">
        <f t="array" ref="B545">_xlfn.IFS(A545&lt;=25,"18-25", A545&lt;=35,"26-35", A545&lt;=45,"36-45", A545&lt;=55,"46-55", A545&lt;=64,"56-64")</f>
        <v>46-55</v>
      </c>
      <c r="C545" t="s">
        <v>7</v>
      </c>
      <c r="D545">
        <v>47.41</v>
      </c>
      <c r="E545">
        <v>0</v>
      </c>
      <c r="F545" t="s">
        <v>8</v>
      </c>
      <c r="G545" t="s">
        <v>51</v>
      </c>
      <c r="H545" s="2">
        <v>63770.428010000003</v>
      </c>
      <c r="I545" s="2">
        <f t="shared" si="56"/>
        <v>63770.428010000003</v>
      </c>
      <c r="J545" t="str">
        <f t="shared" si="57"/>
        <v>High</v>
      </c>
      <c r="K545" s="1">
        <f t="shared" si="58"/>
        <v>1</v>
      </c>
      <c r="L545" t="str">
        <f t="shared" si="59"/>
        <v>Obese</v>
      </c>
      <c r="M545" t="str">
        <f t="shared" si="60"/>
        <v>High Risk</v>
      </c>
      <c r="N545" t="str">
        <f t="shared" si="61"/>
        <v>Tier 1</v>
      </c>
      <c r="O545">
        <f t="shared" si="62"/>
        <v>6</v>
      </c>
    </row>
    <row r="546" spans="1:15" x14ac:dyDescent="0.2">
      <c r="A546">
        <v>54</v>
      </c>
      <c r="B546" t="str" cm="1">
        <f t="array" ref="B546">_xlfn.IFS(A546&lt;=25,"18-25", A546&lt;=35,"26-35", A546&lt;=45,"36-45", A546&lt;=55,"46-55", A546&lt;=64,"56-64")</f>
        <v>46-55</v>
      </c>
      <c r="C546" t="s">
        <v>10</v>
      </c>
      <c r="D546">
        <v>30.21</v>
      </c>
      <c r="E546">
        <v>0</v>
      </c>
      <c r="F546" t="s">
        <v>11</v>
      </c>
      <c r="G546" t="s">
        <v>54</v>
      </c>
      <c r="H546" s="2">
        <v>10231.499900000001</v>
      </c>
      <c r="I546" s="2">
        <f t="shared" si="56"/>
        <v>10231.499900000001</v>
      </c>
      <c r="J546" t="str">
        <f t="shared" si="57"/>
        <v>Low</v>
      </c>
      <c r="K546" s="1">
        <f t="shared" si="58"/>
        <v>0.54300000000000004</v>
      </c>
      <c r="L546" t="str">
        <f t="shared" si="59"/>
        <v>Obese</v>
      </c>
      <c r="M546" t="str">
        <f t="shared" si="60"/>
        <v>Standard</v>
      </c>
      <c r="N546" t="str">
        <f t="shared" si="61"/>
        <v>Tier 4</v>
      </c>
      <c r="O546">
        <f t="shared" si="62"/>
        <v>2</v>
      </c>
    </row>
    <row r="547" spans="1:15" x14ac:dyDescent="0.2">
      <c r="A547">
        <v>49</v>
      </c>
      <c r="B547" t="str" cm="1">
        <f t="array" ref="B547">_xlfn.IFS(A547&lt;=25,"18-25", A547&lt;=35,"26-35", A547&lt;=45,"36-45", A547&lt;=55,"46-55", A547&lt;=64,"56-64")</f>
        <v>46-55</v>
      </c>
      <c r="C547" t="s">
        <v>10</v>
      </c>
      <c r="D547">
        <v>25.84</v>
      </c>
      <c r="E547">
        <v>2</v>
      </c>
      <c r="F547" t="s">
        <v>8</v>
      </c>
      <c r="G547" t="s">
        <v>54</v>
      </c>
      <c r="H547" s="2">
        <v>23807.240600000001</v>
      </c>
      <c r="I547" s="2">
        <f t="shared" si="56"/>
        <v>7935.7468666666673</v>
      </c>
      <c r="J547" t="str">
        <f t="shared" si="57"/>
        <v>High</v>
      </c>
      <c r="K547" s="1">
        <f t="shared" si="58"/>
        <v>0.83599999999999997</v>
      </c>
      <c r="L547" t="str">
        <f t="shared" si="59"/>
        <v>Overweight</v>
      </c>
      <c r="M547" t="str">
        <f t="shared" si="60"/>
        <v>High Risk</v>
      </c>
      <c r="N547" t="str">
        <f t="shared" si="61"/>
        <v>Tier 4</v>
      </c>
      <c r="O547">
        <f t="shared" si="62"/>
        <v>4</v>
      </c>
    </row>
    <row r="548" spans="1:15" x14ac:dyDescent="0.2">
      <c r="A548">
        <v>28</v>
      </c>
      <c r="B548" t="str" cm="1">
        <f t="array" ref="B548">_xlfn.IFS(A548&lt;=25,"18-25", A548&lt;=35,"26-35", A548&lt;=45,"36-45", A548&lt;=55,"46-55", A548&lt;=64,"56-64")</f>
        <v>26-35</v>
      </c>
      <c r="C548" t="s">
        <v>10</v>
      </c>
      <c r="D548">
        <v>35.435000000000002</v>
      </c>
      <c r="E548">
        <v>0</v>
      </c>
      <c r="F548" t="s">
        <v>11</v>
      </c>
      <c r="G548" t="s">
        <v>53</v>
      </c>
      <c r="H548" s="2">
        <v>3268.84665</v>
      </c>
      <c r="I548" s="2">
        <f t="shared" si="56"/>
        <v>3268.84665</v>
      </c>
      <c r="J548" t="str">
        <f t="shared" si="57"/>
        <v>Low</v>
      </c>
      <c r="K548" s="1">
        <f t="shared" si="58"/>
        <v>0.158</v>
      </c>
      <c r="L548" t="str">
        <f t="shared" si="59"/>
        <v>Obese</v>
      </c>
      <c r="M548" t="str">
        <f t="shared" si="60"/>
        <v>Standard</v>
      </c>
      <c r="N548" t="str">
        <f t="shared" si="61"/>
        <v>Tier 2</v>
      </c>
      <c r="O548">
        <f t="shared" si="62"/>
        <v>2</v>
      </c>
    </row>
    <row r="549" spans="1:15" x14ac:dyDescent="0.2">
      <c r="A549">
        <v>54</v>
      </c>
      <c r="B549" t="str" cm="1">
        <f t="array" ref="B549">_xlfn.IFS(A549&lt;=25,"18-25", A549&lt;=35,"26-35", A549&lt;=45,"36-45", A549&lt;=55,"46-55", A549&lt;=64,"56-64")</f>
        <v>46-55</v>
      </c>
      <c r="C549" t="s">
        <v>7</v>
      </c>
      <c r="D549">
        <v>46.7</v>
      </c>
      <c r="E549">
        <v>2</v>
      </c>
      <c r="F549" t="s">
        <v>11</v>
      </c>
      <c r="G549" t="s">
        <v>52</v>
      </c>
      <c r="H549" s="2">
        <v>11538.421</v>
      </c>
      <c r="I549" s="2">
        <f t="shared" si="56"/>
        <v>3846.1403333333333</v>
      </c>
      <c r="J549" t="str">
        <f t="shared" si="57"/>
        <v>Low</v>
      </c>
      <c r="K549" s="1">
        <f t="shared" si="58"/>
        <v>0.60699999999999998</v>
      </c>
      <c r="L549" t="str">
        <f t="shared" si="59"/>
        <v>Obese</v>
      </c>
      <c r="M549" t="str">
        <f t="shared" si="60"/>
        <v>Standard</v>
      </c>
      <c r="N549" t="str">
        <f t="shared" si="61"/>
        <v>Tier 3</v>
      </c>
      <c r="O549">
        <f t="shared" si="62"/>
        <v>2</v>
      </c>
    </row>
    <row r="550" spans="1:15" x14ac:dyDescent="0.2">
      <c r="A550">
        <v>25</v>
      </c>
      <c r="B550" t="str" cm="1">
        <f t="array" ref="B550">_xlfn.IFS(A550&lt;=25,"18-25", A550&lt;=35,"26-35", A550&lt;=45,"36-45", A550&lt;=55,"46-55", A550&lt;=64,"56-64")</f>
        <v>18-25</v>
      </c>
      <c r="C550" t="s">
        <v>7</v>
      </c>
      <c r="D550">
        <v>28.594999999999999</v>
      </c>
      <c r="E550">
        <v>0</v>
      </c>
      <c r="F550" t="s">
        <v>11</v>
      </c>
      <c r="G550" t="s">
        <v>53</v>
      </c>
      <c r="H550" s="2">
        <v>3213.6220499999999</v>
      </c>
      <c r="I550" s="2">
        <f t="shared" si="56"/>
        <v>3213.6220499999999</v>
      </c>
      <c r="J550" t="str">
        <f t="shared" si="57"/>
        <v>Low</v>
      </c>
      <c r="K550" s="1">
        <f t="shared" si="58"/>
        <v>0.155</v>
      </c>
      <c r="L550" t="str">
        <f t="shared" si="59"/>
        <v>Overweight</v>
      </c>
      <c r="M550" t="str">
        <f t="shared" si="60"/>
        <v>Standard</v>
      </c>
      <c r="N550" t="str">
        <f t="shared" si="61"/>
        <v>Tier 2</v>
      </c>
      <c r="O550">
        <f t="shared" si="62"/>
        <v>1</v>
      </c>
    </row>
    <row r="551" spans="1:15" x14ac:dyDescent="0.2">
      <c r="A551">
        <v>43</v>
      </c>
      <c r="B551" t="str" cm="1">
        <f t="array" ref="B551">_xlfn.IFS(A551&lt;=25,"18-25", A551&lt;=35,"26-35", A551&lt;=45,"36-45", A551&lt;=55,"46-55", A551&lt;=64,"56-64")</f>
        <v>36-45</v>
      </c>
      <c r="C551" t="s">
        <v>7</v>
      </c>
      <c r="D551">
        <v>46.2</v>
      </c>
      <c r="E551">
        <v>0</v>
      </c>
      <c r="F551" t="s">
        <v>8</v>
      </c>
      <c r="G551" t="s">
        <v>51</v>
      </c>
      <c r="H551" s="2">
        <v>45863.205000000002</v>
      </c>
      <c r="I551" s="2">
        <f t="shared" si="56"/>
        <v>45863.205000000002</v>
      </c>
      <c r="J551" t="str">
        <f t="shared" si="57"/>
        <v>High</v>
      </c>
      <c r="K551" s="1">
        <f t="shared" si="58"/>
        <v>0.97399999999999998</v>
      </c>
      <c r="L551" t="str">
        <f t="shared" si="59"/>
        <v>Obese</v>
      </c>
      <c r="M551" t="str">
        <f t="shared" si="60"/>
        <v>High Risk</v>
      </c>
      <c r="N551" t="str">
        <f t="shared" si="61"/>
        <v>Tier 1</v>
      </c>
      <c r="O551">
        <f t="shared" si="62"/>
        <v>6</v>
      </c>
    </row>
    <row r="552" spans="1:15" x14ac:dyDescent="0.2">
      <c r="A552">
        <v>63</v>
      </c>
      <c r="B552" t="str" cm="1">
        <f t="array" ref="B552">_xlfn.IFS(A552&lt;=25,"18-25", A552&lt;=35,"26-35", A552&lt;=45,"36-45", A552&lt;=55,"46-55", A552&lt;=64,"56-64")</f>
        <v>56-64</v>
      </c>
      <c r="C552" t="s">
        <v>10</v>
      </c>
      <c r="D552">
        <v>30.8</v>
      </c>
      <c r="E552">
        <v>0</v>
      </c>
      <c r="F552" t="s">
        <v>11</v>
      </c>
      <c r="G552" t="s">
        <v>52</v>
      </c>
      <c r="H552" s="2">
        <v>13390.558999999999</v>
      </c>
      <c r="I552" s="2">
        <f t="shared" si="56"/>
        <v>13390.558999999999</v>
      </c>
      <c r="J552" t="str">
        <f t="shared" si="57"/>
        <v>High</v>
      </c>
      <c r="K552" s="1">
        <f t="shared" si="58"/>
        <v>0.68700000000000006</v>
      </c>
      <c r="L552" t="str">
        <f t="shared" si="59"/>
        <v>Obese</v>
      </c>
      <c r="M552" t="str">
        <f t="shared" si="60"/>
        <v>Standard</v>
      </c>
      <c r="N552" t="str">
        <f t="shared" si="61"/>
        <v>Tier 3</v>
      </c>
      <c r="O552">
        <f t="shared" si="62"/>
        <v>2</v>
      </c>
    </row>
    <row r="553" spans="1:15" x14ac:dyDescent="0.2">
      <c r="A553">
        <v>32</v>
      </c>
      <c r="B553" t="str" cm="1">
        <f t="array" ref="B553">_xlfn.IFS(A553&lt;=25,"18-25", A553&lt;=35,"26-35", A553&lt;=45,"36-45", A553&lt;=55,"46-55", A553&lt;=64,"56-64")</f>
        <v>26-35</v>
      </c>
      <c r="C553" t="s">
        <v>7</v>
      </c>
      <c r="D553">
        <v>28.93</v>
      </c>
      <c r="E553">
        <v>0</v>
      </c>
      <c r="F553" t="s">
        <v>11</v>
      </c>
      <c r="G553" t="s">
        <v>51</v>
      </c>
      <c r="H553" s="2">
        <v>3972.9247</v>
      </c>
      <c r="I553" s="2">
        <f t="shared" si="56"/>
        <v>3972.9247</v>
      </c>
      <c r="J553" t="str">
        <f t="shared" si="57"/>
        <v>Low</v>
      </c>
      <c r="K553" s="1">
        <f t="shared" si="58"/>
        <v>0.19700000000000001</v>
      </c>
      <c r="L553" t="str">
        <f t="shared" si="59"/>
        <v>Overweight</v>
      </c>
      <c r="M553" t="str">
        <f t="shared" si="60"/>
        <v>Standard</v>
      </c>
      <c r="N553" t="str">
        <f t="shared" si="61"/>
        <v>Tier 1</v>
      </c>
      <c r="O553">
        <f t="shared" si="62"/>
        <v>2</v>
      </c>
    </row>
    <row r="554" spans="1:15" x14ac:dyDescent="0.2">
      <c r="A554">
        <v>62</v>
      </c>
      <c r="B554" t="str" cm="1">
        <f t="array" ref="B554">_xlfn.IFS(A554&lt;=25,"18-25", A554&lt;=35,"26-35", A554&lt;=45,"36-45", A554&lt;=55,"46-55", A554&lt;=64,"56-64")</f>
        <v>56-64</v>
      </c>
      <c r="C554" t="s">
        <v>10</v>
      </c>
      <c r="D554">
        <v>21.4</v>
      </c>
      <c r="E554">
        <v>0</v>
      </c>
      <c r="F554" t="s">
        <v>11</v>
      </c>
      <c r="G554" t="s">
        <v>52</v>
      </c>
      <c r="H554" s="2">
        <v>12957.118</v>
      </c>
      <c r="I554" s="2">
        <f t="shared" si="56"/>
        <v>12957.118</v>
      </c>
      <c r="J554" t="str">
        <f t="shared" si="57"/>
        <v>Low</v>
      </c>
      <c r="K554" s="1">
        <f t="shared" si="58"/>
        <v>0.67200000000000004</v>
      </c>
      <c r="L554" t="str">
        <f t="shared" si="59"/>
        <v>Normal</v>
      </c>
      <c r="M554" t="str">
        <f t="shared" si="60"/>
        <v>Standard</v>
      </c>
      <c r="N554" t="str">
        <f t="shared" si="61"/>
        <v>Tier 3</v>
      </c>
      <c r="O554">
        <f t="shared" si="62"/>
        <v>0</v>
      </c>
    </row>
    <row r="555" spans="1:15" x14ac:dyDescent="0.2">
      <c r="A555">
        <v>52</v>
      </c>
      <c r="B555" t="str" cm="1">
        <f t="array" ref="B555">_xlfn.IFS(A555&lt;=25,"18-25", A555&lt;=35,"26-35", A555&lt;=45,"36-45", A555&lt;=55,"46-55", A555&lt;=64,"56-64")</f>
        <v>46-55</v>
      </c>
      <c r="C555" t="s">
        <v>7</v>
      </c>
      <c r="D555">
        <v>31.73</v>
      </c>
      <c r="E555">
        <v>2</v>
      </c>
      <c r="F555" t="s">
        <v>11</v>
      </c>
      <c r="G555" t="s">
        <v>54</v>
      </c>
      <c r="H555" s="2">
        <v>11187.6567</v>
      </c>
      <c r="I555" s="2">
        <f t="shared" si="56"/>
        <v>3729.2188999999998</v>
      </c>
      <c r="J555" t="str">
        <f t="shared" si="57"/>
        <v>Low</v>
      </c>
      <c r="K555" s="1">
        <f t="shared" si="58"/>
        <v>0.58599999999999997</v>
      </c>
      <c r="L555" t="str">
        <f t="shared" si="59"/>
        <v>Obese</v>
      </c>
      <c r="M555" t="str">
        <f t="shared" si="60"/>
        <v>Standard</v>
      </c>
      <c r="N555" t="str">
        <f t="shared" si="61"/>
        <v>Tier 4</v>
      </c>
      <c r="O555">
        <f t="shared" si="62"/>
        <v>2</v>
      </c>
    </row>
    <row r="556" spans="1:15" x14ac:dyDescent="0.2">
      <c r="A556">
        <v>25</v>
      </c>
      <c r="B556" t="str" cm="1">
        <f t="array" ref="B556">_xlfn.IFS(A556&lt;=25,"18-25", A556&lt;=35,"26-35", A556&lt;=45,"36-45", A556&lt;=55,"46-55", A556&lt;=64,"56-64")</f>
        <v>18-25</v>
      </c>
      <c r="C556" t="s">
        <v>7</v>
      </c>
      <c r="D556">
        <v>41.325000000000003</v>
      </c>
      <c r="E556">
        <v>0</v>
      </c>
      <c r="F556" t="s">
        <v>11</v>
      </c>
      <c r="G556" t="s">
        <v>53</v>
      </c>
      <c r="H556" s="2">
        <v>17878.900679999999</v>
      </c>
      <c r="I556" s="2">
        <f t="shared" si="56"/>
        <v>17878.900679999999</v>
      </c>
      <c r="J556" t="str">
        <f t="shared" si="57"/>
        <v>High</v>
      </c>
      <c r="K556" s="1">
        <f t="shared" si="58"/>
        <v>0.76300000000000001</v>
      </c>
      <c r="L556" t="str">
        <f t="shared" si="59"/>
        <v>Obese</v>
      </c>
      <c r="M556" t="str">
        <f t="shared" si="60"/>
        <v>Standard</v>
      </c>
      <c r="N556" t="str">
        <f t="shared" si="61"/>
        <v>Tier 2</v>
      </c>
      <c r="O556">
        <f t="shared" si="62"/>
        <v>2</v>
      </c>
    </row>
    <row r="557" spans="1:15" x14ac:dyDescent="0.2">
      <c r="A557">
        <v>28</v>
      </c>
      <c r="B557" t="str" cm="1">
        <f t="array" ref="B557">_xlfn.IFS(A557&lt;=25,"18-25", A557&lt;=35,"26-35", A557&lt;=45,"36-45", A557&lt;=55,"46-55", A557&lt;=64,"56-64")</f>
        <v>26-35</v>
      </c>
      <c r="C557" t="s">
        <v>10</v>
      </c>
      <c r="D557">
        <v>23.8</v>
      </c>
      <c r="E557">
        <v>2</v>
      </c>
      <c r="F557" t="s">
        <v>11</v>
      </c>
      <c r="G557" t="s">
        <v>52</v>
      </c>
      <c r="H557" s="2">
        <v>3847.674</v>
      </c>
      <c r="I557" s="2">
        <f t="shared" si="56"/>
        <v>1282.558</v>
      </c>
      <c r="J557" t="str">
        <f t="shared" si="57"/>
        <v>Low</v>
      </c>
      <c r="K557" s="1">
        <f t="shared" si="58"/>
        <v>0.188</v>
      </c>
      <c r="L557" t="str">
        <f t="shared" si="59"/>
        <v>Normal</v>
      </c>
      <c r="M557" t="str">
        <f t="shared" si="60"/>
        <v>Standard</v>
      </c>
      <c r="N557" t="str">
        <f t="shared" si="61"/>
        <v>Tier 3</v>
      </c>
      <c r="O557">
        <f t="shared" si="62"/>
        <v>0</v>
      </c>
    </row>
    <row r="558" spans="1:15" x14ac:dyDescent="0.2">
      <c r="A558">
        <v>46</v>
      </c>
      <c r="B558" t="str" cm="1">
        <f t="array" ref="B558">_xlfn.IFS(A558&lt;=25,"18-25", A558&lt;=35,"26-35", A558&lt;=45,"36-45", A558&lt;=55,"46-55", A558&lt;=64,"56-64")</f>
        <v>46-55</v>
      </c>
      <c r="C558" t="s">
        <v>10</v>
      </c>
      <c r="D558">
        <v>33.44</v>
      </c>
      <c r="E558">
        <v>1</v>
      </c>
      <c r="F558" t="s">
        <v>11</v>
      </c>
      <c r="G558" t="s">
        <v>53</v>
      </c>
      <c r="H558" s="2">
        <v>8334.5895999999993</v>
      </c>
      <c r="I558" s="2">
        <f t="shared" si="56"/>
        <v>4167.2947999999997</v>
      </c>
      <c r="J558" t="str">
        <f t="shared" si="57"/>
        <v>Low</v>
      </c>
      <c r="K558" s="1">
        <f t="shared" si="58"/>
        <v>0.44500000000000001</v>
      </c>
      <c r="L558" t="str">
        <f t="shared" si="59"/>
        <v>Obese</v>
      </c>
      <c r="M558" t="str">
        <f t="shared" si="60"/>
        <v>Standard</v>
      </c>
      <c r="N558" t="str">
        <f t="shared" si="61"/>
        <v>Tier 2</v>
      </c>
      <c r="O558">
        <f t="shared" si="62"/>
        <v>2</v>
      </c>
    </row>
    <row r="559" spans="1:15" x14ac:dyDescent="0.2">
      <c r="A559">
        <v>34</v>
      </c>
      <c r="B559" t="str" cm="1">
        <f t="array" ref="B559">_xlfn.IFS(A559&lt;=25,"18-25", A559&lt;=35,"26-35", A559&lt;=45,"36-45", A559&lt;=55,"46-55", A559&lt;=64,"56-64")</f>
        <v>26-35</v>
      </c>
      <c r="C559" t="s">
        <v>10</v>
      </c>
      <c r="D559">
        <v>34.21</v>
      </c>
      <c r="E559">
        <v>0</v>
      </c>
      <c r="F559" t="s">
        <v>11</v>
      </c>
      <c r="G559" t="s">
        <v>51</v>
      </c>
      <c r="H559" s="2">
        <v>3935.1799000000001</v>
      </c>
      <c r="I559" s="2">
        <f t="shared" si="56"/>
        <v>3935.1799000000001</v>
      </c>
      <c r="J559" t="str">
        <f t="shared" si="57"/>
        <v>Low</v>
      </c>
      <c r="K559" s="1">
        <f t="shared" si="58"/>
        <v>0.19400000000000001</v>
      </c>
      <c r="L559" t="str">
        <f t="shared" si="59"/>
        <v>Obese</v>
      </c>
      <c r="M559" t="str">
        <f t="shared" si="60"/>
        <v>Standard</v>
      </c>
      <c r="N559" t="str">
        <f t="shared" si="61"/>
        <v>Tier 1</v>
      </c>
      <c r="O559">
        <f t="shared" si="62"/>
        <v>3</v>
      </c>
    </row>
    <row r="560" spans="1:15" x14ac:dyDescent="0.2">
      <c r="A560">
        <v>35</v>
      </c>
      <c r="B560" t="str" cm="1">
        <f t="array" ref="B560">_xlfn.IFS(A560&lt;=25,"18-25", A560&lt;=35,"26-35", A560&lt;=45,"36-45", A560&lt;=55,"46-55", A560&lt;=64,"56-64")</f>
        <v>26-35</v>
      </c>
      <c r="C560" t="s">
        <v>7</v>
      </c>
      <c r="D560">
        <v>34.104999999999997</v>
      </c>
      <c r="E560">
        <v>3</v>
      </c>
      <c r="F560" t="s">
        <v>8</v>
      </c>
      <c r="G560" t="s">
        <v>54</v>
      </c>
      <c r="H560" s="2">
        <v>39983.425949999997</v>
      </c>
      <c r="I560" s="2">
        <f t="shared" si="56"/>
        <v>9995.8564874999993</v>
      </c>
      <c r="J560" t="str">
        <f t="shared" si="57"/>
        <v>High</v>
      </c>
      <c r="K560" s="1">
        <f t="shared" si="58"/>
        <v>0.94</v>
      </c>
      <c r="L560" t="str">
        <f t="shared" si="59"/>
        <v>Obese</v>
      </c>
      <c r="M560" t="str">
        <f t="shared" si="60"/>
        <v>High Risk</v>
      </c>
      <c r="N560" t="str">
        <f t="shared" si="61"/>
        <v>Tier 4</v>
      </c>
      <c r="O560">
        <f t="shared" si="62"/>
        <v>5</v>
      </c>
    </row>
    <row r="561" spans="1:15" x14ac:dyDescent="0.2">
      <c r="A561">
        <v>19</v>
      </c>
      <c r="B561" t="str" cm="1">
        <f t="array" ref="B561">_xlfn.IFS(A561&lt;=25,"18-25", A561&lt;=35,"26-35", A561&lt;=45,"36-45", A561&lt;=55,"46-55", A561&lt;=64,"56-64")</f>
        <v>18-25</v>
      </c>
      <c r="C561" t="s">
        <v>10</v>
      </c>
      <c r="D561">
        <v>35.53</v>
      </c>
      <c r="E561">
        <v>0</v>
      </c>
      <c r="F561" t="s">
        <v>11</v>
      </c>
      <c r="G561" t="s">
        <v>54</v>
      </c>
      <c r="H561" s="2">
        <v>1646.4296999999999</v>
      </c>
      <c r="I561" s="2">
        <f t="shared" si="56"/>
        <v>1646.4296999999999</v>
      </c>
      <c r="J561" t="str">
        <f t="shared" si="57"/>
        <v>Low</v>
      </c>
      <c r="K561" s="1">
        <f t="shared" si="58"/>
        <v>3.2000000000000001E-2</v>
      </c>
      <c r="L561" t="str">
        <f t="shared" si="59"/>
        <v>Obese</v>
      </c>
      <c r="M561" t="str">
        <f t="shared" si="60"/>
        <v>Standard</v>
      </c>
      <c r="N561" t="str">
        <f t="shared" si="61"/>
        <v>Tier 4</v>
      </c>
      <c r="O561">
        <f t="shared" si="62"/>
        <v>2</v>
      </c>
    </row>
    <row r="562" spans="1:15" x14ac:dyDescent="0.2">
      <c r="A562">
        <v>46</v>
      </c>
      <c r="B562" t="str" cm="1">
        <f t="array" ref="B562">_xlfn.IFS(A562&lt;=25,"18-25", A562&lt;=35,"26-35", A562&lt;=45,"36-45", A562&lt;=55,"46-55", A562&lt;=64,"56-64")</f>
        <v>46-55</v>
      </c>
      <c r="C562" t="s">
        <v>7</v>
      </c>
      <c r="D562">
        <v>19.95</v>
      </c>
      <c r="E562">
        <v>2</v>
      </c>
      <c r="F562" t="s">
        <v>11</v>
      </c>
      <c r="G562" t="s">
        <v>54</v>
      </c>
      <c r="H562" s="2">
        <v>9193.8384999999998</v>
      </c>
      <c r="I562" s="2">
        <f t="shared" si="56"/>
        <v>3064.6128333333331</v>
      </c>
      <c r="J562" t="str">
        <f t="shared" si="57"/>
        <v>Low</v>
      </c>
      <c r="K562" s="1">
        <f t="shared" si="58"/>
        <v>0.49</v>
      </c>
      <c r="L562" t="str">
        <f t="shared" si="59"/>
        <v>Normal</v>
      </c>
      <c r="M562" t="str">
        <f t="shared" si="60"/>
        <v>Standard</v>
      </c>
      <c r="N562" t="str">
        <f t="shared" si="61"/>
        <v>Tier 4</v>
      </c>
      <c r="O562">
        <f t="shared" si="62"/>
        <v>0</v>
      </c>
    </row>
    <row r="563" spans="1:15" x14ac:dyDescent="0.2">
      <c r="A563">
        <v>54</v>
      </c>
      <c r="B563" t="str" cm="1">
        <f t="array" ref="B563">_xlfn.IFS(A563&lt;=25,"18-25", A563&lt;=35,"26-35", A563&lt;=45,"36-45", A563&lt;=55,"46-55", A563&lt;=64,"56-64")</f>
        <v>46-55</v>
      </c>
      <c r="C563" t="s">
        <v>7</v>
      </c>
      <c r="D563">
        <v>32.68</v>
      </c>
      <c r="E563">
        <v>0</v>
      </c>
      <c r="F563" t="s">
        <v>11</v>
      </c>
      <c r="G563" t="s">
        <v>53</v>
      </c>
      <c r="H563" s="2">
        <v>10923.933199999999</v>
      </c>
      <c r="I563" s="2">
        <f t="shared" si="56"/>
        <v>10923.933199999999</v>
      </c>
      <c r="J563" t="str">
        <f t="shared" si="57"/>
        <v>Low</v>
      </c>
      <c r="K563" s="1">
        <f t="shared" si="58"/>
        <v>0.56999999999999995</v>
      </c>
      <c r="L563" t="str">
        <f t="shared" si="59"/>
        <v>Obese</v>
      </c>
      <c r="M563" t="str">
        <f t="shared" si="60"/>
        <v>Standard</v>
      </c>
      <c r="N563" t="str">
        <f t="shared" si="61"/>
        <v>Tier 2</v>
      </c>
      <c r="O563">
        <f t="shared" si="62"/>
        <v>2</v>
      </c>
    </row>
    <row r="564" spans="1:15" x14ac:dyDescent="0.2">
      <c r="A564">
        <v>27</v>
      </c>
      <c r="B564" t="str" cm="1">
        <f t="array" ref="B564">_xlfn.IFS(A564&lt;=25,"18-25", A564&lt;=35,"26-35", A564&lt;=45,"36-45", A564&lt;=55,"46-55", A564&lt;=64,"56-64")</f>
        <v>26-35</v>
      </c>
      <c r="C564" t="s">
        <v>10</v>
      </c>
      <c r="D564">
        <v>30.5</v>
      </c>
      <c r="E564">
        <v>0</v>
      </c>
      <c r="F564" t="s">
        <v>11</v>
      </c>
      <c r="G564" t="s">
        <v>52</v>
      </c>
      <c r="H564" s="2">
        <v>2494.0219999999999</v>
      </c>
      <c r="I564" s="2">
        <f t="shared" si="56"/>
        <v>2494.0219999999999</v>
      </c>
      <c r="J564" t="str">
        <f t="shared" si="57"/>
        <v>Low</v>
      </c>
      <c r="K564" s="1">
        <f t="shared" si="58"/>
        <v>0.11</v>
      </c>
      <c r="L564" t="str">
        <f t="shared" si="59"/>
        <v>Obese</v>
      </c>
      <c r="M564" t="str">
        <f t="shared" si="60"/>
        <v>Standard</v>
      </c>
      <c r="N564" t="str">
        <f t="shared" si="61"/>
        <v>Tier 3</v>
      </c>
      <c r="O564">
        <f t="shared" si="62"/>
        <v>2</v>
      </c>
    </row>
    <row r="565" spans="1:15" x14ac:dyDescent="0.2">
      <c r="A565">
        <v>50</v>
      </c>
      <c r="B565" t="str" cm="1">
        <f t="array" ref="B565">_xlfn.IFS(A565&lt;=25,"18-25", A565&lt;=35,"26-35", A565&lt;=45,"36-45", A565&lt;=55,"46-55", A565&lt;=64,"56-64")</f>
        <v>46-55</v>
      </c>
      <c r="C565" t="s">
        <v>10</v>
      </c>
      <c r="D565">
        <v>44.77</v>
      </c>
      <c r="E565">
        <v>1</v>
      </c>
      <c r="F565" t="s">
        <v>11</v>
      </c>
      <c r="G565" t="s">
        <v>51</v>
      </c>
      <c r="H565" s="2">
        <v>9058.7302999999993</v>
      </c>
      <c r="I565" s="2">
        <f t="shared" si="56"/>
        <v>4529.3651499999996</v>
      </c>
      <c r="J565" t="str">
        <f t="shared" si="57"/>
        <v>Low</v>
      </c>
      <c r="K565" s="1">
        <f t="shared" si="58"/>
        <v>0.48499999999999999</v>
      </c>
      <c r="L565" t="str">
        <f t="shared" si="59"/>
        <v>Obese</v>
      </c>
      <c r="M565" t="str">
        <f t="shared" si="60"/>
        <v>Standard</v>
      </c>
      <c r="N565" t="str">
        <f t="shared" si="61"/>
        <v>Tier 1</v>
      </c>
      <c r="O565">
        <f t="shared" si="62"/>
        <v>3</v>
      </c>
    </row>
    <row r="566" spans="1:15" x14ac:dyDescent="0.2">
      <c r="A566">
        <v>18</v>
      </c>
      <c r="B566" t="str" cm="1">
        <f t="array" ref="B566">_xlfn.IFS(A566&lt;=25,"18-25", A566&lt;=35,"26-35", A566&lt;=45,"36-45", A566&lt;=55,"46-55", A566&lt;=64,"56-64")</f>
        <v>18-25</v>
      </c>
      <c r="C566" t="s">
        <v>7</v>
      </c>
      <c r="D566">
        <v>32.119999999999997</v>
      </c>
      <c r="E566">
        <v>2</v>
      </c>
      <c r="F566" t="s">
        <v>11</v>
      </c>
      <c r="G566" t="s">
        <v>51</v>
      </c>
      <c r="H566" s="2">
        <v>2801.2588000000001</v>
      </c>
      <c r="I566" s="2">
        <f t="shared" si="56"/>
        <v>933.75293333333332</v>
      </c>
      <c r="J566" t="str">
        <f t="shared" si="57"/>
        <v>Low</v>
      </c>
      <c r="K566" s="1">
        <f t="shared" si="58"/>
        <v>0.13200000000000001</v>
      </c>
      <c r="L566" t="str">
        <f t="shared" si="59"/>
        <v>Obese</v>
      </c>
      <c r="M566" t="str">
        <f t="shared" si="60"/>
        <v>Standard</v>
      </c>
      <c r="N566" t="str">
        <f t="shared" si="61"/>
        <v>Tier 1</v>
      </c>
      <c r="O566">
        <f t="shared" si="62"/>
        <v>3</v>
      </c>
    </row>
    <row r="567" spans="1:15" x14ac:dyDescent="0.2">
      <c r="A567">
        <v>19</v>
      </c>
      <c r="B567" t="str" cm="1">
        <f t="array" ref="B567">_xlfn.IFS(A567&lt;=25,"18-25", A567&lt;=35,"26-35", A567&lt;=45,"36-45", A567&lt;=55,"46-55", A567&lt;=64,"56-64")</f>
        <v>18-25</v>
      </c>
      <c r="C567" t="s">
        <v>7</v>
      </c>
      <c r="D567">
        <v>30.495000000000001</v>
      </c>
      <c r="E567">
        <v>0</v>
      </c>
      <c r="F567" t="s">
        <v>11</v>
      </c>
      <c r="G567" t="s">
        <v>54</v>
      </c>
      <c r="H567" s="2">
        <v>2128.4310500000001</v>
      </c>
      <c r="I567" s="2">
        <f t="shared" si="56"/>
        <v>2128.4310500000001</v>
      </c>
      <c r="J567" t="str">
        <f t="shared" si="57"/>
        <v>Low</v>
      </c>
      <c r="K567" s="1">
        <f t="shared" si="58"/>
        <v>7.5999999999999998E-2</v>
      </c>
      <c r="L567" t="str">
        <f t="shared" si="59"/>
        <v>Obese</v>
      </c>
      <c r="M567" t="str">
        <f t="shared" si="60"/>
        <v>Standard</v>
      </c>
      <c r="N567" t="str">
        <f t="shared" si="61"/>
        <v>Tier 4</v>
      </c>
      <c r="O567">
        <f t="shared" si="62"/>
        <v>2</v>
      </c>
    </row>
    <row r="568" spans="1:15" x14ac:dyDescent="0.2">
      <c r="A568">
        <v>38</v>
      </c>
      <c r="B568" t="str" cm="1">
        <f t="array" ref="B568">_xlfn.IFS(A568&lt;=25,"18-25", A568&lt;=35,"26-35", A568&lt;=45,"36-45", A568&lt;=55,"46-55", A568&lt;=64,"56-64")</f>
        <v>36-45</v>
      </c>
      <c r="C568" t="s">
        <v>7</v>
      </c>
      <c r="D568">
        <v>40.564999999999998</v>
      </c>
      <c r="E568">
        <v>1</v>
      </c>
      <c r="F568" t="s">
        <v>11</v>
      </c>
      <c r="G568" t="s">
        <v>54</v>
      </c>
      <c r="H568" s="2">
        <v>6373.55735</v>
      </c>
      <c r="I568" s="2">
        <f t="shared" si="56"/>
        <v>3186.778675</v>
      </c>
      <c r="J568" t="str">
        <f t="shared" si="57"/>
        <v>Low</v>
      </c>
      <c r="K568" s="1">
        <f t="shared" si="58"/>
        <v>0.34100000000000003</v>
      </c>
      <c r="L568" t="str">
        <f t="shared" si="59"/>
        <v>Obese</v>
      </c>
      <c r="M568" t="str">
        <f t="shared" si="60"/>
        <v>Standard</v>
      </c>
      <c r="N568" t="str">
        <f t="shared" si="61"/>
        <v>Tier 4</v>
      </c>
      <c r="O568">
        <f t="shared" si="62"/>
        <v>2</v>
      </c>
    </row>
    <row r="569" spans="1:15" x14ac:dyDescent="0.2">
      <c r="A569">
        <v>41</v>
      </c>
      <c r="B569" t="str" cm="1">
        <f t="array" ref="B569">_xlfn.IFS(A569&lt;=25,"18-25", A569&lt;=35,"26-35", A569&lt;=45,"36-45", A569&lt;=55,"46-55", A569&lt;=64,"56-64")</f>
        <v>36-45</v>
      </c>
      <c r="C569" t="s">
        <v>10</v>
      </c>
      <c r="D569">
        <v>30.59</v>
      </c>
      <c r="E569">
        <v>2</v>
      </c>
      <c r="F569" t="s">
        <v>11</v>
      </c>
      <c r="G569" t="s">
        <v>54</v>
      </c>
      <c r="H569" s="2">
        <v>7256.7231000000002</v>
      </c>
      <c r="I569" s="2">
        <f t="shared" si="56"/>
        <v>2418.9077000000002</v>
      </c>
      <c r="J569" t="str">
        <f t="shared" si="57"/>
        <v>Low</v>
      </c>
      <c r="K569" s="1">
        <f t="shared" si="58"/>
        <v>0.39100000000000001</v>
      </c>
      <c r="L569" t="str">
        <f t="shared" si="59"/>
        <v>Obese</v>
      </c>
      <c r="M569" t="str">
        <f t="shared" si="60"/>
        <v>Standard</v>
      </c>
      <c r="N569" t="str">
        <f t="shared" si="61"/>
        <v>Tier 4</v>
      </c>
      <c r="O569">
        <f t="shared" si="62"/>
        <v>2</v>
      </c>
    </row>
    <row r="570" spans="1:15" x14ac:dyDescent="0.2">
      <c r="A570">
        <v>49</v>
      </c>
      <c r="B570" t="str" cm="1">
        <f t="array" ref="B570">_xlfn.IFS(A570&lt;=25,"18-25", A570&lt;=35,"26-35", A570&lt;=45,"36-45", A570&lt;=55,"46-55", A570&lt;=64,"56-64")</f>
        <v>46-55</v>
      </c>
      <c r="C570" t="s">
        <v>7</v>
      </c>
      <c r="D570">
        <v>31.9</v>
      </c>
      <c r="E570">
        <v>5</v>
      </c>
      <c r="F570" t="s">
        <v>11</v>
      </c>
      <c r="G570" t="s">
        <v>52</v>
      </c>
      <c r="H570" s="2">
        <v>11552.904</v>
      </c>
      <c r="I570" s="2">
        <f t="shared" si="56"/>
        <v>1925.4840000000002</v>
      </c>
      <c r="J570" t="str">
        <f t="shared" si="57"/>
        <v>Low</v>
      </c>
      <c r="K570" s="1">
        <f t="shared" si="58"/>
        <v>0.60799999999999998</v>
      </c>
      <c r="L570" t="str">
        <f t="shared" si="59"/>
        <v>Obese</v>
      </c>
      <c r="M570" t="str">
        <f t="shared" si="60"/>
        <v>Standard</v>
      </c>
      <c r="N570" t="str">
        <f t="shared" si="61"/>
        <v>Tier 3</v>
      </c>
      <c r="O570">
        <f t="shared" si="62"/>
        <v>2</v>
      </c>
    </row>
    <row r="571" spans="1:15" x14ac:dyDescent="0.2">
      <c r="A571">
        <v>48</v>
      </c>
      <c r="B571" t="str" cm="1">
        <f t="array" ref="B571">_xlfn.IFS(A571&lt;=25,"18-25", A571&lt;=35,"26-35", A571&lt;=45,"36-45", A571&lt;=55,"46-55", A571&lt;=64,"56-64")</f>
        <v>46-55</v>
      </c>
      <c r="C571" t="s">
        <v>10</v>
      </c>
      <c r="D571">
        <v>40.564999999999998</v>
      </c>
      <c r="E571">
        <v>2</v>
      </c>
      <c r="F571" t="s">
        <v>8</v>
      </c>
      <c r="G571" t="s">
        <v>54</v>
      </c>
      <c r="H571" s="2">
        <v>45702.022349999999</v>
      </c>
      <c r="I571" s="2">
        <f t="shared" si="56"/>
        <v>15234.007449999999</v>
      </c>
      <c r="J571" t="str">
        <f t="shared" si="57"/>
        <v>High</v>
      </c>
      <c r="K571" s="1">
        <f t="shared" si="58"/>
        <v>0.97299999999999998</v>
      </c>
      <c r="L571" t="str">
        <f t="shared" si="59"/>
        <v>Obese</v>
      </c>
      <c r="M571" t="str">
        <f t="shared" si="60"/>
        <v>High Risk</v>
      </c>
      <c r="N571" t="str">
        <f t="shared" si="61"/>
        <v>Tier 4</v>
      </c>
      <c r="O571">
        <f t="shared" si="62"/>
        <v>5</v>
      </c>
    </row>
    <row r="572" spans="1:15" x14ac:dyDescent="0.2">
      <c r="A572">
        <v>31</v>
      </c>
      <c r="B572" t="str" cm="1">
        <f t="array" ref="B572">_xlfn.IFS(A572&lt;=25,"18-25", A572&lt;=35,"26-35", A572&lt;=45,"36-45", A572&lt;=55,"46-55", A572&lt;=64,"56-64")</f>
        <v>26-35</v>
      </c>
      <c r="C572" t="s">
        <v>7</v>
      </c>
      <c r="D572">
        <v>29.1</v>
      </c>
      <c r="E572">
        <v>0</v>
      </c>
      <c r="F572" t="s">
        <v>11</v>
      </c>
      <c r="G572" t="s">
        <v>52</v>
      </c>
      <c r="H572" s="2">
        <v>3761.2919999999999</v>
      </c>
      <c r="I572" s="2">
        <f t="shared" si="56"/>
        <v>3761.2919999999999</v>
      </c>
      <c r="J572" t="str">
        <f t="shared" si="57"/>
        <v>Low</v>
      </c>
      <c r="K572" s="1">
        <f t="shared" si="58"/>
        <v>0.186</v>
      </c>
      <c r="L572" t="str">
        <f t="shared" si="59"/>
        <v>Overweight</v>
      </c>
      <c r="M572" t="str">
        <f t="shared" si="60"/>
        <v>Standard</v>
      </c>
      <c r="N572" t="str">
        <f t="shared" si="61"/>
        <v>Tier 3</v>
      </c>
      <c r="O572">
        <f t="shared" si="62"/>
        <v>1</v>
      </c>
    </row>
    <row r="573" spans="1:15" x14ac:dyDescent="0.2">
      <c r="A573">
        <v>18</v>
      </c>
      <c r="B573" t="str" cm="1">
        <f t="array" ref="B573">_xlfn.IFS(A573&lt;=25,"18-25", A573&lt;=35,"26-35", A573&lt;=45,"36-45", A573&lt;=55,"46-55", A573&lt;=64,"56-64")</f>
        <v>18-25</v>
      </c>
      <c r="C573" t="s">
        <v>7</v>
      </c>
      <c r="D573">
        <v>37.29</v>
      </c>
      <c r="E573">
        <v>1</v>
      </c>
      <c r="F573" t="s">
        <v>11</v>
      </c>
      <c r="G573" t="s">
        <v>51</v>
      </c>
      <c r="H573" s="2">
        <v>2219.4450999999999</v>
      </c>
      <c r="I573" s="2">
        <f t="shared" si="56"/>
        <v>1109.72255</v>
      </c>
      <c r="J573" t="str">
        <f t="shared" si="57"/>
        <v>Low</v>
      </c>
      <c r="K573" s="1">
        <f t="shared" si="58"/>
        <v>9.1999999999999998E-2</v>
      </c>
      <c r="L573" t="str">
        <f t="shared" si="59"/>
        <v>Obese</v>
      </c>
      <c r="M573" t="str">
        <f t="shared" si="60"/>
        <v>Standard</v>
      </c>
      <c r="N573" t="str">
        <f t="shared" si="61"/>
        <v>Tier 1</v>
      </c>
      <c r="O573">
        <f t="shared" si="62"/>
        <v>3</v>
      </c>
    </row>
    <row r="574" spans="1:15" x14ac:dyDescent="0.2">
      <c r="A574">
        <v>30</v>
      </c>
      <c r="B574" t="str" cm="1">
        <f t="array" ref="B574">_xlfn.IFS(A574&lt;=25,"18-25", A574&lt;=35,"26-35", A574&lt;=45,"36-45", A574&lt;=55,"46-55", A574&lt;=64,"56-64")</f>
        <v>26-35</v>
      </c>
      <c r="C574" t="s">
        <v>7</v>
      </c>
      <c r="D574">
        <v>43.12</v>
      </c>
      <c r="E574">
        <v>2</v>
      </c>
      <c r="F574" t="s">
        <v>11</v>
      </c>
      <c r="G574" t="s">
        <v>51</v>
      </c>
      <c r="H574" s="2">
        <v>4753.6368000000002</v>
      </c>
      <c r="I574" s="2">
        <f t="shared" si="56"/>
        <v>1584.5456000000001</v>
      </c>
      <c r="J574" t="str">
        <f t="shared" si="57"/>
        <v>Low</v>
      </c>
      <c r="K574" s="1">
        <f t="shared" si="58"/>
        <v>0.252</v>
      </c>
      <c r="L574" t="str">
        <f t="shared" si="59"/>
        <v>Obese</v>
      </c>
      <c r="M574" t="str">
        <f t="shared" si="60"/>
        <v>Standard</v>
      </c>
      <c r="N574" t="str">
        <f t="shared" si="61"/>
        <v>Tier 1</v>
      </c>
      <c r="O574">
        <f t="shared" si="62"/>
        <v>3</v>
      </c>
    </row>
    <row r="575" spans="1:15" x14ac:dyDescent="0.2">
      <c r="A575">
        <v>62</v>
      </c>
      <c r="B575" t="str" cm="1">
        <f t="array" ref="B575">_xlfn.IFS(A575&lt;=25,"18-25", A575&lt;=35,"26-35", A575&lt;=45,"36-45", A575&lt;=55,"46-55", A575&lt;=64,"56-64")</f>
        <v>56-64</v>
      </c>
      <c r="C575" t="s">
        <v>7</v>
      </c>
      <c r="D575">
        <v>36.86</v>
      </c>
      <c r="E575">
        <v>1</v>
      </c>
      <c r="F575" t="s">
        <v>11</v>
      </c>
      <c r="G575" t="s">
        <v>53</v>
      </c>
      <c r="H575" s="2">
        <v>31620.001059999999</v>
      </c>
      <c r="I575" s="2">
        <f t="shared" si="56"/>
        <v>15810.000529999999</v>
      </c>
      <c r="J575" t="str">
        <f t="shared" si="57"/>
        <v>High</v>
      </c>
      <c r="K575" s="1">
        <f t="shared" si="58"/>
        <v>0.88400000000000001</v>
      </c>
      <c r="L575" t="str">
        <f t="shared" si="59"/>
        <v>Obese</v>
      </c>
      <c r="M575" t="str">
        <f t="shared" si="60"/>
        <v>Standard</v>
      </c>
      <c r="N575" t="str">
        <f t="shared" si="61"/>
        <v>Tier 2</v>
      </c>
      <c r="O575">
        <f t="shared" si="62"/>
        <v>2</v>
      </c>
    </row>
    <row r="576" spans="1:15" x14ac:dyDescent="0.2">
      <c r="A576">
        <v>57</v>
      </c>
      <c r="B576" t="str" cm="1">
        <f t="array" ref="B576">_xlfn.IFS(A576&lt;=25,"18-25", A576&lt;=35,"26-35", A576&lt;=45,"36-45", A576&lt;=55,"46-55", A576&lt;=64,"56-64")</f>
        <v>56-64</v>
      </c>
      <c r="C576" t="s">
        <v>7</v>
      </c>
      <c r="D576">
        <v>34.295000000000002</v>
      </c>
      <c r="E576">
        <v>2</v>
      </c>
      <c r="F576" t="s">
        <v>11</v>
      </c>
      <c r="G576" t="s">
        <v>53</v>
      </c>
      <c r="H576" s="2">
        <v>13224.057049999999</v>
      </c>
      <c r="I576" s="2">
        <f t="shared" si="56"/>
        <v>4408.0190166666662</v>
      </c>
      <c r="J576" t="str">
        <f t="shared" si="57"/>
        <v>Low</v>
      </c>
      <c r="K576" s="1">
        <f t="shared" si="58"/>
        <v>0.68400000000000005</v>
      </c>
      <c r="L576" t="str">
        <f t="shared" si="59"/>
        <v>Obese</v>
      </c>
      <c r="M576" t="str">
        <f t="shared" si="60"/>
        <v>Standard</v>
      </c>
      <c r="N576" t="str">
        <f t="shared" si="61"/>
        <v>Tier 2</v>
      </c>
      <c r="O576">
        <f t="shared" si="62"/>
        <v>2</v>
      </c>
    </row>
    <row r="577" spans="1:15" x14ac:dyDescent="0.2">
      <c r="A577">
        <v>58</v>
      </c>
      <c r="B577" t="str" cm="1">
        <f t="array" ref="B577">_xlfn.IFS(A577&lt;=25,"18-25", A577&lt;=35,"26-35", A577&lt;=45,"36-45", A577&lt;=55,"46-55", A577&lt;=64,"56-64")</f>
        <v>56-64</v>
      </c>
      <c r="C577" t="s">
        <v>7</v>
      </c>
      <c r="D577">
        <v>27.17</v>
      </c>
      <c r="E577">
        <v>0</v>
      </c>
      <c r="F577" t="s">
        <v>11</v>
      </c>
      <c r="G577" t="s">
        <v>54</v>
      </c>
      <c r="H577" s="2">
        <v>12222.898300000001</v>
      </c>
      <c r="I577" s="2">
        <f t="shared" si="56"/>
        <v>12222.898300000001</v>
      </c>
      <c r="J577" t="str">
        <f t="shared" si="57"/>
        <v>Low</v>
      </c>
      <c r="K577" s="1">
        <f t="shared" si="58"/>
        <v>0.64</v>
      </c>
      <c r="L577" t="str">
        <f t="shared" si="59"/>
        <v>Overweight</v>
      </c>
      <c r="M577" t="str">
        <f t="shared" si="60"/>
        <v>Standard</v>
      </c>
      <c r="N577" t="str">
        <f t="shared" si="61"/>
        <v>Tier 4</v>
      </c>
      <c r="O577">
        <f t="shared" si="62"/>
        <v>1</v>
      </c>
    </row>
    <row r="578" spans="1:15" x14ac:dyDescent="0.2">
      <c r="A578">
        <v>22</v>
      </c>
      <c r="B578" t="str" cm="1">
        <f t="array" ref="B578">_xlfn.IFS(A578&lt;=25,"18-25", A578&lt;=35,"26-35", A578&lt;=45,"36-45", A578&lt;=55,"46-55", A578&lt;=64,"56-64")</f>
        <v>18-25</v>
      </c>
      <c r="C578" t="s">
        <v>10</v>
      </c>
      <c r="D578">
        <v>26.84</v>
      </c>
      <c r="E578">
        <v>0</v>
      </c>
      <c r="F578" t="s">
        <v>11</v>
      </c>
      <c r="G578" t="s">
        <v>51</v>
      </c>
      <c r="H578" s="2">
        <v>1664.9996000000001</v>
      </c>
      <c r="I578" s="2">
        <f t="shared" ref="I578:I641" si="63">H578/(E578+1)</f>
        <v>1664.9996000000001</v>
      </c>
      <c r="J578" t="str">
        <f t="shared" ref="J578:J641" si="64">IF(H578&gt;AVERAGE($H$2:$H$1339),"High","Low")</f>
        <v>Low</v>
      </c>
      <c r="K578" s="1">
        <f t="shared" ref="K578:K641" si="65">PERCENTRANK($H$2:$H$1339,H578)</f>
        <v>3.2000000000000001E-2</v>
      </c>
      <c r="L578" t="str">
        <f t="shared" ref="L578:L641" si="66">IF(D578&lt;18.5,"Underweight",IF(D578&lt;25,"Normal",IF(D578&lt;30,"Overweight","Obese")))</f>
        <v>Overweight</v>
      </c>
      <c r="M578" t="str">
        <f t="shared" ref="M578:M641" si="67">IF(F578="yes","High Risk","Standard")</f>
        <v>Standard</v>
      </c>
      <c r="N578" t="str">
        <f t="shared" ref="N578:N641" si="68">IF(G578="southeast","Tier 1",IF(G578="northeast","Tier 2",IF(G578="southwest","Tier 3","Tier 4")))</f>
        <v>Tier 1</v>
      </c>
      <c r="O578">
        <f t="shared" ref="O578:O641" si="69">IF(F578="yes",3,0)+IF(D578&gt;=30,2,IF(D578&gt;=25,1,0))+IF(G578="southeast",1,0)</f>
        <v>2</v>
      </c>
    </row>
    <row r="579" spans="1:15" x14ac:dyDescent="0.2">
      <c r="A579">
        <v>31</v>
      </c>
      <c r="B579" t="str" cm="1">
        <f t="array" ref="B579">_xlfn.IFS(A579&lt;=25,"18-25", A579&lt;=35,"26-35", A579&lt;=45,"36-45", A579&lt;=55,"46-55", A579&lt;=64,"56-64")</f>
        <v>26-35</v>
      </c>
      <c r="C579" t="s">
        <v>7</v>
      </c>
      <c r="D579">
        <v>38.094999999999999</v>
      </c>
      <c r="E579">
        <v>1</v>
      </c>
      <c r="F579" t="s">
        <v>8</v>
      </c>
      <c r="G579" t="s">
        <v>53</v>
      </c>
      <c r="H579" s="2">
        <v>58571.074480000003</v>
      </c>
      <c r="I579" s="2">
        <f t="shared" si="63"/>
        <v>29285.537240000001</v>
      </c>
      <c r="J579" t="str">
        <f t="shared" si="64"/>
        <v>High</v>
      </c>
      <c r="K579" s="1">
        <f t="shared" si="65"/>
        <v>0.997</v>
      </c>
      <c r="L579" t="str">
        <f t="shared" si="66"/>
        <v>Obese</v>
      </c>
      <c r="M579" t="str">
        <f t="shared" si="67"/>
        <v>High Risk</v>
      </c>
      <c r="N579" t="str">
        <f t="shared" si="68"/>
        <v>Tier 2</v>
      </c>
      <c r="O579">
        <f t="shared" si="69"/>
        <v>5</v>
      </c>
    </row>
    <row r="580" spans="1:15" x14ac:dyDescent="0.2">
      <c r="A580">
        <v>52</v>
      </c>
      <c r="B580" t="str" cm="1">
        <f t="array" ref="B580">_xlfn.IFS(A580&lt;=25,"18-25", A580&lt;=35,"26-35", A580&lt;=45,"36-45", A580&lt;=55,"46-55", A580&lt;=64,"56-64")</f>
        <v>46-55</v>
      </c>
      <c r="C580" t="s">
        <v>10</v>
      </c>
      <c r="D580">
        <v>30.2</v>
      </c>
      <c r="E580">
        <v>1</v>
      </c>
      <c r="F580" t="s">
        <v>11</v>
      </c>
      <c r="G580" t="s">
        <v>52</v>
      </c>
      <c r="H580" s="2">
        <v>9724.5300000000007</v>
      </c>
      <c r="I580" s="2">
        <f t="shared" si="63"/>
        <v>4862.2650000000003</v>
      </c>
      <c r="J580" t="str">
        <f t="shared" si="64"/>
        <v>Low</v>
      </c>
      <c r="K580" s="1">
        <f t="shared" si="65"/>
        <v>0.51800000000000002</v>
      </c>
      <c r="L580" t="str">
        <f t="shared" si="66"/>
        <v>Obese</v>
      </c>
      <c r="M580" t="str">
        <f t="shared" si="67"/>
        <v>Standard</v>
      </c>
      <c r="N580" t="str">
        <f t="shared" si="68"/>
        <v>Tier 3</v>
      </c>
      <c r="O580">
        <f t="shared" si="69"/>
        <v>2</v>
      </c>
    </row>
    <row r="581" spans="1:15" x14ac:dyDescent="0.2">
      <c r="A581">
        <v>25</v>
      </c>
      <c r="B581" t="str" cm="1">
        <f t="array" ref="B581">_xlfn.IFS(A581&lt;=25,"18-25", A581&lt;=35,"26-35", A581&lt;=45,"36-45", A581&lt;=55,"46-55", A581&lt;=64,"56-64")</f>
        <v>18-25</v>
      </c>
      <c r="C581" t="s">
        <v>7</v>
      </c>
      <c r="D581">
        <v>23.465</v>
      </c>
      <c r="E581">
        <v>0</v>
      </c>
      <c r="F581" t="s">
        <v>11</v>
      </c>
      <c r="G581" t="s">
        <v>53</v>
      </c>
      <c r="H581" s="2">
        <v>3206.4913499999998</v>
      </c>
      <c r="I581" s="2">
        <f t="shared" si="63"/>
        <v>3206.4913499999998</v>
      </c>
      <c r="J581" t="str">
        <f t="shared" si="64"/>
        <v>Low</v>
      </c>
      <c r="K581" s="1">
        <f t="shared" si="65"/>
        <v>0.154</v>
      </c>
      <c r="L581" t="str">
        <f t="shared" si="66"/>
        <v>Normal</v>
      </c>
      <c r="M581" t="str">
        <f t="shared" si="67"/>
        <v>Standard</v>
      </c>
      <c r="N581" t="str">
        <f t="shared" si="68"/>
        <v>Tier 2</v>
      </c>
      <c r="O581">
        <f t="shared" si="69"/>
        <v>0</v>
      </c>
    </row>
    <row r="582" spans="1:15" x14ac:dyDescent="0.2">
      <c r="A582">
        <v>59</v>
      </c>
      <c r="B582" t="str" cm="1">
        <f t="array" ref="B582">_xlfn.IFS(A582&lt;=25,"18-25", A582&lt;=35,"26-35", A582&lt;=45,"36-45", A582&lt;=55,"46-55", A582&lt;=64,"56-64")</f>
        <v>56-64</v>
      </c>
      <c r="C582" t="s">
        <v>10</v>
      </c>
      <c r="D582">
        <v>25.46</v>
      </c>
      <c r="E582">
        <v>1</v>
      </c>
      <c r="F582" t="s">
        <v>11</v>
      </c>
      <c r="G582" t="s">
        <v>53</v>
      </c>
      <c r="H582" s="2">
        <v>12913.992399999999</v>
      </c>
      <c r="I582" s="2">
        <f t="shared" si="63"/>
        <v>6456.9961999999996</v>
      </c>
      <c r="J582" t="str">
        <f t="shared" si="64"/>
        <v>Low</v>
      </c>
      <c r="K582" s="1">
        <f t="shared" si="65"/>
        <v>0.66800000000000004</v>
      </c>
      <c r="L582" t="str">
        <f t="shared" si="66"/>
        <v>Overweight</v>
      </c>
      <c r="M582" t="str">
        <f t="shared" si="67"/>
        <v>Standard</v>
      </c>
      <c r="N582" t="str">
        <f t="shared" si="68"/>
        <v>Tier 2</v>
      </c>
      <c r="O582">
        <f t="shared" si="69"/>
        <v>1</v>
      </c>
    </row>
    <row r="583" spans="1:15" x14ac:dyDescent="0.2">
      <c r="A583">
        <v>19</v>
      </c>
      <c r="B583" t="str" cm="1">
        <f t="array" ref="B583">_xlfn.IFS(A583&lt;=25,"18-25", A583&lt;=35,"26-35", A583&lt;=45,"36-45", A583&lt;=55,"46-55", A583&lt;=64,"56-64")</f>
        <v>18-25</v>
      </c>
      <c r="C583" t="s">
        <v>10</v>
      </c>
      <c r="D583">
        <v>30.59</v>
      </c>
      <c r="E583">
        <v>0</v>
      </c>
      <c r="F583" t="s">
        <v>11</v>
      </c>
      <c r="G583" t="s">
        <v>54</v>
      </c>
      <c r="H583" s="2">
        <v>1639.5631000000001</v>
      </c>
      <c r="I583" s="2">
        <f t="shared" si="63"/>
        <v>1639.5631000000001</v>
      </c>
      <c r="J583" t="str">
        <f t="shared" si="64"/>
        <v>Low</v>
      </c>
      <c r="K583" s="1">
        <f t="shared" si="65"/>
        <v>0.03</v>
      </c>
      <c r="L583" t="str">
        <f t="shared" si="66"/>
        <v>Obese</v>
      </c>
      <c r="M583" t="str">
        <f t="shared" si="67"/>
        <v>Standard</v>
      </c>
      <c r="N583" t="str">
        <f t="shared" si="68"/>
        <v>Tier 4</v>
      </c>
      <c r="O583">
        <f t="shared" si="69"/>
        <v>2</v>
      </c>
    </row>
    <row r="584" spans="1:15" x14ac:dyDescent="0.2">
      <c r="A584">
        <v>39</v>
      </c>
      <c r="B584" t="str" cm="1">
        <f t="array" ref="B584">_xlfn.IFS(A584&lt;=25,"18-25", A584&lt;=35,"26-35", A584&lt;=45,"36-45", A584&lt;=55,"46-55", A584&lt;=64,"56-64")</f>
        <v>36-45</v>
      </c>
      <c r="C584" t="s">
        <v>10</v>
      </c>
      <c r="D584">
        <v>45.43</v>
      </c>
      <c r="E584">
        <v>2</v>
      </c>
      <c r="F584" t="s">
        <v>11</v>
      </c>
      <c r="G584" t="s">
        <v>51</v>
      </c>
      <c r="H584" s="2">
        <v>6356.2707</v>
      </c>
      <c r="I584" s="2">
        <f t="shared" si="63"/>
        <v>2118.7568999999999</v>
      </c>
      <c r="J584" t="str">
        <f t="shared" si="64"/>
        <v>Low</v>
      </c>
      <c r="K584" s="1">
        <f t="shared" si="65"/>
        <v>0.33800000000000002</v>
      </c>
      <c r="L584" t="str">
        <f t="shared" si="66"/>
        <v>Obese</v>
      </c>
      <c r="M584" t="str">
        <f t="shared" si="67"/>
        <v>Standard</v>
      </c>
      <c r="N584" t="str">
        <f t="shared" si="68"/>
        <v>Tier 1</v>
      </c>
      <c r="O584">
        <f t="shared" si="69"/>
        <v>3</v>
      </c>
    </row>
    <row r="585" spans="1:15" x14ac:dyDescent="0.2">
      <c r="A585">
        <v>32</v>
      </c>
      <c r="B585" t="str" cm="1">
        <f t="array" ref="B585">_xlfn.IFS(A585&lt;=25,"18-25", A585&lt;=35,"26-35", A585&lt;=45,"36-45", A585&lt;=55,"46-55", A585&lt;=64,"56-64")</f>
        <v>26-35</v>
      </c>
      <c r="C585" t="s">
        <v>7</v>
      </c>
      <c r="D585">
        <v>23.65</v>
      </c>
      <c r="E585">
        <v>1</v>
      </c>
      <c r="F585" t="s">
        <v>11</v>
      </c>
      <c r="G585" t="s">
        <v>51</v>
      </c>
      <c r="H585" s="2">
        <v>17626.239509999999</v>
      </c>
      <c r="I585" s="2">
        <f t="shared" si="63"/>
        <v>8813.1197549999997</v>
      </c>
      <c r="J585" t="str">
        <f t="shared" si="64"/>
        <v>High</v>
      </c>
      <c r="K585" s="1">
        <f t="shared" si="65"/>
        <v>0.76100000000000001</v>
      </c>
      <c r="L585" t="str">
        <f t="shared" si="66"/>
        <v>Normal</v>
      </c>
      <c r="M585" t="str">
        <f t="shared" si="67"/>
        <v>Standard</v>
      </c>
      <c r="N585" t="str">
        <f t="shared" si="68"/>
        <v>Tier 1</v>
      </c>
      <c r="O585">
        <f t="shared" si="69"/>
        <v>1</v>
      </c>
    </row>
    <row r="586" spans="1:15" x14ac:dyDescent="0.2">
      <c r="A586">
        <v>19</v>
      </c>
      <c r="B586" t="str" cm="1">
        <f t="array" ref="B586">_xlfn.IFS(A586&lt;=25,"18-25", A586&lt;=35,"26-35", A586&lt;=45,"36-45", A586&lt;=55,"46-55", A586&lt;=64,"56-64")</f>
        <v>18-25</v>
      </c>
      <c r="C586" t="s">
        <v>10</v>
      </c>
      <c r="D586">
        <v>20.7</v>
      </c>
      <c r="E586">
        <v>0</v>
      </c>
      <c r="F586" t="s">
        <v>11</v>
      </c>
      <c r="G586" t="s">
        <v>52</v>
      </c>
      <c r="H586" s="2">
        <v>1242.816</v>
      </c>
      <c r="I586" s="2">
        <f t="shared" si="63"/>
        <v>1242.816</v>
      </c>
      <c r="J586" t="str">
        <f t="shared" si="64"/>
        <v>Low</v>
      </c>
      <c r="K586" s="1">
        <f t="shared" si="65"/>
        <v>8.0000000000000002E-3</v>
      </c>
      <c r="L586" t="str">
        <f t="shared" si="66"/>
        <v>Normal</v>
      </c>
      <c r="M586" t="str">
        <f t="shared" si="67"/>
        <v>Standard</v>
      </c>
      <c r="N586" t="str">
        <f t="shared" si="68"/>
        <v>Tier 3</v>
      </c>
      <c r="O586">
        <f t="shared" si="69"/>
        <v>0</v>
      </c>
    </row>
    <row r="587" spans="1:15" x14ac:dyDescent="0.2">
      <c r="A587">
        <v>33</v>
      </c>
      <c r="B587" t="str" cm="1">
        <f t="array" ref="B587">_xlfn.IFS(A587&lt;=25,"18-25", A587&lt;=35,"26-35", A587&lt;=45,"36-45", A587&lt;=55,"46-55", A587&lt;=64,"56-64")</f>
        <v>26-35</v>
      </c>
      <c r="C587" t="s">
        <v>7</v>
      </c>
      <c r="D587">
        <v>28.27</v>
      </c>
      <c r="E587">
        <v>1</v>
      </c>
      <c r="F587" t="s">
        <v>11</v>
      </c>
      <c r="G587" t="s">
        <v>51</v>
      </c>
      <c r="H587" s="2">
        <v>4779.6022999999996</v>
      </c>
      <c r="I587" s="2">
        <f t="shared" si="63"/>
        <v>2389.8011499999998</v>
      </c>
      <c r="J587" t="str">
        <f t="shared" si="64"/>
        <v>Low</v>
      </c>
      <c r="K587" s="1">
        <f t="shared" si="65"/>
        <v>0.255</v>
      </c>
      <c r="L587" t="str">
        <f t="shared" si="66"/>
        <v>Overweight</v>
      </c>
      <c r="M587" t="str">
        <f t="shared" si="67"/>
        <v>Standard</v>
      </c>
      <c r="N587" t="str">
        <f t="shared" si="68"/>
        <v>Tier 1</v>
      </c>
      <c r="O587">
        <f t="shared" si="69"/>
        <v>2</v>
      </c>
    </row>
    <row r="588" spans="1:15" x14ac:dyDescent="0.2">
      <c r="A588">
        <v>21</v>
      </c>
      <c r="B588" t="str" cm="1">
        <f t="array" ref="B588">_xlfn.IFS(A588&lt;=25,"18-25", A588&lt;=35,"26-35", A588&lt;=45,"36-45", A588&lt;=55,"46-55", A588&lt;=64,"56-64")</f>
        <v>18-25</v>
      </c>
      <c r="C588" t="s">
        <v>10</v>
      </c>
      <c r="D588">
        <v>20.234999999999999</v>
      </c>
      <c r="E588">
        <v>3</v>
      </c>
      <c r="F588" t="s">
        <v>11</v>
      </c>
      <c r="G588" t="s">
        <v>53</v>
      </c>
      <c r="H588" s="2">
        <v>3861.2096499999998</v>
      </c>
      <c r="I588" s="2">
        <f t="shared" si="63"/>
        <v>965.30241249999995</v>
      </c>
      <c r="J588" t="str">
        <f t="shared" si="64"/>
        <v>Low</v>
      </c>
      <c r="K588" s="1">
        <f t="shared" si="65"/>
        <v>0.189</v>
      </c>
      <c r="L588" t="str">
        <f t="shared" si="66"/>
        <v>Normal</v>
      </c>
      <c r="M588" t="str">
        <f t="shared" si="67"/>
        <v>Standard</v>
      </c>
      <c r="N588" t="str">
        <f t="shared" si="68"/>
        <v>Tier 2</v>
      </c>
      <c r="O588">
        <f t="shared" si="69"/>
        <v>0</v>
      </c>
    </row>
    <row r="589" spans="1:15" x14ac:dyDescent="0.2">
      <c r="A589">
        <v>34</v>
      </c>
      <c r="B589" t="str" cm="1">
        <f t="array" ref="B589">_xlfn.IFS(A589&lt;=25,"18-25", A589&lt;=35,"26-35", A589&lt;=45,"36-45", A589&lt;=55,"46-55", A589&lt;=64,"56-64")</f>
        <v>26-35</v>
      </c>
      <c r="C589" t="s">
        <v>7</v>
      </c>
      <c r="D589">
        <v>30.21</v>
      </c>
      <c r="E589">
        <v>1</v>
      </c>
      <c r="F589" t="s">
        <v>8</v>
      </c>
      <c r="G589" t="s">
        <v>54</v>
      </c>
      <c r="H589" s="2">
        <v>43943.876100000001</v>
      </c>
      <c r="I589" s="2">
        <f t="shared" si="63"/>
        <v>21971.938050000001</v>
      </c>
      <c r="J589" t="str">
        <f t="shared" si="64"/>
        <v>High</v>
      </c>
      <c r="K589" s="1">
        <f t="shared" si="65"/>
        <v>0.96599999999999997</v>
      </c>
      <c r="L589" t="str">
        <f t="shared" si="66"/>
        <v>Obese</v>
      </c>
      <c r="M589" t="str">
        <f t="shared" si="67"/>
        <v>High Risk</v>
      </c>
      <c r="N589" t="str">
        <f t="shared" si="68"/>
        <v>Tier 4</v>
      </c>
      <c r="O589">
        <f t="shared" si="69"/>
        <v>5</v>
      </c>
    </row>
    <row r="590" spans="1:15" x14ac:dyDescent="0.2">
      <c r="A590">
        <v>61</v>
      </c>
      <c r="B590" t="str" cm="1">
        <f t="array" ref="B590">_xlfn.IFS(A590&lt;=25,"18-25", A590&lt;=35,"26-35", A590&lt;=45,"36-45", A590&lt;=55,"46-55", A590&lt;=64,"56-64")</f>
        <v>56-64</v>
      </c>
      <c r="C590" t="s">
        <v>7</v>
      </c>
      <c r="D590">
        <v>35.909999999999997</v>
      </c>
      <c r="E590">
        <v>0</v>
      </c>
      <c r="F590" t="s">
        <v>11</v>
      </c>
      <c r="G590" t="s">
        <v>53</v>
      </c>
      <c r="H590" s="2">
        <v>13635.6379</v>
      </c>
      <c r="I590" s="2">
        <f t="shared" si="63"/>
        <v>13635.6379</v>
      </c>
      <c r="J590" t="str">
        <f t="shared" si="64"/>
        <v>High</v>
      </c>
      <c r="K590" s="1">
        <f t="shared" si="65"/>
        <v>0.69699999999999995</v>
      </c>
      <c r="L590" t="str">
        <f t="shared" si="66"/>
        <v>Obese</v>
      </c>
      <c r="M590" t="str">
        <f t="shared" si="67"/>
        <v>Standard</v>
      </c>
      <c r="N590" t="str">
        <f t="shared" si="68"/>
        <v>Tier 2</v>
      </c>
      <c r="O590">
        <f t="shared" si="69"/>
        <v>2</v>
      </c>
    </row>
    <row r="591" spans="1:15" x14ac:dyDescent="0.2">
      <c r="A591">
        <v>38</v>
      </c>
      <c r="B591" t="str" cm="1">
        <f t="array" ref="B591">_xlfn.IFS(A591&lt;=25,"18-25", A591&lt;=35,"26-35", A591&lt;=45,"36-45", A591&lt;=55,"46-55", A591&lt;=64,"56-64")</f>
        <v>36-45</v>
      </c>
      <c r="C591" t="s">
        <v>7</v>
      </c>
      <c r="D591">
        <v>30.69</v>
      </c>
      <c r="E591">
        <v>1</v>
      </c>
      <c r="F591" t="s">
        <v>11</v>
      </c>
      <c r="G591" t="s">
        <v>51</v>
      </c>
      <c r="H591" s="2">
        <v>5976.8311000000003</v>
      </c>
      <c r="I591" s="2">
        <f t="shared" si="63"/>
        <v>2988.4155500000002</v>
      </c>
      <c r="J591" t="str">
        <f t="shared" si="64"/>
        <v>Low</v>
      </c>
      <c r="K591" s="1">
        <f t="shared" si="65"/>
        <v>0.318</v>
      </c>
      <c r="L591" t="str">
        <f t="shared" si="66"/>
        <v>Obese</v>
      </c>
      <c r="M591" t="str">
        <f t="shared" si="67"/>
        <v>Standard</v>
      </c>
      <c r="N591" t="str">
        <f t="shared" si="68"/>
        <v>Tier 1</v>
      </c>
      <c r="O591">
        <f t="shared" si="69"/>
        <v>3</v>
      </c>
    </row>
    <row r="592" spans="1:15" x14ac:dyDescent="0.2">
      <c r="A592">
        <v>58</v>
      </c>
      <c r="B592" t="str" cm="1">
        <f t="array" ref="B592">_xlfn.IFS(A592&lt;=25,"18-25", A592&lt;=35,"26-35", A592&lt;=45,"36-45", A592&lt;=55,"46-55", A592&lt;=64,"56-64")</f>
        <v>56-64</v>
      </c>
      <c r="C592" t="s">
        <v>7</v>
      </c>
      <c r="D592">
        <v>29</v>
      </c>
      <c r="E592">
        <v>0</v>
      </c>
      <c r="F592" t="s">
        <v>11</v>
      </c>
      <c r="G592" t="s">
        <v>52</v>
      </c>
      <c r="H592" s="2">
        <v>11842.441999999999</v>
      </c>
      <c r="I592" s="2">
        <f t="shared" si="63"/>
        <v>11842.441999999999</v>
      </c>
      <c r="J592" t="str">
        <f t="shared" si="64"/>
        <v>Low</v>
      </c>
      <c r="K592" s="1">
        <f t="shared" si="65"/>
        <v>0.622</v>
      </c>
      <c r="L592" t="str">
        <f t="shared" si="66"/>
        <v>Overweight</v>
      </c>
      <c r="M592" t="str">
        <f t="shared" si="67"/>
        <v>Standard</v>
      </c>
      <c r="N592" t="str">
        <f t="shared" si="68"/>
        <v>Tier 3</v>
      </c>
      <c r="O592">
        <f t="shared" si="69"/>
        <v>1</v>
      </c>
    </row>
    <row r="593" spans="1:15" x14ac:dyDescent="0.2">
      <c r="A593">
        <v>47</v>
      </c>
      <c r="B593" t="str" cm="1">
        <f t="array" ref="B593">_xlfn.IFS(A593&lt;=25,"18-25", A593&lt;=35,"26-35", A593&lt;=45,"36-45", A593&lt;=55,"46-55", A593&lt;=64,"56-64")</f>
        <v>46-55</v>
      </c>
      <c r="C593" t="s">
        <v>10</v>
      </c>
      <c r="D593">
        <v>19.57</v>
      </c>
      <c r="E593">
        <v>1</v>
      </c>
      <c r="F593" t="s">
        <v>11</v>
      </c>
      <c r="G593" t="s">
        <v>54</v>
      </c>
      <c r="H593" s="2">
        <v>8428.0692999999992</v>
      </c>
      <c r="I593" s="2">
        <f t="shared" si="63"/>
        <v>4214.0346499999996</v>
      </c>
      <c r="J593" t="str">
        <f t="shared" si="64"/>
        <v>Low</v>
      </c>
      <c r="K593" s="1">
        <f t="shared" si="65"/>
        <v>0.44900000000000001</v>
      </c>
      <c r="L593" t="str">
        <f t="shared" si="66"/>
        <v>Normal</v>
      </c>
      <c r="M593" t="str">
        <f t="shared" si="67"/>
        <v>Standard</v>
      </c>
      <c r="N593" t="str">
        <f t="shared" si="68"/>
        <v>Tier 4</v>
      </c>
      <c r="O593">
        <f t="shared" si="69"/>
        <v>0</v>
      </c>
    </row>
    <row r="594" spans="1:15" x14ac:dyDescent="0.2">
      <c r="A594">
        <v>20</v>
      </c>
      <c r="B594" t="str" cm="1">
        <f t="array" ref="B594">_xlfn.IFS(A594&lt;=25,"18-25", A594&lt;=35,"26-35", A594&lt;=45,"36-45", A594&lt;=55,"46-55", A594&lt;=64,"56-64")</f>
        <v>18-25</v>
      </c>
      <c r="C594" t="s">
        <v>10</v>
      </c>
      <c r="D594">
        <v>31.13</v>
      </c>
      <c r="E594">
        <v>2</v>
      </c>
      <c r="F594" t="s">
        <v>11</v>
      </c>
      <c r="G594" t="s">
        <v>51</v>
      </c>
      <c r="H594" s="2">
        <v>2566.4706999999999</v>
      </c>
      <c r="I594" s="2">
        <f t="shared" si="63"/>
        <v>855.49023333333332</v>
      </c>
      <c r="J594" t="str">
        <f t="shared" si="64"/>
        <v>Low</v>
      </c>
      <c r="K594" s="1">
        <f t="shared" si="65"/>
        <v>0.115</v>
      </c>
      <c r="L594" t="str">
        <f t="shared" si="66"/>
        <v>Obese</v>
      </c>
      <c r="M594" t="str">
        <f t="shared" si="67"/>
        <v>Standard</v>
      </c>
      <c r="N594" t="str">
        <f t="shared" si="68"/>
        <v>Tier 1</v>
      </c>
      <c r="O594">
        <f t="shared" si="69"/>
        <v>3</v>
      </c>
    </row>
    <row r="595" spans="1:15" x14ac:dyDescent="0.2">
      <c r="A595">
        <v>21</v>
      </c>
      <c r="B595" t="str" cm="1">
        <f t="array" ref="B595">_xlfn.IFS(A595&lt;=25,"18-25", A595&lt;=35,"26-35", A595&lt;=45,"36-45", A595&lt;=55,"46-55", A595&lt;=64,"56-64")</f>
        <v>18-25</v>
      </c>
      <c r="C595" t="s">
        <v>7</v>
      </c>
      <c r="D595">
        <v>21.85</v>
      </c>
      <c r="E595">
        <v>1</v>
      </c>
      <c r="F595" t="s">
        <v>8</v>
      </c>
      <c r="G595" t="s">
        <v>53</v>
      </c>
      <c r="H595" s="2">
        <v>15359.104499999999</v>
      </c>
      <c r="I595" s="2">
        <f t="shared" si="63"/>
        <v>7679.5522499999997</v>
      </c>
      <c r="J595" t="str">
        <f t="shared" si="64"/>
        <v>High</v>
      </c>
      <c r="K595" s="1">
        <f t="shared" si="65"/>
        <v>0.73599999999999999</v>
      </c>
      <c r="L595" t="str">
        <f t="shared" si="66"/>
        <v>Normal</v>
      </c>
      <c r="M595" t="str">
        <f t="shared" si="67"/>
        <v>High Risk</v>
      </c>
      <c r="N595" t="str">
        <f t="shared" si="68"/>
        <v>Tier 2</v>
      </c>
      <c r="O595">
        <f t="shared" si="69"/>
        <v>3</v>
      </c>
    </row>
    <row r="596" spans="1:15" x14ac:dyDescent="0.2">
      <c r="A596">
        <v>41</v>
      </c>
      <c r="B596" t="str" cm="1">
        <f t="array" ref="B596">_xlfn.IFS(A596&lt;=25,"18-25", A596&lt;=35,"26-35", A596&lt;=45,"36-45", A596&lt;=55,"46-55", A596&lt;=64,"56-64")</f>
        <v>36-45</v>
      </c>
      <c r="C596" t="s">
        <v>10</v>
      </c>
      <c r="D596">
        <v>40.26</v>
      </c>
      <c r="E596">
        <v>0</v>
      </c>
      <c r="F596" t="s">
        <v>11</v>
      </c>
      <c r="G596" t="s">
        <v>51</v>
      </c>
      <c r="H596" s="2">
        <v>5709.1643999999997</v>
      </c>
      <c r="I596" s="2">
        <f t="shared" si="63"/>
        <v>5709.1643999999997</v>
      </c>
      <c r="J596" t="str">
        <f t="shared" si="64"/>
        <v>Low</v>
      </c>
      <c r="K596" s="1">
        <f t="shared" si="65"/>
        <v>0.308</v>
      </c>
      <c r="L596" t="str">
        <f t="shared" si="66"/>
        <v>Obese</v>
      </c>
      <c r="M596" t="str">
        <f t="shared" si="67"/>
        <v>Standard</v>
      </c>
      <c r="N596" t="str">
        <f t="shared" si="68"/>
        <v>Tier 1</v>
      </c>
      <c r="O596">
        <f t="shared" si="69"/>
        <v>3</v>
      </c>
    </row>
    <row r="597" spans="1:15" x14ac:dyDescent="0.2">
      <c r="A597">
        <v>46</v>
      </c>
      <c r="B597" t="str" cm="1">
        <f t="array" ref="B597">_xlfn.IFS(A597&lt;=25,"18-25", A597&lt;=35,"26-35", A597&lt;=45,"36-45", A597&lt;=55,"46-55", A597&lt;=64,"56-64")</f>
        <v>46-55</v>
      </c>
      <c r="C597" t="s">
        <v>7</v>
      </c>
      <c r="D597">
        <v>33.725000000000001</v>
      </c>
      <c r="E597">
        <v>1</v>
      </c>
      <c r="F597" t="s">
        <v>11</v>
      </c>
      <c r="G597" t="s">
        <v>53</v>
      </c>
      <c r="H597" s="2">
        <v>8823.9857499999998</v>
      </c>
      <c r="I597" s="2">
        <f t="shared" si="63"/>
        <v>4411.9928749999999</v>
      </c>
      <c r="J597" t="str">
        <f t="shared" si="64"/>
        <v>Low</v>
      </c>
      <c r="K597" s="1">
        <f t="shared" si="65"/>
        <v>0.47399999999999998</v>
      </c>
      <c r="L597" t="str">
        <f t="shared" si="66"/>
        <v>Obese</v>
      </c>
      <c r="M597" t="str">
        <f t="shared" si="67"/>
        <v>Standard</v>
      </c>
      <c r="N597" t="str">
        <f t="shared" si="68"/>
        <v>Tier 2</v>
      </c>
      <c r="O597">
        <f t="shared" si="69"/>
        <v>2</v>
      </c>
    </row>
    <row r="598" spans="1:15" x14ac:dyDescent="0.2">
      <c r="A598">
        <v>42</v>
      </c>
      <c r="B598" t="str" cm="1">
        <f t="array" ref="B598">_xlfn.IFS(A598&lt;=25,"18-25", A598&lt;=35,"26-35", A598&lt;=45,"36-45", A598&lt;=55,"46-55", A598&lt;=64,"56-64")</f>
        <v>36-45</v>
      </c>
      <c r="C598" t="s">
        <v>7</v>
      </c>
      <c r="D598">
        <v>29.48</v>
      </c>
      <c r="E598">
        <v>2</v>
      </c>
      <c r="F598" t="s">
        <v>11</v>
      </c>
      <c r="G598" t="s">
        <v>51</v>
      </c>
      <c r="H598" s="2">
        <v>7640.3091999999997</v>
      </c>
      <c r="I598" s="2">
        <f t="shared" si="63"/>
        <v>2546.7697333333331</v>
      </c>
      <c r="J598" t="str">
        <f t="shared" si="64"/>
        <v>Low</v>
      </c>
      <c r="K598" s="1">
        <f t="shared" si="65"/>
        <v>0.41299999999999998</v>
      </c>
      <c r="L598" t="str">
        <f t="shared" si="66"/>
        <v>Overweight</v>
      </c>
      <c r="M598" t="str">
        <f t="shared" si="67"/>
        <v>Standard</v>
      </c>
      <c r="N598" t="str">
        <f t="shared" si="68"/>
        <v>Tier 1</v>
      </c>
      <c r="O598">
        <f t="shared" si="69"/>
        <v>2</v>
      </c>
    </row>
    <row r="599" spans="1:15" x14ac:dyDescent="0.2">
      <c r="A599">
        <v>34</v>
      </c>
      <c r="B599" t="str" cm="1">
        <f t="array" ref="B599">_xlfn.IFS(A599&lt;=25,"18-25", A599&lt;=35,"26-35", A599&lt;=45,"36-45", A599&lt;=55,"46-55", A599&lt;=64,"56-64")</f>
        <v>26-35</v>
      </c>
      <c r="C599" t="s">
        <v>7</v>
      </c>
      <c r="D599">
        <v>33.25</v>
      </c>
      <c r="E599">
        <v>1</v>
      </c>
      <c r="F599" t="s">
        <v>11</v>
      </c>
      <c r="G599" t="s">
        <v>53</v>
      </c>
      <c r="H599" s="2">
        <v>5594.8455000000004</v>
      </c>
      <c r="I599" s="2">
        <f t="shared" si="63"/>
        <v>2797.4227500000002</v>
      </c>
      <c r="J599" t="str">
        <f t="shared" si="64"/>
        <v>Low</v>
      </c>
      <c r="K599" s="1">
        <f t="shared" si="65"/>
        <v>0.30199999999999999</v>
      </c>
      <c r="L599" t="str">
        <f t="shared" si="66"/>
        <v>Obese</v>
      </c>
      <c r="M599" t="str">
        <f t="shared" si="67"/>
        <v>Standard</v>
      </c>
      <c r="N599" t="str">
        <f t="shared" si="68"/>
        <v>Tier 2</v>
      </c>
      <c r="O599">
        <f t="shared" si="69"/>
        <v>2</v>
      </c>
    </row>
    <row r="600" spans="1:15" x14ac:dyDescent="0.2">
      <c r="A600">
        <v>43</v>
      </c>
      <c r="B600" t="str" cm="1">
        <f t="array" ref="B600">_xlfn.IFS(A600&lt;=25,"18-25", A600&lt;=35,"26-35", A600&lt;=45,"36-45", A600&lt;=55,"46-55", A600&lt;=64,"56-64")</f>
        <v>36-45</v>
      </c>
      <c r="C600" t="s">
        <v>10</v>
      </c>
      <c r="D600">
        <v>32.6</v>
      </c>
      <c r="E600">
        <v>2</v>
      </c>
      <c r="F600" t="s">
        <v>11</v>
      </c>
      <c r="G600" t="s">
        <v>52</v>
      </c>
      <c r="H600" s="2">
        <v>7441.5010000000002</v>
      </c>
      <c r="I600" s="2">
        <f t="shared" si="63"/>
        <v>2480.5003333333334</v>
      </c>
      <c r="J600" t="str">
        <f t="shared" si="64"/>
        <v>Low</v>
      </c>
      <c r="K600" s="1">
        <f t="shared" si="65"/>
        <v>0.40300000000000002</v>
      </c>
      <c r="L600" t="str">
        <f t="shared" si="66"/>
        <v>Obese</v>
      </c>
      <c r="M600" t="str">
        <f t="shared" si="67"/>
        <v>Standard</v>
      </c>
      <c r="N600" t="str">
        <f t="shared" si="68"/>
        <v>Tier 3</v>
      </c>
      <c r="O600">
        <f t="shared" si="69"/>
        <v>2</v>
      </c>
    </row>
    <row r="601" spans="1:15" x14ac:dyDescent="0.2">
      <c r="A601">
        <v>52</v>
      </c>
      <c r="B601" t="str" cm="1">
        <f t="array" ref="B601">_xlfn.IFS(A601&lt;=25,"18-25", A601&lt;=35,"26-35", A601&lt;=45,"36-45", A601&lt;=55,"46-55", A601&lt;=64,"56-64")</f>
        <v>46-55</v>
      </c>
      <c r="C601" t="s">
        <v>7</v>
      </c>
      <c r="D601">
        <v>37.524999999999999</v>
      </c>
      <c r="E601">
        <v>2</v>
      </c>
      <c r="F601" t="s">
        <v>11</v>
      </c>
      <c r="G601" t="s">
        <v>54</v>
      </c>
      <c r="H601" s="2">
        <v>33471.971890000001</v>
      </c>
      <c r="I601" s="2">
        <f t="shared" si="63"/>
        <v>11157.323963333334</v>
      </c>
      <c r="J601" t="str">
        <f t="shared" si="64"/>
        <v>High</v>
      </c>
      <c r="K601" s="1">
        <f t="shared" si="65"/>
        <v>0.88800000000000001</v>
      </c>
      <c r="L601" t="str">
        <f t="shared" si="66"/>
        <v>Obese</v>
      </c>
      <c r="M601" t="str">
        <f t="shared" si="67"/>
        <v>Standard</v>
      </c>
      <c r="N601" t="str">
        <f t="shared" si="68"/>
        <v>Tier 4</v>
      </c>
      <c r="O601">
        <f t="shared" si="69"/>
        <v>2</v>
      </c>
    </row>
    <row r="602" spans="1:15" x14ac:dyDescent="0.2">
      <c r="A602">
        <v>18</v>
      </c>
      <c r="B602" t="str" cm="1">
        <f t="array" ref="B602">_xlfn.IFS(A602&lt;=25,"18-25", A602&lt;=35,"26-35", A602&lt;=45,"36-45", A602&lt;=55,"46-55", A602&lt;=64,"56-64")</f>
        <v>18-25</v>
      </c>
      <c r="C602" t="s">
        <v>7</v>
      </c>
      <c r="D602">
        <v>39.159999999999997</v>
      </c>
      <c r="E602">
        <v>0</v>
      </c>
      <c r="F602" t="s">
        <v>11</v>
      </c>
      <c r="G602" t="s">
        <v>51</v>
      </c>
      <c r="H602" s="2">
        <v>1633.0444</v>
      </c>
      <c r="I602" s="2">
        <f t="shared" si="63"/>
        <v>1633.0444</v>
      </c>
      <c r="J602" t="str">
        <f t="shared" si="64"/>
        <v>Low</v>
      </c>
      <c r="K602" s="1">
        <f t="shared" si="65"/>
        <v>2.7E-2</v>
      </c>
      <c r="L602" t="str">
        <f t="shared" si="66"/>
        <v>Obese</v>
      </c>
      <c r="M602" t="str">
        <f t="shared" si="67"/>
        <v>Standard</v>
      </c>
      <c r="N602" t="str">
        <f t="shared" si="68"/>
        <v>Tier 1</v>
      </c>
      <c r="O602">
        <f t="shared" si="69"/>
        <v>3</v>
      </c>
    </row>
    <row r="603" spans="1:15" x14ac:dyDescent="0.2">
      <c r="A603">
        <v>51</v>
      </c>
      <c r="B603" t="str" cm="1">
        <f t="array" ref="B603">_xlfn.IFS(A603&lt;=25,"18-25", A603&lt;=35,"26-35", A603&lt;=45,"36-45", A603&lt;=55,"46-55", A603&lt;=64,"56-64")</f>
        <v>46-55</v>
      </c>
      <c r="C603" t="s">
        <v>10</v>
      </c>
      <c r="D603">
        <v>31.635000000000002</v>
      </c>
      <c r="E603">
        <v>0</v>
      </c>
      <c r="F603" t="s">
        <v>11</v>
      </c>
      <c r="G603" t="s">
        <v>54</v>
      </c>
      <c r="H603" s="2">
        <v>9174.1356500000002</v>
      </c>
      <c r="I603" s="2">
        <f t="shared" si="63"/>
        <v>9174.1356500000002</v>
      </c>
      <c r="J603" t="str">
        <f t="shared" si="64"/>
        <v>Low</v>
      </c>
      <c r="K603" s="1">
        <f t="shared" si="65"/>
        <v>0.48899999999999999</v>
      </c>
      <c r="L603" t="str">
        <f t="shared" si="66"/>
        <v>Obese</v>
      </c>
      <c r="M603" t="str">
        <f t="shared" si="67"/>
        <v>Standard</v>
      </c>
      <c r="N603" t="str">
        <f t="shared" si="68"/>
        <v>Tier 4</v>
      </c>
      <c r="O603">
        <f t="shared" si="69"/>
        <v>2</v>
      </c>
    </row>
    <row r="604" spans="1:15" x14ac:dyDescent="0.2">
      <c r="A604">
        <v>56</v>
      </c>
      <c r="B604" t="str" cm="1">
        <f t="array" ref="B604">_xlfn.IFS(A604&lt;=25,"18-25", A604&lt;=35,"26-35", A604&lt;=45,"36-45", A604&lt;=55,"46-55", A604&lt;=64,"56-64")</f>
        <v>56-64</v>
      </c>
      <c r="C604" t="s">
        <v>7</v>
      </c>
      <c r="D604">
        <v>25.3</v>
      </c>
      <c r="E604">
        <v>0</v>
      </c>
      <c r="F604" t="s">
        <v>11</v>
      </c>
      <c r="G604" t="s">
        <v>52</v>
      </c>
      <c r="H604" s="2">
        <v>11070.535</v>
      </c>
      <c r="I604" s="2">
        <f t="shared" si="63"/>
        <v>11070.535</v>
      </c>
      <c r="J604" t="str">
        <f t="shared" si="64"/>
        <v>Low</v>
      </c>
      <c r="K604" s="1">
        <f t="shared" si="65"/>
        <v>0.57899999999999996</v>
      </c>
      <c r="L604" t="str">
        <f t="shared" si="66"/>
        <v>Overweight</v>
      </c>
      <c r="M604" t="str">
        <f t="shared" si="67"/>
        <v>Standard</v>
      </c>
      <c r="N604" t="str">
        <f t="shared" si="68"/>
        <v>Tier 3</v>
      </c>
      <c r="O604">
        <f t="shared" si="69"/>
        <v>1</v>
      </c>
    </row>
    <row r="605" spans="1:15" x14ac:dyDescent="0.2">
      <c r="A605">
        <v>64</v>
      </c>
      <c r="B605" t="str" cm="1">
        <f t="array" ref="B605">_xlfn.IFS(A605&lt;=25,"18-25", A605&lt;=35,"26-35", A605&lt;=45,"36-45", A605&lt;=55,"46-55", A605&lt;=64,"56-64")</f>
        <v>56-64</v>
      </c>
      <c r="C605" t="s">
        <v>7</v>
      </c>
      <c r="D605">
        <v>39.049999999999997</v>
      </c>
      <c r="E605">
        <v>3</v>
      </c>
      <c r="F605" t="s">
        <v>11</v>
      </c>
      <c r="G605" t="s">
        <v>51</v>
      </c>
      <c r="H605" s="2">
        <v>16085.127500000001</v>
      </c>
      <c r="I605" s="2">
        <f t="shared" si="63"/>
        <v>4021.2818750000001</v>
      </c>
      <c r="J605" t="str">
        <f t="shared" si="64"/>
        <v>High</v>
      </c>
      <c r="K605" s="1">
        <f t="shared" si="65"/>
        <v>0.74199999999999999</v>
      </c>
      <c r="L605" t="str">
        <f t="shared" si="66"/>
        <v>Obese</v>
      </c>
      <c r="M605" t="str">
        <f t="shared" si="67"/>
        <v>Standard</v>
      </c>
      <c r="N605" t="str">
        <f t="shared" si="68"/>
        <v>Tier 1</v>
      </c>
      <c r="O605">
        <f t="shared" si="69"/>
        <v>3</v>
      </c>
    </row>
    <row r="606" spans="1:15" x14ac:dyDescent="0.2">
      <c r="A606">
        <v>19</v>
      </c>
      <c r="B606" t="str" cm="1">
        <f t="array" ref="B606">_xlfn.IFS(A606&lt;=25,"18-25", A606&lt;=35,"26-35", A606&lt;=45,"36-45", A606&lt;=55,"46-55", A606&lt;=64,"56-64")</f>
        <v>18-25</v>
      </c>
      <c r="C606" t="s">
        <v>7</v>
      </c>
      <c r="D606">
        <v>28.31</v>
      </c>
      <c r="E606">
        <v>0</v>
      </c>
      <c r="F606" t="s">
        <v>8</v>
      </c>
      <c r="G606" t="s">
        <v>54</v>
      </c>
      <c r="H606" s="2">
        <v>17468.983899999999</v>
      </c>
      <c r="I606" s="2">
        <f t="shared" si="63"/>
        <v>17468.983899999999</v>
      </c>
      <c r="J606" t="str">
        <f t="shared" si="64"/>
        <v>High</v>
      </c>
      <c r="K606" s="1">
        <f t="shared" si="65"/>
        <v>0.75900000000000001</v>
      </c>
      <c r="L606" t="str">
        <f t="shared" si="66"/>
        <v>Overweight</v>
      </c>
      <c r="M606" t="str">
        <f t="shared" si="67"/>
        <v>High Risk</v>
      </c>
      <c r="N606" t="str">
        <f t="shared" si="68"/>
        <v>Tier 4</v>
      </c>
      <c r="O606">
        <f t="shared" si="69"/>
        <v>4</v>
      </c>
    </row>
    <row r="607" spans="1:15" x14ac:dyDescent="0.2">
      <c r="A607">
        <v>51</v>
      </c>
      <c r="B607" t="str" cm="1">
        <f t="array" ref="B607">_xlfn.IFS(A607&lt;=25,"18-25", A607&lt;=35,"26-35", A607&lt;=45,"36-45", A607&lt;=55,"46-55", A607&lt;=64,"56-64")</f>
        <v>46-55</v>
      </c>
      <c r="C607" t="s">
        <v>7</v>
      </c>
      <c r="D607">
        <v>34.1</v>
      </c>
      <c r="E607">
        <v>0</v>
      </c>
      <c r="F607" t="s">
        <v>11</v>
      </c>
      <c r="G607" t="s">
        <v>51</v>
      </c>
      <c r="H607" s="2">
        <v>9283.5619999999999</v>
      </c>
      <c r="I607" s="2">
        <f t="shared" si="63"/>
        <v>9283.5619999999999</v>
      </c>
      <c r="J607" t="str">
        <f t="shared" si="64"/>
        <v>Low</v>
      </c>
      <c r="K607" s="1">
        <f t="shared" si="65"/>
        <v>0.495</v>
      </c>
      <c r="L607" t="str">
        <f t="shared" si="66"/>
        <v>Obese</v>
      </c>
      <c r="M607" t="str">
        <f t="shared" si="67"/>
        <v>Standard</v>
      </c>
      <c r="N607" t="str">
        <f t="shared" si="68"/>
        <v>Tier 1</v>
      </c>
      <c r="O607">
        <f t="shared" si="69"/>
        <v>3</v>
      </c>
    </row>
    <row r="608" spans="1:15" x14ac:dyDescent="0.2">
      <c r="A608">
        <v>27</v>
      </c>
      <c r="B608" t="str" cm="1">
        <f t="array" ref="B608">_xlfn.IFS(A608&lt;=25,"18-25", A608&lt;=35,"26-35", A608&lt;=45,"36-45", A608&lt;=55,"46-55", A608&lt;=64,"56-64")</f>
        <v>26-35</v>
      </c>
      <c r="C608" t="s">
        <v>7</v>
      </c>
      <c r="D608">
        <v>25.175000000000001</v>
      </c>
      <c r="E608">
        <v>0</v>
      </c>
      <c r="F608" t="s">
        <v>11</v>
      </c>
      <c r="G608" t="s">
        <v>53</v>
      </c>
      <c r="H608" s="2">
        <v>3558.6202499999999</v>
      </c>
      <c r="I608" s="2">
        <f t="shared" si="63"/>
        <v>3558.6202499999999</v>
      </c>
      <c r="J608" t="str">
        <f t="shared" si="64"/>
        <v>Low</v>
      </c>
      <c r="K608" s="1">
        <f t="shared" si="65"/>
        <v>0.17499999999999999</v>
      </c>
      <c r="L608" t="str">
        <f t="shared" si="66"/>
        <v>Overweight</v>
      </c>
      <c r="M608" t="str">
        <f t="shared" si="67"/>
        <v>Standard</v>
      </c>
      <c r="N608" t="str">
        <f t="shared" si="68"/>
        <v>Tier 2</v>
      </c>
      <c r="O608">
        <f t="shared" si="69"/>
        <v>1</v>
      </c>
    </row>
    <row r="609" spans="1:15" x14ac:dyDescent="0.2">
      <c r="A609">
        <v>59</v>
      </c>
      <c r="B609" t="str" cm="1">
        <f t="array" ref="B609">_xlfn.IFS(A609&lt;=25,"18-25", A609&lt;=35,"26-35", A609&lt;=45,"36-45", A609&lt;=55,"46-55", A609&lt;=64,"56-64")</f>
        <v>56-64</v>
      </c>
      <c r="C609" t="s">
        <v>7</v>
      </c>
      <c r="D609">
        <v>23.655000000000001</v>
      </c>
      <c r="E609">
        <v>0</v>
      </c>
      <c r="F609" t="s">
        <v>8</v>
      </c>
      <c r="G609" t="s">
        <v>54</v>
      </c>
      <c r="H609" s="2">
        <v>25678.778450000002</v>
      </c>
      <c r="I609" s="2">
        <f t="shared" si="63"/>
        <v>25678.778450000002</v>
      </c>
      <c r="J609" t="str">
        <f t="shared" si="64"/>
        <v>High</v>
      </c>
      <c r="K609" s="1">
        <f t="shared" si="65"/>
        <v>0.85399999999999998</v>
      </c>
      <c r="L609" t="str">
        <f t="shared" si="66"/>
        <v>Normal</v>
      </c>
      <c r="M609" t="str">
        <f t="shared" si="67"/>
        <v>High Risk</v>
      </c>
      <c r="N609" t="str">
        <f t="shared" si="68"/>
        <v>Tier 4</v>
      </c>
      <c r="O609">
        <f t="shared" si="69"/>
        <v>3</v>
      </c>
    </row>
    <row r="610" spans="1:15" x14ac:dyDescent="0.2">
      <c r="A610">
        <v>28</v>
      </c>
      <c r="B610" t="str" cm="1">
        <f t="array" ref="B610">_xlfn.IFS(A610&lt;=25,"18-25", A610&lt;=35,"26-35", A610&lt;=45,"36-45", A610&lt;=55,"46-55", A610&lt;=64,"56-64")</f>
        <v>26-35</v>
      </c>
      <c r="C610" t="s">
        <v>10</v>
      </c>
      <c r="D610">
        <v>26.98</v>
      </c>
      <c r="E610">
        <v>2</v>
      </c>
      <c r="F610" t="s">
        <v>11</v>
      </c>
      <c r="G610" t="s">
        <v>53</v>
      </c>
      <c r="H610" s="2">
        <v>4435.0941999999995</v>
      </c>
      <c r="I610" s="2">
        <f t="shared" si="63"/>
        <v>1478.3647333333331</v>
      </c>
      <c r="J610" t="str">
        <f t="shared" si="64"/>
        <v>Low</v>
      </c>
      <c r="K610" s="1">
        <f t="shared" si="65"/>
        <v>0.22700000000000001</v>
      </c>
      <c r="L610" t="str">
        <f t="shared" si="66"/>
        <v>Overweight</v>
      </c>
      <c r="M610" t="str">
        <f t="shared" si="67"/>
        <v>Standard</v>
      </c>
      <c r="N610" t="str">
        <f t="shared" si="68"/>
        <v>Tier 2</v>
      </c>
      <c r="O610">
        <f t="shared" si="69"/>
        <v>1</v>
      </c>
    </row>
    <row r="611" spans="1:15" x14ac:dyDescent="0.2">
      <c r="A611">
        <v>30</v>
      </c>
      <c r="B611" t="str" cm="1">
        <f t="array" ref="B611">_xlfn.IFS(A611&lt;=25,"18-25", A611&lt;=35,"26-35", A611&lt;=45,"36-45", A611&lt;=55,"46-55", A611&lt;=64,"56-64")</f>
        <v>26-35</v>
      </c>
      <c r="C611" t="s">
        <v>10</v>
      </c>
      <c r="D611">
        <v>37.799999999999997</v>
      </c>
      <c r="E611">
        <v>2</v>
      </c>
      <c r="F611" t="s">
        <v>8</v>
      </c>
      <c r="G611" t="s">
        <v>52</v>
      </c>
      <c r="H611" s="2">
        <v>39241.442000000003</v>
      </c>
      <c r="I611" s="2">
        <f t="shared" si="63"/>
        <v>13080.480666666668</v>
      </c>
      <c r="J611" t="str">
        <f t="shared" si="64"/>
        <v>High</v>
      </c>
      <c r="K611" s="1">
        <f t="shared" si="65"/>
        <v>0.93300000000000005</v>
      </c>
      <c r="L611" t="str">
        <f t="shared" si="66"/>
        <v>Obese</v>
      </c>
      <c r="M611" t="str">
        <f t="shared" si="67"/>
        <v>High Risk</v>
      </c>
      <c r="N611" t="str">
        <f t="shared" si="68"/>
        <v>Tier 3</v>
      </c>
      <c r="O611">
        <f t="shared" si="69"/>
        <v>5</v>
      </c>
    </row>
    <row r="612" spans="1:15" x14ac:dyDescent="0.2">
      <c r="A612">
        <v>47</v>
      </c>
      <c r="B612" t="str" cm="1">
        <f t="array" ref="B612">_xlfn.IFS(A612&lt;=25,"18-25", A612&lt;=35,"26-35", A612&lt;=45,"36-45", A612&lt;=55,"46-55", A612&lt;=64,"56-64")</f>
        <v>46-55</v>
      </c>
      <c r="C612" t="s">
        <v>7</v>
      </c>
      <c r="D612">
        <v>29.37</v>
      </c>
      <c r="E612">
        <v>1</v>
      </c>
      <c r="F612" t="s">
        <v>11</v>
      </c>
      <c r="G612" t="s">
        <v>51</v>
      </c>
      <c r="H612" s="2">
        <v>8547.6913000000004</v>
      </c>
      <c r="I612" s="2">
        <f t="shared" si="63"/>
        <v>4273.8456500000002</v>
      </c>
      <c r="J612" t="str">
        <f t="shared" si="64"/>
        <v>Low</v>
      </c>
      <c r="K612" s="1">
        <f t="shared" si="65"/>
        <v>0.45800000000000002</v>
      </c>
      <c r="L612" t="str">
        <f t="shared" si="66"/>
        <v>Overweight</v>
      </c>
      <c r="M612" t="str">
        <f t="shared" si="67"/>
        <v>Standard</v>
      </c>
      <c r="N612" t="str">
        <f t="shared" si="68"/>
        <v>Tier 1</v>
      </c>
      <c r="O612">
        <f t="shared" si="69"/>
        <v>2</v>
      </c>
    </row>
    <row r="613" spans="1:15" x14ac:dyDescent="0.2">
      <c r="A613">
        <v>38</v>
      </c>
      <c r="B613" t="str" cm="1">
        <f t="array" ref="B613">_xlfn.IFS(A613&lt;=25,"18-25", A613&lt;=35,"26-35", A613&lt;=45,"36-45", A613&lt;=55,"46-55", A613&lt;=64,"56-64")</f>
        <v>36-45</v>
      </c>
      <c r="C613" t="s">
        <v>7</v>
      </c>
      <c r="D613">
        <v>34.799999999999997</v>
      </c>
      <c r="E613">
        <v>2</v>
      </c>
      <c r="F613" t="s">
        <v>11</v>
      </c>
      <c r="G613" t="s">
        <v>52</v>
      </c>
      <c r="H613" s="2">
        <v>6571.5439999999999</v>
      </c>
      <c r="I613" s="2">
        <f t="shared" si="63"/>
        <v>2190.5146666666665</v>
      </c>
      <c r="J613" t="str">
        <f t="shared" si="64"/>
        <v>Low</v>
      </c>
      <c r="K613" s="1">
        <f t="shared" si="65"/>
        <v>0.35299999999999998</v>
      </c>
      <c r="L613" t="str">
        <f t="shared" si="66"/>
        <v>Obese</v>
      </c>
      <c r="M613" t="str">
        <f t="shared" si="67"/>
        <v>Standard</v>
      </c>
      <c r="N613" t="str">
        <f t="shared" si="68"/>
        <v>Tier 3</v>
      </c>
      <c r="O613">
        <f t="shared" si="69"/>
        <v>2</v>
      </c>
    </row>
    <row r="614" spans="1:15" x14ac:dyDescent="0.2">
      <c r="A614">
        <v>18</v>
      </c>
      <c r="B614" t="str" cm="1">
        <f t="array" ref="B614">_xlfn.IFS(A614&lt;=25,"18-25", A614&lt;=35,"26-35", A614&lt;=45,"36-45", A614&lt;=55,"46-55", A614&lt;=64,"56-64")</f>
        <v>18-25</v>
      </c>
      <c r="C614" t="s">
        <v>7</v>
      </c>
      <c r="D614">
        <v>33.155000000000001</v>
      </c>
      <c r="E614">
        <v>0</v>
      </c>
      <c r="F614" t="s">
        <v>11</v>
      </c>
      <c r="G614" t="s">
        <v>53</v>
      </c>
      <c r="H614" s="2">
        <v>2207.6974500000001</v>
      </c>
      <c r="I614" s="2">
        <f t="shared" si="63"/>
        <v>2207.6974500000001</v>
      </c>
      <c r="J614" t="str">
        <f t="shared" si="64"/>
        <v>Low</v>
      </c>
      <c r="K614" s="1">
        <f t="shared" si="65"/>
        <v>8.8999999999999996E-2</v>
      </c>
      <c r="L614" t="str">
        <f t="shared" si="66"/>
        <v>Obese</v>
      </c>
      <c r="M614" t="str">
        <f t="shared" si="67"/>
        <v>Standard</v>
      </c>
      <c r="N614" t="str">
        <f t="shared" si="68"/>
        <v>Tier 2</v>
      </c>
      <c r="O614">
        <f t="shared" si="69"/>
        <v>2</v>
      </c>
    </row>
    <row r="615" spans="1:15" x14ac:dyDescent="0.2">
      <c r="A615">
        <v>34</v>
      </c>
      <c r="B615" t="str" cm="1">
        <f t="array" ref="B615">_xlfn.IFS(A615&lt;=25,"18-25", A615&lt;=35,"26-35", A615&lt;=45,"36-45", A615&lt;=55,"46-55", A615&lt;=64,"56-64")</f>
        <v>26-35</v>
      </c>
      <c r="C615" t="s">
        <v>7</v>
      </c>
      <c r="D615">
        <v>19</v>
      </c>
      <c r="E615">
        <v>3</v>
      </c>
      <c r="F615" t="s">
        <v>11</v>
      </c>
      <c r="G615" t="s">
        <v>53</v>
      </c>
      <c r="H615" s="2">
        <v>6753.0379999999996</v>
      </c>
      <c r="I615" s="2">
        <f t="shared" si="63"/>
        <v>1688.2594999999999</v>
      </c>
      <c r="J615" t="str">
        <f t="shared" si="64"/>
        <v>Low</v>
      </c>
      <c r="K615" s="1">
        <f t="shared" si="65"/>
        <v>0.36299999999999999</v>
      </c>
      <c r="L615" t="str">
        <f t="shared" si="66"/>
        <v>Normal</v>
      </c>
      <c r="M615" t="str">
        <f t="shared" si="67"/>
        <v>Standard</v>
      </c>
      <c r="N615" t="str">
        <f t="shared" si="68"/>
        <v>Tier 2</v>
      </c>
      <c r="O615">
        <f t="shared" si="69"/>
        <v>0</v>
      </c>
    </row>
    <row r="616" spans="1:15" x14ac:dyDescent="0.2">
      <c r="A616">
        <v>20</v>
      </c>
      <c r="B616" t="str" cm="1">
        <f t="array" ref="B616">_xlfn.IFS(A616&lt;=25,"18-25", A616&lt;=35,"26-35", A616&lt;=45,"36-45", A616&lt;=55,"46-55", A616&lt;=64,"56-64")</f>
        <v>18-25</v>
      </c>
      <c r="C616" t="s">
        <v>7</v>
      </c>
      <c r="D616">
        <v>33</v>
      </c>
      <c r="E616">
        <v>0</v>
      </c>
      <c r="F616" t="s">
        <v>11</v>
      </c>
      <c r="G616" t="s">
        <v>51</v>
      </c>
      <c r="H616" s="2">
        <v>1880.07</v>
      </c>
      <c r="I616" s="2">
        <f t="shared" si="63"/>
        <v>1880.07</v>
      </c>
      <c r="J616" t="str">
        <f t="shared" si="64"/>
        <v>Low</v>
      </c>
      <c r="K616" s="1">
        <f t="shared" si="65"/>
        <v>5.8000000000000003E-2</v>
      </c>
      <c r="L616" t="str">
        <f t="shared" si="66"/>
        <v>Obese</v>
      </c>
      <c r="M616" t="str">
        <f t="shared" si="67"/>
        <v>Standard</v>
      </c>
      <c r="N616" t="str">
        <f t="shared" si="68"/>
        <v>Tier 1</v>
      </c>
      <c r="O616">
        <f t="shared" si="69"/>
        <v>3</v>
      </c>
    </row>
    <row r="617" spans="1:15" x14ac:dyDescent="0.2">
      <c r="A617">
        <v>47</v>
      </c>
      <c r="B617" t="str" cm="1">
        <f t="array" ref="B617">_xlfn.IFS(A617&lt;=25,"18-25", A617&lt;=35,"26-35", A617&lt;=45,"36-45", A617&lt;=55,"46-55", A617&lt;=64,"56-64")</f>
        <v>46-55</v>
      </c>
      <c r="C617" t="s">
        <v>7</v>
      </c>
      <c r="D617">
        <v>36.630000000000003</v>
      </c>
      <c r="E617">
        <v>1</v>
      </c>
      <c r="F617" t="s">
        <v>8</v>
      </c>
      <c r="G617" t="s">
        <v>51</v>
      </c>
      <c r="H617" s="2">
        <v>42969.852700000003</v>
      </c>
      <c r="I617" s="2">
        <f t="shared" si="63"/>
        <v>21484.926350000002</v>
      </c>
      <c r="J617" t="str">
        <f t="shared" si="64"/>
        <v>High</v>
      </c>
      <c r="K617" s="1">
        <f t="shared" si="65"/>
        <v>0.96</v>
      </c>
      <c r="L617" t="str">
        <f t="shared" si="66"/>
        <v>Obese</v>
      </c>
      <c r="M617" t="str">
        <f t="shared" si="67"/>
        <v>High Risk</v>
      </c>
      <c r="N617" t="str">
        <f t="shared" si="68"/>
        <v>Tier 1</v>
      </c>
      <c r="O617">
        <f t="shared" si="69"/>
        <v>6</v>
      </c>
    </row>
    <row r="618" spans="1:15" x14ac:dyDescent="0.2">
      <c r="A618">
        <v>56</v>
      </c>
      <c r="B618" t="str" cm="1">
        <f t="array" ref="B618">_xlfn.IFS(A618&lt;=25,"18-25", A618&lt;=35,"26-35", A618&lt;=45,"36-45", A618&lt;=55,"46-55", A618&lt;=64,"56-64")</f>
        <v>56-64</v>
      </c>
      <c r="C618" t="s">
        <v>7</v>
      </c>
      <c r="D618">
        <v>28.594999999999999</v>
      </c>
      <c r="E618">
        <v>0</v>
      </c>
      <c r="F618" t="s">
        <v>11</v>
      </c>
      <c r="G618" t="s">
        <v>53</v>
      </c>
      <c r="H618" s="2">
        <v>11658.11505</v>
      </c>
      <c r="I618" s="2">
        <f t="shared" si="63"/>
        <v>11658.11505</v>
      </c>
      <c r="J618" t="str">
        <f t="shared" si="64"/>
        <v>Low</v>
      </c>
      <c r="K618" s="1">
        <f t="shared" si="65"/>
        <v>0.61099999999999999</v>
      </c>
      <c r="L618" t="str">
        <f t="shared" si="66"/>
        <v>Overweight</v>
      </c>
      <c r="M618" t="str">
        <f t="shared" si="67"/>
        <v>Standard</v>
      </c>
      <c r="N618" t="str">
        <f t="shared" si="68"/>
        <v>Tier 2</v>
      </c>
      <c r="O618">
        <f t="shared" si="69"/>
        <v>1</v>
      </c>
    </row>
    <row r="619" spans="1:15" x14ac:dyDescent="0.2">
      <c r="A619">
        <v>49</v>
      </c>
      <c r="B619" t="str" cm="1">
        <f t="array" ref="B619">_xlfn.IFS(A619&lt;=25,"18-25", A619&lt;=35,"26-35", A619&lt;=45,"36-45", A619&lt;=55,"46-55", A619&lt;=64,"56-64")</f>
        <v>46-55</v>
      </c>
      <c r="C619" t="s">
        <v>10</v>
      </c>
      <c r="D619">
        <v>25.6</v>
      </c>
      <c r="E619">
        <v>2</v>
      </c>
      <c r="F619" t="s">
        <v>8</v>
      </c>
      <c r="G619" t="s">
        <v>52</v>
      </c>
      <c r="H619" s="2">
        <v>23306.546999999999</v>
      </c>
      <c r="I619" s="2">
        <f t="shared" si="63"/>
        <v>7768.8489999999993</v>
      </c>
      <c r="J619" t="str">
        <f t="shared" si="64"/>
        <v>High</v>
      </c>
      <c r="K619" s="1">
        <f t="shared" si="65"/>
        <v>0.83299999999999996</v>
      </c>
      <c r="L619" t="str">
        <f t="shared" si="66"/>
        <v>Overweight</v>
      </c>
      <c r="M619" t="str">
        <f t="shared" si="67"/>
        <v>High Risk</v>
      </c>
      <c r="N619" t="str">
        <f t="shared" si="68"/>
        <v>Tier 3</v>
      </c>
      <c r="O619">
        <f t="shared" si="69"/>
        <v>4</v>
      </c>
    </row>
    <row r="620" spans="1:15" x14ac:dyDescent="0.2">
      <c r="A620">
        <v>19</v>
      </c>
      <c r="B620" t="str" cm="1">
        <f t="array" ref="B620">_xlfn.IFS(A620&lt;=25,"18-25", A620&lt;=35,"26-35", A620&lt;=45,"36-45", A620&lt;=55,"46-55", A620&lt;=64,"56-64")</f>
        <v>18-25</v>
      </c>
      <c r="C620" t="s">
        <v>7</v>
      </c>
      <c r="D620">
        <v>33.11</v>
      </c>
      <c r="E620">
        <v>0</v>
      </c>
      <c r="F620" t="s">
        <v>8</v>
      </c>
      <c r="G620" t="s">
        <v>51</v>
      </c>
      <c r="H620" s="2">
        <v>34439.855900000002</v>
      </c>
      <c r="I620" s="2">
        <f t="shared" si="63"/>
        <v>34439.855900000002</v>
      </c>
      <c r="J620" t="str">
        <f t="shared" si="64"/>
        <v>High</v>
      </c>
      <c r="K620" s="1">
        <f t="shared" si="65"/>
        <v>0.89500000000000002</v>
      </c>
      <c r="L620" t="str">
        <f t="shared" si="66"/>
        <v>Obese</v>
      </c>
      <c r="M620" t="str">
        <f t="shared" si="67"/>
        <v>High Risk</v>
      </c>
      <c r="N620" t="str">
        <f t="shared" si="68"/>
        <v>Tier 1</v>
      </c>
      <c r="O620">
        <f t="shared" si="69"/>
        <v>6</v>
      </c>
    </row>
    <row r="621" spans="1:15" x14ac:dyDescent="0.2">
      <c r="A621">
        <v>55</v>
      </c>
      <c r="B621" t="str" cm="1">
        <f t="array" ref="B621">_xlfn.IFS(A621&lt;=25,"18-25", A621&lt;=35,"26-35", A621&lt;=45,"36-45", A621&lt;=55,"46-55", A621&lt;=64,"56-64")</f>
        <v>46-55</v>
      </c>
      <c r="C621" t="s">
        <v>7</v>
      </c>
      <c r="D621">
        <v>37.1</v>
      </c>
      <c r="E621">
        <v>0</v>
      </c>
      <c r="F621" t="s">
        <v>11</v>
      </c>
      <c r="G621" t="s">
        <v>52</v>
      </c>
      <c r="H621" s="2">
        <v>10713.644</v>
      </c>
      <c r="I621" s="2">
        <f t="shared" si="63"/>
        <v>10713.644</v>
      </c>
      <c r="J621" t="str">
        <f t="shared" si="64"/>
        <v>Low</v>
      </c>
      <c r="K621" s="1">
        <f t="shared" si="65"/>
        <v>0.56299999999999994</v>
      </c>
      <c r="L621" t="str">
        <f t="shared" si="66"/>
        <v>Obese</v>
      </c>
      <c r="M621" t="str">
        <f t="shared" si="67"/>
        <v>Standard</v>
      </c>
      <c r="N621" t="str">
        <f t="shared" si="68"/>
        <v>Tier 3</v>
      </c>
      <c r="O621">
        <f t="shared" si="69"/>
        <v>2</v>
      </c>
    </row>
    <row r="622" spans="1:15" x14ac:dyDescent="0.2">
      <c r="A622">
        <v>30</v>
      </c>
      <c r="B622" t="str" cm="1">
        <f t="array" ref="B622">_xlfn.IFS(A622&lt;=25,"18-25", A622&lt;=35,"26-35", A622&lt;=45,"36-45", A622&lt;=55,"46-55", A622&lt;=64,"56-64")</f>
        <v>26-35</v>
      </c>
      <c r="C622" t="s">
        <v>10</v>
      </c>
      <c r="D622">
        <v>31.4</v>
      </c>
      <c r="E622">
        <v>1</v>
      </c>
      <c r="F622" t="s">
        <v>11</v>
      </c>
      <c r="G622" t="s">
        <v>52</v>
      </c>
      <c r="H622" s="2">
        <v>3659.346</v>
      </c>
      <c r="I622" s="2">
        <f t="shared" si="63"/>
        <v>1829.673</v>
      </c>
      <c r="J622" t="str">
        <f t="shared" si="64"/>
        <v>Low</v>
      </c>
      <c r="K622" s="1">
        <f t="shared" si="65"/>
        <v>0.18099999999999999</v>
      </c>
      <c r="L622" t="str">
        <f t="shared" si="66"/>
        <v>Obese</v>
      </c>
      <c r="M622" t="str">
        <f t="shared" si="67"/>
        <v>Standard</v>
      </c>
      <c r="N622" t="str">
        <f t="shared" si="68"/>
        <v>Tier 3</v>
      </c>
      <c r="O622">
        <f t="shared" si="69"/>
        <v>2</v>
      </c>
    </row>
    <row r="623" spans="1:15" x14ac:dyDescent="0.2">
      <c r="A623">
        <v>37</v>
      </c>
      <c r="B623" t="str" cm="1">
        <f t="array" ref="B623">_xlfn.IFS(A623&lt;=25,"18-25", A623&lt;=35,"26-35", A623&lt;=45,"36-45", A623&lt;=55,"46-55", A623&lt;=64,"56-64")</f>
        <v>36-45</v>
      </c>
      <c r="C623" t="s">
        <v>10</v>
      </c>
      <c r="D623">
        <v>34.1</v>
      </c>
      <c r="E623">
        <v>4</v>
      </c>
      <c r="F623" t="s">
        <v>8</v>
      </c>
      <c r="G623" t="s">
        <v>52</v>
      </c>
      <c r="H623" s="2">
        <v>40182.245999999999</v>
      </c>
      <c r="I623" s="2">
        <f t="shared" si="63"/>
        <v>8036.4492</v>
      </c>
      <c r="J623" t="str">
        <f t="shared" si="64"/>
        <v>High</v>
      </c>
      <c r="K623" s="1">
        <f t="shared" si="65"/>
        <v>0.94299999999999995</v>
      </c>
      <c r="L623" t="str">
        <f t="shared" si="66"/>
        <v>Obese</v>
      </c>
      <c r="M623" t="str">
        <f t="shared" si="67"/>
        <v>High Risk</v>
      </c>
      <c r="N623" t="str">
        <f t="shared" si="68"/>
        <v>Tier 3</v>
      </c>
      <c r="O623">
        <f t="shared" si="69"/>
        <v>5</v>
      </c>
    </row>
    <row r="624" spans="1:15" x14ac:dyDescent="0.2">
      <c r="A624">
        <v>49</v>
      </c>
      <c r="B624" t="str" cm="1">
        <f t="array" ref="B624">_xlfn.IFS(A624&lt;=25,"18-25", A624&lt;=35,"26-35", A624&lt;=45,"36-45", A624&lt;=55,"46-55", A624&lt;=64,"56-64")</f>
        <v>46-55</v>
      </c>
      <c r="C624" t="s">
        <v>7</v>
      </c>
      <c r="D624">
        <v>21.3</v>
      </c>
      <c r="E624">
        <v>1</v>
      </c>
      <c r="F624" t="s">
        <v>11</v>
      </c>
      <c r="G624" t="s">
        <v>52</v>
      </c>
      <c r="H624" s="2">
        <v>9182.17</v>
      </c>
      <c r="I624" s="2">
        <f t="shared" si="63"/>
        <v>4591.085</v>
      </c>
      <c r="J624" t="str">
        <f t="shared" si="64"/>
        <v>Low</v>
      </c>
      <c r="K624" s="1">
        <f t="shared" si="65"/>
        <v>0.48899999999999999</v>
      </c>
      <c r="L624" t="str">
        <f t="shared" si="66"/>
        <v>Normal</v>
      </c>
      <c r="M624" t="str">
        <f t="shared" si="67"/>
        <v>Standard</v>
      </c>
      <c r="N624" t="str">
        <f t="shared" si="68"/>
        <v>Tier 3</v>
      </c>
      <c r="O624">
        <f t="shared" si="69"/>
        <v>0</v>
      </c>
    </row>
    <row r="625" spans="1:15" x14ac:dyDescent="0.2">
      <c r="A625">
        <v>18</v>
      </c>
      <c r="B625" t="str" cm="1">
        <f t="array" ref="B625">_xlfn.IFS(A625&lt;=25,"18-25", A625&lt;=35,"26-35", A625&lt;=45,"36-45", A625&lt;=55,"46-55", A625&lt;=64,"56-64")</f>
        <v>18-25</v>
      </c>
      <c r="C625" t="s">
        <v>10</v>
      </c>
      <c r="D625">
        <v>33.534999999999997</v>
      </c>
      <c r="E625">
        <v>0</v>
      </c>
      <c r="F625" t="s">
        <v>8</v>
      </c>
      <c r="G625" t="s">
        <v>53</v>
      </c>
      <c r="H625" s="2">
        <v>34617.840649999998</v>
      </c>
      <c r="I625" s="2">
        <f t="shared" si="63"/>
        <v>34617.840649999998</v>
      </c>
      <c r="J625" t="str">
        <f t="shared" si="64"/>
        <v>High</v>
      </c>
      <c r="K625" s="1">
        <f t="shared" si="65"/>
        <v>0.89600000000000002</v>
      </c>
      <c r="L625" t="str">
        <f t="shared" si="66"/>
        <v>Obese</v>
      </c>
      <c r="M625" t="str">
        <f t="shared" si="67"/>
        <v>High Risk</v>
      </c>
      <c r="N625" t="str">
        <f t="shared" si="68"/>
        <v>Tier 2</v>
      </c>
      <c r="O625">
        <f t="shared" si="69"/>
        <v>5</v>
      </c>
    </row>
    <row r="626" spans="1:15" x14ac:dyDescent="0.2">
      <c r="A626">
        <v>59</v>
      </c>
      <c r="B626" t="str" cm="1">
        <f t="array" ref="B626">_xlfn.IFS(A626&lt;=25,"18-25", A626&lt;=35,"26-35", A626&lt;=45,"36-45", A626&lt;=55,"46-55", A626&lt;=64,"56-64")</f>
        <v>56-64</v>
      </c>
      <c r="C626" t="s">
        <v>10</v>
      </c>
      <c r="D626">
        <v>28.785</v>
      </c>
      <c r="E626">
        <v>0</v>
      </c>
      <c r="F626" t="s">
        <v>11</v>
      </c>
      <c r="G626" t="s">
        <v>54</v>
      </c>
      <c r="H626" s="2">
        <v>12129.614149999999</v>
      </c>
      <c r="I626" s="2">
        <f t="shared" si="63"/>
        <v>12129.614149999999</v>
      </c>
      <c r="J626" t="str">
        <f t="shared" si="64"/>
        <v>Low</v>
      </c>
      <c r="K626" s="1">
        <f t="shared" si="65"/>
        <v>0.63700000000000001</v>
      </c>
      <c r="L626" t="str">
        <f t="shared" si="66"/>
        <v>Overweight</v>
      </c>
      <c r="M626" t="str">
        <f t="shared" si="67"/>
        <v>Standard</v>
      </c>
      <c r="N626" t="str">
        <f t="shared" si="68"/>
        <v>Tier 4</v>
      </c>
      <c r="O626">
        <f t="shared" si="69"/>
        <v>1</v>
      </c>
    </row>
    <row r="627" spans="1:15" x14ac:dyDescent="0.2">
      <c r="A627">
        <v>29</v>
      </c>
      <c r="B627" t="str" cm="1">
        <f t="array" ref="B627">_xlfn.IFS(A627&lt;=25,"18-25", A627&lt;=35,"26-35", A627&lt;=45,"36-45", A627&lt;=55,"46-55", A627&lt;=64,"56-64")</f>
        <v>26-35</v>
      </c>
      <c r="C627" t="s">
        <v>7</v>
      </c>
      <c r="D627">
        <v>26.03</v>
      </c>
      <c r="E627">
        <v>0</v>
      </c>
      <c r="F627" t="s">
        <v>11</v>
      </c>
      <c r="G627" t="s">
        <v>54</v>
      </c>
      <c r="H627" s="2">
        <v>3736.4647</v>
      </c>
      <c r="I627" s="2">
        <f t="shared" si="63"/>
        <v>3736.4647</v>
      </c>
      <c r="J627" t="str">
        <f t="shared" si="64"/>
        <v>Low</v>
      </c>
      <c r="K627" s="1">
        <f t="shared" si="65"/>
        <v>0.184</v>
      </c>
      <c r="L627" t="str">
        <f t="shared" si="66"/>
        <v>Overweight</v>
      </c>
      <c r="M627" t="str">
        <f t="shared" si="67"/>
        <v>Standard</v>
      </c>
      <c r="N627" t="str">
        <f t="shared" si="68"/>
        <v>Tier 4</v>
      </c>
      <c r="O627">
        <f t="shared" si="69"/>
        <v>1</v>
      </c>
    </row>
    <row r="628" spans="1:15" x14ac:dyDescent="0.2">
      <c r="A628">
        <v>36</v>
      </c>
      <c r="B628" t="str" cm="1">
        <f t="array" ref="B628">_xlfn.IFS(A628&lt;=25,"18-25", A628&lt;=35,"26-35", A628&lt;=45,"36-45", A628&lt;=55,"46-55", A628&lt;=64,"56-64")</f>
        <v>36-45</v>
      </c>
      <c r="C628" t="s">
        <v>10</v>
      </c>
      <c r="D628">
        <v>28.88</v>
      </c>
      <c r="E628">
        <v>3</v>
      </c>
      <c r="F628" t="s">
        <v>11</v>
      </c>
      <c r="G628" t="s">
        <v>53</v>
      </c>
      <c r="H628" s="2">
        <v>6748.5911999999998</v>
      </c>
      <c r="I628" s="2">
        <f t="shared" si="63"/>
        <v>1687.1478</v>
      </c>
      <c r="J628" t="str">
        <f t="shared" si="64"/>
        <v>Low</v>
      </c>
      <c r="K628" s="1">
        <f t="shared" si="65"/>
        <v>0.36199999999999999</v>
      </c>
      <c r="L628" t="str">
        <f t="shared" si="66"/>
        <v>Overweight</v>
      </c>
      <c r="M628" t="str">
        <f t="shared" si="67"/>
        <v>Standard</v>
      </c>
      <c r="N628" t="str">
        <f t="shared" si="68"/>
        <v>Tier 2</v>
      </c>
      <c r="O628">
        <f t="shared" si="69"/>
        <v>1</v>
      </c>
    </row>
    <row r="629" spans="1:15" x14ac:dyDescent="0.2">
      <c r="A629">
        <v>33</v>
      </c>
      <c r="B629" t="str" cm="1">
        <f t="array" ref="B629">_xlfn.IFS(A629&lt;=25,"18-25", A629&lt;=35,"26-35", A629&lt;=45,"36-45", A629&lt;=55,"46-55", A629&lt;=64,"56-64")</f>
        <v>26-35</v>
      </c>
      <c r="C629" t="s">
        <v>10</v>
      </c>
      <c r="D629">
        <v>42.46</v>
      </c>
      <c r="E629">
        <v>1</v>
      </c>
      <c r="F629" t="s">
        <v>11</v>
      </c>
      <c r="G629" t="s">
        <v>51</v>
      </c>
      <c r="H629" s="2">
        <v>11326.71487</v>
      </c>
      <c r="I629" s="2">
        <f t="shared" si="63"/>
        <v>5663.3574349999999</v>
      </c>
      <c r="J629" t="str">
        <f t="shared" si="64"/>
        <v>Low</v>
      </c>
      <c r="K629" s="1">
        <f t="shared" si="65"/>
        <v>0.59299999999999997</v>
      </c>
      <c r="L629" t="str">
        <f t="shared" si="66"/>
        <v>Obese</v>
      </c>
      <c r="M629" t="str">
        <f t="shared" si="67"/>
        <v>Standard</v>
      </c>
      <c r="N629" t="str">
        <f t="shared" si="68"/>
        <v>Tier 1</v>
      </c>
      <c r="O629">
        <f t="shared" si="69"/>
        <v>3</v>
      </c>
    </row>
    <row r="630" spans="1:15" x14ac:dyDescent="0.2">
      <c r="A630">
        <v>58</v>
      </c>
      <c r="B630" t="str" cm="1">
        <f t="array" ref="B630">_xlfn.IFS(A630&lt;=25,"18-25", A630&lt;=35,"26-35", A630&lt;=45,"36-45", A630&lt;=55,"46-55", A630&lt;=64,"56-64")</f>
        <v>56-64</v>
      </c>
      <c r="C630" t="s">
        <v>10</v>
      </c>
      <c r="D630">
        <v>38</v>
      </c>
      <c r="E630">
        <v>0</v>
      </c>
      <c r="F630" t="s">
        <v>11</v>
      </c>
      <c r="G630" t="s">
        <v>52</v>
      </c>
      <c r="H630" s="2">
        <v>11365.951999999999</v>
      </c>
      <c r="I630" s="2">
        <f t="shared" si="63"/>
        <v>11365.951999999999</v>
      </c>
      <c r="J630" t="str">
        <f t="shared" si="64"/>
        <v>Low</v>
      </c>
      <c r="K630" s="1">
        <f t="shared" si="65"/>
        <v>0.59699999999999998</v>
      </c>
      <c r="L630" t="str">
        <f t="shared" si="66"/>
        <v>Obese</v>
      </c>
      <c r="M630" t="str">
        <f t="shared" si="67"/>
        <v>Standard</v>
      </c>
      <c r="N630" t="str">
        <f t="shared" si="68"/>
        <v>Tier 3</v>
      </c>
      <c r="O630">
        <f t="shared" si="69"/>
        <v>2</v>
      </c>
    </row>
    <row r="631" spans="1:15" x14ac:dyDescent="0.2">
      <c r="A631">
        <v>44</v>
      </c>
      <c r="B631" t="str" cm="1">
        <f t="array" ref="B631">_xlfn.IFS(A631&lt;=25,"18-25", A631&lt;=35,"26-35", A631&lt;=45,"36-45", A631&lt;=55,"46-55", A631&lt;=64,"56-64")</f>
        <v>36-45</v>
      </c>
      <c r="C631" t="s">
        <v>7</v>
      </c>
      <c r="D631">
        <v>38.950000000000003</v>
      </c>
      <c r="E631">
        <v>0</v>
      </c>
      <c r="F631" t="s">
        <v>8</v>
      </c>
      <c r="G631" t="s">
        <v>54</v>
      </c>
      <c r="H631" s="2">
        <v>42983.458500000001</v>
      </c>
      <c r="I631" s="2">
        <f t="shared" si="63"/>
        <v>42983.458500000001</v>
      </c>
      <c r="J631" t="str">
        <f t="shared" si="64"/>
        <v>High</v>
      </c>
      <c r="K631" s="1">
        <f t="shared" si="65"/>
        <v>0.96099999999999997</v>
      </c>
      <c r="L631" t="str">
        <f t="shared" si="66"/>
        <v>Obese</v>
      </c>
      <c r="M631" t="str">
        <f t="shared" si="67"/>
        <v>High Risk</v>
      </c>
      <c r="N631" t="str">
        <f t="shared" si="68"/>
        <v>Tier 4</v>
      </c>
      <c r="O631">
        <f t="shared" si="69"/>
        <v>5</v>
      </c>
    </row>
    <row r="632" spans="1:15" x14ac:dyDescent="0.2">
      <c r="A632">
        <v>53</v>
      </c>
      <c r="B632" t="str" cm="1">
        <f t="array" ref="B632">_xlfn.IFS(A632&lt;=25,"18-25", A632&lt;=35,"26-35", A632&lt;=45,"36-45", A632&lt;=55,"46-55", A632&lt;=64,"56-64")</f>
        <v>46-55</v>
      </c>
      <c r="C632" t="s">
        <v>10</v>
      </c>
      <c r="D632">
        <v>36.1</v>
      </c>
      <c r="E632">
        <v>1</v>
      </c>
      <c r="F632" t="s">
        <v>11</v>
      </c>
      <c r="G632" t="s">
        <v>52</v>
      </c>
      <c r="H632" s="2">
        <v>10085.846</v>
      </c>
      <c r="I632" s="2">
        <f t="shared" si="63"/>
        <v>5042.9229999999998</v>
      </c>
      <c r="J632" t="str">
        <f t="shared" si="64"/>
        <v>Low</v>
      </c>
      <c r="K632" s="1">
        <f t="shared" si="65"/>
        <v>0.53400000000000003</v>
      </c>
      <c r="L632" t="str">
        <f t="shared" si="66"/>
        <v>Obese</v>
      </c>
      <c r="M632" t="str">
        <f t="shared" si="67"/>
        <v>Standard</v>
      </c>
      <c r="N632" t="str">
        <f t="shared" si="68"/>
        <v>Tier 3</v>
      </c>
      <c r="O632">
        <f t="shared" si="69"/>
        <v>2</v>
      </c>
    </row>
    <row r="633" spans="1:15" x14ac:dyDescent="0.2">
      <c r="A633">
        <v>24</v>
      </c>
      <c r="B633" t="str" cm="1">
        <f t="array" ref="B633">_xlfn.IFS(A633&lt;=25,"18-25", A633&lt;=35,"26-35", A633&lt;=45,"36-45", A633&lt;=55,"46-55", A633&lt;=64,"56-64")</f>
        <v>18-25</v>
      </c>
      <c r="C633" t="s">
        <v>10</v>
      </c>
      <c r="D633">
        <v>29.3</v>
      </c>
      <c r="E633">
        <v>0</v>
      </c>
      <c r="F633" t="s">
        <v>11</v>
      </c>
      <c r="G633" t="s">
        <v>52</v>
      </c>
      <c r="H633" s="2">
        <v>1977.8150000000001</v>
      </c>
      <c r="I633" s="2">
        <f t="shared" si="63"/>
        <v>1977.8150000000001</v>
      </c>
      <c r="J633" t="str">
        <f t="shared" si="64"/>
        <v>Low</v>
      </c>
      <c r="K633" s="1">
        <f t="shared" si="65"/>
        <v>6.5000000000000002E-2</v>
      </c>
      <c r="L633" t="str">
        <f t="shared" si="66"/>
        <v>Overweight</v>
      </c>
      <c r="M633" t="str">
        <f t="shared" si="67"/>
        <v>Standard</v>
      </c>
      <c r="N633" t="str">
        <f t="shared" si="68"/>
        <v>Tier 3</v>
      </c>
      <c r="O633">
        <f t="shared" si="69"/>
        <v>1</v>
      </c>
    </row>
    <row r="634" spans="1:15" x14ac:dyDescent="0.2">
      <c r="A634">
        <v>29</v>
      </c>
      <c r="B634" t="str" cm="1">
        <f t="array" ref="B634">_xlfn.IFS(A634&lt;=25,"18-25", A634&lt;=35,"26-35", A634&lt;=45,"36-45", A634&lt;=55,"46-55", A634&lt;=64,"56-64")</f>
        <v>26-35</v>
      </c>
      <c r="C634" t="s">
        <v>7</v>
      </c>
      <c r="D634">
        <v>35.53</v>
      </c>
      <c r="E634">
        <v>0</v>
      </c>
      <c r="F634" t="s">
        <v>11</v>
      </c>
      <c r="G634" t="s">
        <v>51</v>
      </c>
      <c r="H634" s="2">
        <v>3366.6696999999999</v>
      </c>
      <c r="I634" s="2">
        <f t="shared" si="63"/>
        <v>3366.6696999999999</v>
      </c>
      <c r="J634" t="str">
        <f t="shared" si="64"/>
        <v>Low</v>
      </c>
      <c r="K634" s="1">
        <f t="shared" si="65"/>
        <v>0.16300000000000001</v>
      </c>
      <c r="L634" t="str">
        <f t="shared" si="66"/>
        <v>Obese</v>
      </c>
      <c r="M634" t="str">
        <f t="shared" si="67"/>
        <v>Standard</v>
      </c>
      <c r="N634" t="str">
        <f t="shared" si="68"/>
        <v>Tier 1</v>
      </c>
      <c r="O634">
        <f t="shared" si="69"/>
        <v>3</v>
      </c>
    </row>
    <row r="635" spans="1:15" x14ac:dyDescent="0.2">
      <c r="A635">
        <v>40</v>
      </c>
      <c r="B635" t="str" cm="1">
        <f t="array" ref="B635">_xlfn.IFS(A635&lt;=25,"18-25", A635&lt;=35,"26-35", A635&lt;=45,"36-45", A635&lt;=55,"46-55", A635&lt;=64,"56-64")</f>
        <v>36-45</v>
      </c>
      <c r="C635" t="s">
        <v>10</v>
      </c>
      <c r="D635">
        <v>22.704999999999998</v>
      </c>
      <c r="E635">
        <v>2</v>
      </c>
      <c r="F635" t="s">
        <v>11</v>
      </c>
      <c r="G635" t="s">
        <v>53</v>
      </c>
      <c r="H635" s="2">
        <v>7173.35995</v>
      </c>
      <c r="I635" s="2">
        <f t="shared" si="63"/>
        <v>2391.1199833333335</v>
      </c>
      <c r="J635" t="str">
        <f t="shared" si="64"/>
        <v>Low</v>
      </c>
      <c r="K635" s="1">
        <f t="shared" si="65"/>
        <v>0.38600000000000001</v>
      </c>
      <c r="L635" t="str">
        <f t="shared" si="66"/>
        <v>Normal</v>
      </c>
      <c r="M635" t="str">
        <f t="shared" si="67"/>
        <v>Standard</v>
      </c>
      <c r="N635" t="str">
        <f t="shared" si="68"/>
        <v>Tier 2</v>
      </c>
      <c r="O635">
        <f t="shared" si="69"/>
        <v>0</v>
      </c>
    </row>
    <row r="636" spans="1:15" x14ac:dyDescent="0.2">
      <c r="A636">
        <v>51</v>
      </c>
      <c r="B636" t="str" cm="1">
        <f t="array" ref="B636">_xlfn.IFS(A636&lt;=25,"18-25", A636&lt;=35,"26-35", A636&lt;=45,"36-45", A636&lt;=55,"46-55", A636&lt;=64,"56-64")</f>
        <v>46-55</v>
      </c>
      <c r="C636" t="s">
        <v>10</v>
      </c>
      <c r="D636">
        <v>39.700000000000003</v>
      </c>
      <c r="E636">
        <v>1</v>
      </c>
      <c r="F636" t="s">
        <v>11</v>
      </c>
      <c r="G636" t="s">
        <v>52</v>
      </c>
      <c r="H636" s="2">
        <v>9391.3459999999995</v>
      </c>
      <c r="I636" s="2">
        <f t="shared" si="63"/>
        <v>4695.6729999999998</v>
      </c>
      <c r="J636" t="str">
        <f t="shared" si="64"/>
        <v>Low</v>
      </c>
      <c r="K636" s="1">
        <f t="shared" si="65"/>
        <v>0.501</v>
      </c>
      <c r="L636" t="str">
        <f t="shared" si="66"/>
        <v>Obese</v>
      </c>
      <c r="M636" t="str">
        <f t="shared" si="67"/>
        <v>Standard</v>
      </c>
      <c r="N636" t="str">
        <f t="shared" si="68"/>
        <v>Tier 3</v>
      </c>
      <c r="O636">
        <f t="shared" si="69"/>
        <v>2</v>
      </c>
    </row>
    <row r="637" spans="1:15" x14ac:dyDescent="0.2">
      <c r="A637">
        <v>64</v>
      </c>
      <c r="B637" t="str" cm="1">
        <f t="array" ref="B637">_xlfn.IFS(A637&lt;=25,"18-25", A637&lt;=35,"26-35", A637&lt;=45,"36-45", A637&lt;=55,"46-55", A637&lt;=64,"56-64")</f>
        <v>56-64</v>
      </c>
      <c r="C637" t="s">
        <v>10</v>
      </c>
      <c r="D637">
        <v>38.19</v>
      </c>
      <c r="E637">
        <v>0</v>
      </c>
      <c r="F637" t="s">
        <v>11</v>
      </c>
      <c r="G637" t="s">
        <v>53</v>
      </c>
      <c r="H637" s="2">
        <v>14410.9321</v>
      </c>
      <c r="I637" s="2">
        <f t="shared" si="63"/>
        <v>14410.9321</v>
      </c>
      <c r="J637" t="str">
        <f t="shared" si="64"/>
        <v>High</v>
      </c>
      <c r="K637" s="1">
        <f t="shared" si="65"/>
        <v>0.72199999999999998</v>
      </c>
      <c r="L637" t="str">
        <f t="shared" si="66"/>
        <v>Obese</v>
      </c>
      <c r="M637" t="str">
        <f t="shared" si="67"/>
        <v>Standard</v>
      </c>
      <c r="N637" t="str">
        <f t="shared" si="68"/>
        <v>Tier 2</v>
      </c>
      <c r="O637">
        <f t="shared" si="69"/>
        <v>2</v>
      </c>
    </row>
    <row r="638" spans="1:15" x14ac:dyDescent="0.2">
      <c r="A638">
        <v>19</v>
      </c>
      <c r="B638" t="str" cm="1">
        <f t="array" ref="B638">_xlfn.IFS(A638&lt;=25,"18-25", A638&lt;=35,"26-35", A638&lt;=45,"36-45", A638&lt;=55,"46-55", A638&lt;=64,"56-64")</f>
        <v>18-25</v>
      </c>
      <c r="C638" t="s">
        <v>7</v>
      </c>
      <c r="D638">
        <v>24.51</v>
      </c>
      <c r="E638">
        <v>1</v>
      </c>
      <c r="F638" t="s">
        <v>11</v>
      </c>
      <c r="G638" t="s">
        <v>54</v>
      </c>
      <c r="H638" s="2">
        <v>2709.1118999999999</v>
      </c>
      <c r="I638" s="2">
        <f t="shared" si="63"/>
        <v>1354.5559499999999</v>
      </c>
      <c r="J638" t="str">
        <f t="shared" si="64"/>
        <v>Low</v>
      </c>
      <c r="K638" s="1">
        <f t="shared" si="65"/>
        <v>0.123</v>
      </c>
      <c r="L638" t="str">
        <f t="shared" si="66"/>
        <v>Normal</v>
      </c>
      <c r="M638" t="str">
        <f t="shared" si="67"/>
        <v>Standard</v>
      </c>
      <c r="N638" t="str">
        <f t="shared" si="68"/>
        <v>Tier 4</v>
      </c>
      <c r="O638">
        <f t="shared" si="69"/>
        <v>0</v>
      </c>
    </row>
    <row r="639" spans="1:15" x14ac:dyDescent="0.2">
      <c r="A639">
        <v>35</v>
      </c>
      <c r="B639" t="str" cm="1">
        <f t="array" ref="B639">_xlfn.IFS(A639&lt;=25,"18-25", A639&lt;=35,"26-35", A639&lt;=45,"36-45", A639&lt;=55,"46-55", A639&lt;=64,"56-64")</f>
        <v>26-35</v>
      </c>
      <c r="C639" t="s">
        <v>7</v>
      </c>
      <c r="D639">
        <v>38.094999999999999</v>
      </c>
      <c r="E639">
        <v>2</v>
      </c>
      <c r="F639" t="s">
        <v>11</v>
      </c>
      <c r="G639" t="s">
        <v>53</v>
      </c>
      <c r="H639" s="2">
        <v>24915.046259999999</v>
      </c>
      <c r="I639" s="2">
        <f t="shared" si="63"/>
        <v>8305.0154199999997</v>
      </c>
      <c r="J639" t="str">
        <f t="shared" si="64"/>
        <v>High</v>
      </c>
      <c r="K639" s="1">
        <f t="shared" si="65"/>
        <v>0.84799999999999998</v>
      </c>
      <c r="L639" t="str">
        <f t="shared" si="66"/>
        <v>Obese</v>
      </c>
      <c r="M639" t="str">
        <f t="shared" si="67"/>
        <v>Standard</v>
      </c>
      <c r="N639" t="str">
        <f t="shared" si="68"/>
        <v>Tier 2</v>
      </c>
      <c r="O639">
        <f t="shared" si="69"/>
        <v>2</v>
      </c>
    </row>
    <row r="640" spans="1:15" x14ac:dyDescent="0.2">
      <c r="A640">
        <v>39</v>
      </c>
      <c r="B640" t="str" cm="1">
        <f t="array" ref="B640">_xlfn.IFS(A640&lt;=25,"18-25", A640&lt;=35,"26-35", A640&lt;=45,"36-45", A640&lt;=55,"46-55", A640&lt;=64,"56-64")</f>
        <v>36-45</v>
      </c>
      <c r="C640" t="s">
        <v>10</v>
      </c>
      <c r="D640">
        <v>26.41</v>
      </c>
      <c r="E640">
        <v>0</v>
      </c>
      <c r="F640" t="s">
        <v>8</v>
      </c>
      <c r="G640" t="s">
        <v>53</v>
      </c>
      <c r="H640" s="2">
        <v>20149.322899999999</v>
      </c>
      <c r="I640" s="2">
        <f t="shared" si="63"/>
        <v>20149.322899999999</v>
      </c>
      <c r="J640" t="str">
        <f t="shared" si="64"/>
        <v>High</v>
      </c>
      <c r="K640" s="1">
        <f t="shared" si="65"/>
        <v>0.79700000000000004</v>
      </c>
      <c r="L640" t="str">
        <f t="shared" si="66"/>
        <v>Overweight</v>
      </c>
      <c r="M640" t="str">
        <f t="shared" si="67"/>
        <v>High Risk</v>
      </c>
      <c r="N640" t="str">
        <f t="shared" si="68"/>
        <v>Tier 2</v>
      </c>
      <c r="O640">
        <f t="shared" si="69"/>
        <v>4</v>
      </c>
    </row>
    <row r="641" spans="1:15" x14ac:dyDescent="0.2">
      <c r="A641">
        <v>56</v>
      </c>
      <c r="B641" t="str" cm="1">
        <f t="array" ref="B641">_xlfn.IFS(A641&lt;=25,"18-25", A641&lt;=35,"26-35", A641&lt;=45,"36-45", A641&lt;=55,"46-55", A641&lt;=64,"56-64")</f>
        <v>56-64</v>
      </c>
      <c r="C641" t="s">
        <v>10</v>
      </c>
      <c r="D641">
        <v>33.659999999999997</v>
      </c>
      <c r="E641">
        <v>4</v>
      </c>
      <c r="F641" t="s">
        <v>11</v>
      </c>
      <c r="G641" t="s">
        <v>51</v>
      </c>
      <c r="H641" s="2">
        <v>12949.1554</v>
      </c>
      <c r="I641" s="2">
        <f t="shared" si="63"/>
        <v>2589.8310799999999</v>
      </c>
      <c r="J641" t="str">
        <f t="shared" si="64"/>
        <v>Low</v>
      </c>
      <c r="K641" s="1">
        <f t="shared" si="65"/>
        <v>0.67</v>
      </c>
      <c r="L641" t="str">
        <f t="shared" si="66"/>
        <v>Obese</v>
      </c>
      <c r="M641" t="str">
        <f t="shared" si="67"/>
        <v>Standard</v>
      </c>
      <c r="N641" t="str">
        <f t="shared" si="68"/>
        <v>Tier 1</v>
      </c>
      <c r="O641">
        <f t="shared" si="69"/>
        <v>3</v>
      </c>
    </row>
    <row r="642" spans="1:15" x14ac:dyDescent="0.2">
      <c r="A642">
        <v>33</v>
      </c>
      <c r="B642" t="str" cm="1">
        <f t="array" ref="B642">_xlfn.IFS(A642&lt;=25,"18-25", A642&lt;=35,"26-35", A642&lt;=45,"36-45", A642&lt;=55,"46-55", A642&lt;=64,"56-64")</f>
        <v>26-35</v>
      </c>
      <c r="C642" t="s">
        <v>10</v>
      </c>
      <c r="D642">
        <v>42.4</v>
      </c>
      <c r="E642">
        <v>5</v>
      </c>
      <c r="F642" t="s">
        <v>11</v>
      </c>
      <c r="G642" t="s">
        <v>52</v>
      </c>
      <c r="H642" s="2">
        <v>6666.2430000000004</v>
      </c>
      <c r="I642" s="2">
        <f t="shared" ref="I642:I705" si="70">H642/(E642+1)</f>
        <v>1111.0405000000001</v>
      </c>
      <c r="J642" t="str">
        <f t="shared" ref="J642:J705" si="71">IF(H642&gt;AVERAGE($H$2:$H$1339),"High","Low")</f>
        <v>Low</v>
      </c>
      <c r="K642" s="1">
        <f t="shared" ref="K642:K705" si="72">PERCENTRANK($H$2:$H$1339,H642)</f>
        <v>0.35899999999999999</v>
      </c>
      <c r="L642" t="str">
        <f t="shared" ref="L642:L705" si="73">IF(D642&lt;18.5,"Underweight",IF(D642&lt;25,"Normal",IF(D642&lt;30,"Overweight","Obese")))</f>
        <v>Obese</v>
      </c>
      <c r="M642" t="str">
        <f t="shared" ref="M642:M705" si="74">IF(F642="yes","High Risk","Standard")</f>
        <v>Standard</v>
      </c>
      <c r="N642" t="str">
        <f t="shared" ref="N642:N705" si="75">IF(G642="southeast","Tier 1",IF(G642="northeast","Tier 2",IF(G642="southwest","Tier 3","Tier 4")))</f>
        <v>Tier 3</v>
      </c>
      <c r="O642">
        <f t="shared" ref="O642:O705" si="76">IF(F642="yes",3,0)+IF(D642&gt;=30,2,IF(D642&gt;=25,1,0))+IF(G642="southeast",1,0)</f>
        <v>2</v>
      </c>
    </row>
    <row r="643" spans="1:15" x14ac:dyDescent="0.2">
      <c r="A643">
        <v>42</v>
      </c>
      <c r="B643" t="str" cm="1">
        <f t="array" ref="B643">_xlfn.IFS(A643&lt;=25,"18-25", A643&lt;=35,"26-35", A643&lt;=45,"36-45", A643&lt;=55,"46-55", A643&lt;=64,"56-64")</f>
        <v>36-45</v>
      </c>
      <c r="C643" t="s">
        <v>10</v>
      </c>
      <c r="D643">
        <v>28.31</v>
      </c>
      <c r="E643">
        <v>3</v>
      </c>
      <c r="F643" t="s">
        <v>8</v>
      </c>
      <c r="G643" t="s">
        <v>54</v>
      </c>
      <c r="H643" s="2">
        <v>32787.458590000002</v>
      </c>
      <c r="I643" s="2">
        <f t="shared" si="70"/>
        <v>8196.8646475000005</v>
      </c>
      <c r="J643" t="str">
        <f t="shared" si="71"/>
        <v>High</v>
      </c>
      <c r="K643" s="1">
        <f t="shared" si="72"/>
        <v>0.88700000000000001</v>
      </c>
      <c r="L643" t="str">
        <f t="shared" si="73"/>
        <v>Overweight</v>
      </c>
      <c r="M643" t="str">
        <f t="shared" si="74"/>
        <v>High Risk</v>
      </c>
      <c r="N643" t="str">
        <f t="shared" si="75"/>
        <v>Tier 4</v>
      </c>
      <c r="O643">
        <f t="shared" si="76"/>
        <v>4</v>
      </c>
    </row>
    <row r="644" spans="1:15" x14ac:dyDescent="0.2">
      <c r="A644">
        <v>61</v>
      </c>
      <c r="B644" t="str" cm="1">
        <f t="array" ref="B644">_xlfn.IFS(A644&lt;=25,"18-25", A644&lt;=35,"26-35", A644&lt;=45,"36-45", A644&lt;=55,"46-55", A644&lt;=64,"56-64")</f>
        <v>56-64</v>
      </c>
      <c r="C644" t="s">
        <v>10</v>
      </c>
      <c r="D644">
        <v>33.914999999999999</v>
      </c>
      <c r="E644">
        <v>0</v>
      </c>
      <c r="F644" t="s">
        <v>11</v>
      </c>
      <c r="G644" t="s">
        <v>53</v>
      </c>
      <c r="H644" s="2">
        <v>13143.86485</v>
      </c>
      <c r="I644" s="2">
        <f t="shared" si="70"/>
        <v>13143.86485</v>
      </c>
      <c r="J644" t="str">
        <f t="shared" si="71"/>
        <v>Low</v>
      </c>
      <c r="K644" s="1">
        <f t="shared" si="72"/>
        <v>0.68200000000000005</v>
      </c>
      <c r="L644" t="str">
        <f t="shared" si="73"/>
        <v>Obese</v>
      </c>
      <c r="M644" t="str">
        <f t="shared" si="74"/>
        <v>Standard</v>
      </c>
      <c r="N644" t="str">
        <f t="shared" si="75"/>
        <v>Tier 2</v>
      </c>
      <c r="O644">
        <f t="shared" si="76"/>
        <v>2</v>
      </c>
    </row>
    <row r="645" spans="1:15" x14ac:dyDescent="0.2">
      <c r="A645">
        <v>23</v>
      </c>
      <c r="B645" t="str" cm="1">
        <f t="array" ref="B645">_xlfn.IFS(A645&lt;=25,"18-25", A645&lt;=35,"26-35", A645&lt;=45,"36-45", A645&lt;=55,"46-55", A645&lt;=64,"56-64")</f>
        <v>18-25</v>
      </c>
      <c r="C645" t="s">
        <v>7</v>
      </c>
      <c r="D645">
        <v>34.96</v>
      </c>
      <c r="E645">
        <v>3</v>
      </c>
      <c r="F645" t="s">
        <v>11</v>
      </c>
      <c r="G645" t="s">
        <v>54</v>
      </c>
      <c r="H645" s="2">
        <v>4466.6214</v>
      </c>
      <c r="I645" s="2">
        <f t="shared" si="70"/>
        <v>1116.65535</v>
      </c>
      <c r="J645" t="str">
        <f t="shared" si="71"/>
        <v>Low</v>
      </c>
      <c r="K645" s="1">
        <f t="shared" si="72"/>
        <v>0.23200000000000001</v>
      </c>
      <c r="L645" t="str">
        <f t="shared" si="73"/>
        <v>Obese</v>
      </c>
      <c r="M645" t="str">
        <f t="shared" si="74"/>
        <v>Standard</v>
      </c>
      <c r="N645" t="str">
        <f t="shared" si="75"/>
        <v>Tier 4</v>
      </c>
      <c r="O645">
        <f t="shared" si="76"/>
        <v>2</v>
      </c>
    </row>
    <row r="646" spans="1:15" x14ac:dyDescent="0.2">
      <c r="A646">
        <v>43</v>
      </c>
      <c r="B646" t="str" cm="1">
        <f t="array" ref="B646">_xlfn.IFS(A646&lt;=25,"18-25", A646&lt;=35,"26-35", A646&lt;=45,"36-45", A646&lt;=55,"46-55", A646&lt;=64,"56-64")</f>
        <v>36-45</v>
      </c>
      <c r="C646" t="s">
        <v>10</v>
      </c>
      <c r="D646">
        <v>35.31</v>
      </c>
      <c r="E646">
        <v>2</v>
      </c>
      <c r="F646" t="s">
        <v>11</v>
      </c>
      <c r="G646" t="s">
        <v>51</v>
      </c>
      <c r="H646" s="2">
        <v>18806.145469999999</v>
      </c>
      <c r="I646" s="2">
        <f t="shared" si="70"/>
        <v>6268.7151566666662</v>
      </c>
      <c r="J646" t="str">
        <f t="shared" si="71"/>
        <v>High</v>
      </c>
      <c r="K646" s="1">
        <f t="shared" si="72"/>
        <v>0.77600000000000002</v>
      </c>
      <c r="L646" t="str">
        <f t="shared" si="73"/>
        <v>Obese</v>
      </c>
      <c r="M646" t="str">
        <f t="shared" si="74"/>
        <v>Standard</v>
      </c>
      <c r="N646" t="str">
        <f t="shared" si="75"/>
        <v>Tier 1</v>
      </c>
      <c r="O646">
        <f t="shared" si="76"/>
        <v>3</v>
      </c>
    </row>
    <row r="647" spans="1:15" x14ac:dyDescent="0.2">
      <c r="A647">
        <v>48</v>
      </c>
      <c r="B647" t="str" cm="1">
        <f t="array" ref="B647">_xlfn.IFS(A647&lt;=25,"18-25", A647&lt;=35,"26-35", A647&lt;=45,"36-45", A647&lt;=55,"46-55", A647&lt;=64,"56-64")</f>
        <v>46-55</v>
      </c>
      <c r="C647" t="s">
        <v>10</v>
      </c>
      <c r="D647">
        <v>30.78</v>
      </c>
      <c r="E647">
        <v>3</v>
      </c>
      <c r="F647" t="s">
        <v>11</v>
      </c>
      <c r="G647" t="s">
        <v>53</v>
      </c>
      <c r="H647" s="2">
        <v>10141.136200000001</v>
      </c>
      <c r="I647" s="2">
        <f t="shared" si="70"/>
        <v>2535.2840500000002</v>
      </c>
      <c r="J647" t="str">
        <f t="shared" si="71"/>
        <v>Low</v>
      </c>
      <c r="K647" s="1">
        <f t="shared" si="72"/>
        <v>0.53900000000000003</v>
      </c>
      <c r="L647" t="str">
        <f t="shared" si="73"/>
        <v>Obese</v>
      </c>
      <c r="M647" t="str">
        <f t="shared" si="74"/>
        <v>Standard</v>
      </c>
      <c r="N647" t="str">
        <f t="shared" si="75"/>
        <v>Tier 2</v>
      </c>
      <c r="O647">
        <f t="shared" si="76"/>
        <v>2</v>
      </c>
    </row>
    <row r="648" spans="1:15" x14ac:dyDescent="0.2">
      <c r="A648">
        <v>39</v>
      </c>
      <c r="B648" t="str" cm="1">
        <f t="array" ref="B648">_xlfn.IFS(A648&lt;=25,"18-25", A648&lt;=35,"26-35", A648&lt;=45,"36-45", A648&lt;=55,"46-55", A648&lt;=64,"56-64")</f>
        <v>36-45</v>
      </c>
      <c r="C648" t="s">
        <v>10</v>
      </c>
      <c r="D648">
        <v>26.22</v>
      </c>
      <c r="E648">
        <v>1</v>
      </c>
      <c r="F648" t="s">
        <v>11</v>
      </c>
      <c r="G648" t="s">
        <v>54</v>
      </c>
      <c r="H648" s="2">
        <v>6123.5688</v>
      </c>
      <c r="I648" s="2">
        <f t="shared" si="70"/>
        <v>3061.7844</v>
      </c>
      <c r="J648" t="str">
        <f t="shared" si="71"/>
        <v>Low</v>
      </c>
      <c r="K648" s="1">
        <f t="shared" si="72"/>
        <v>0.32600000000000001</v>
      </c>
      <c r="L648" t="str">
        <f t="shared" si="73"/>
        <v>Overweight</v>
      </c>
      <c r="M648" t="str">
        <f t="shared" si="74"/>
        <v>Standard</v>
      </c>
      <c r="N648" t="str">
        <f t="shared" si="75"/>
        <v>Tier 4</v>
      </c>
      <c r="O648">
        <f t="shared" si="76"/>
        <v>1</v>
      </c>
    </row>
    <row r="649" spans="1:15" x14ac:dyDescent="0.2">
      <c r="A649">
        <v>40</v>
      </c>
      <c r="B649" t="str" cm="1">
        <f t="array" ref="B649">_xlfn.IFS(A649&lt;=25,"18-25", A649&lt;=35,"26-35", A649&lt;=45,"36-45", A649&lt;=55,"46-55", A649&lt;=64,"56-64")</f>
        <v>36-45</v>
      </c>
      <c r="C649" t="s">
        <v>7</v>
      </c>
      <c r="D649">
        <v>23.37</v>
      </c>
      <c r="E649">
        <v>3</v>
      </c>
      <c r="F649" t="s">
        <v>11</v>
      </c>
      <c r="G649" t="s">
        <v>53</v>
      </c>
      <c r="H649" s="2">
        <v>8252.2842999999993</v>
      </c>
      <c r="I649" s="2">
        <f t="shared" si="70"/>
        <v>2063.0710749999998</v>
      </c>
      <c r="J649" t="str">
        <f t="shared" si="71"/>
        <v>Low</v>
      </c>
      <c r="K649" s="1">
        <f t="shared" si="72"/>
        <v>0.439</v>
      </c>
      <c r="L649" t="str">
        <f t="shared" si="73"/>
        <v>Normal</v>
      </c>
      <c r="M649" t="str">
        <f t="shared" si="74"/>
        <v>Standard</v>
      </c>
      <c r="N649" t="str">
        <f t="shared" si="75"/>
        <v>Tier 2</v>
      </c>
      <c r="O649">
        <f t="shared" si="76"/>
        <v>0</v>
      </c>
    </row>
    <row r="650" spans="1:15" x14ac:dyDescent="0.2">
      <c r="A650">
        <v>18</v>
      </c>
      <c r="B650" t="str" cm="1">
        <f t="array" ref="B650">_xlfn.IFS(A650&lt;=25,"18-25", A650&lt;=35,"26-35", A650&lt;=45,"36-45", A650&lt;=55,"46-55", A650&lt;=64,"56-64")</f>
        <v>18-25</v>
      </c>
      <c r="C650" t="s">
        <v>10</v>
      </c>
      <c r="D650">
        <v>28.5</v>
      </c>
      <c r="E650">
        <v>0</v>
      </c>
      <c r="F650" t="s">
        <v>11</v>
      </c>
      <c r="G650" t="s">
        <v>53</v>
      </c>
      <c r="H650" s="2">
        <v>1712.2270000000001</v>
      </c>
      <c r="I650" s="2">
        <f t="shared" si="70"/>
        <v>1712.2270000000001</v>
      </c>
      <c r="J650" t="str">
        <f t="shared" si="71"/>
        <v>Low</v>
      </c>
      <c r="K650" s="1">
        <f t="shared" si="72"/>
        <v>4.1000000000000002E-2</v>
      </c>
      <c r="L650" t="str">
        <f t="shared" si="73"/>
        <v>Overweight</v>
      </c>
      <c r="M650" t="str">
        <f t="shared" si="74"/>
        <v>Standard</v>
      </c>
      <c r="N650" t="str">
        <f t="shared" si="75"/>
        <v>Tier 2</v>
      </c>
      <c r="O650">
        <f t="shared" si="76"/>
        <v>1</v>
      </c>
    </row>
    <row r="651" spans="1:15" x14ac:dyDescent="0.2">
      <c r="A651">
        <v>58</v>
      </c>
      <c r="B651" t="str" cm="1">
        <f t="array" ref="B651">_xlfn.IFS(A651&lt;=25,"18-25", A651&lt;=35,"26-35", A651&lt;=45,"36-45", A651&lt;=55,"46-55", A651&lt;=64,"56-64")</f>
        <v>56-64</v>
      </c>
      <c r="C651" t="s">
        <v>7</v>
      </c>
      <c r="D651">
        <v>32.965000000000003</v>
      </c>
      <c r="E651">
        <v>0</v>
      </c>
      <c r="F651" t="s">
        <v>11</v>
      </c>
      <c r="G651" t="s">
        <v>53</v>
      </c>
      <c r="H651" s="2">
        <v>12430.95335</v>
      </c>
      <c r="I651" s="2">
        <f t="shared" si="70"/>
        <v>12430.95335</v>
      </c>
      <c r="J651" t="str">
        <f t="shared" si="71"/>
        <v>Low</v>
      </c>
      <c r="K651" s="1">
        <f t="shared" si="72"/>
        <v>0.65</v>
      </c>
      <c r="L651" t="str">
        <f t="shared" si="73"/>
        <v>Obese</v>
      </c>
      <c r="M651" t="str">
        <f t="shared" si="74"/>
        <v>Standard</v>
      </c>
      <c r="N651" t="str">
        <f t="shared" si="75"/>
        <v>Tier 2</v>
      </c>
      <c r="O651">
        <f t="shared" si="76"/>
        <v>2</v>
      </c>
    </row>
    <row r="652" spans="1:15" x14ac:dyDescent="0.2">
      <c r="A652">
        <v>49</v>
      </c>
      <c r="B652" t="str" cm="1">
        <f t="array" ref="B652">_xlfn.IFS(A652&lt;=25,"18-25", A652&lt;=35,"26-35", A652&lt;=45,"36-45", A652&lt;=55,"46-55", A652&lt;=64,"56-64")</f>
        <v>46-55</v>
      </c>
      <c r="C652" t="s">
        <v>7</v>
      </c>
      <c r="D652">
        <v>42.68</v>
      </c>
      <c r="E652">
        <v>2</v>
      </c>
      <c r="F652" t="s">
        <v>11</v>
      </c>
      <c r="G652" t="s">
        <v>51</v>
      </c>
      <c r="H652" s="2">
        <v>9800.8881999999994</v>
      </c>
      <c r="I652" s="2">
        <f t="shared" si="70"/>
        <v>3266.9627333333333</v>
      </c>
      <c r="J652" t="str">
        <f t="shared" si="71"/>
        <v>Low</v>
      </c>
      <c r="K652" s="1">
        <f t="shared" si="72"/>
        <v>0.52100000000000002</v>
      </c>
      <c r="L652" t="str">
        <f t="shared" si="73"/>
        <v>Obese</v>
      </c>
      <c r="M652" t="str">
        <f t="shared" si="74"/>
        <v>Standard</v>
      </c>
      <c r="N652" t="str">
        <f t="shared" si="75"/>
        <v>Tier 1</v>
      </c>
      <c r="O652">
        <f t="shared" si="76"/>
        <v>3</v>
      </c>
    </row>
    <row r="653" spans="1:15" x14ac:dyDescent="0.2">
      <c r="A653">
        <v>53</v>
      </c>
      <c r="B653" t="str" cm="1">
        <f t="array" ref="B653">_xlfn.IFS(A653&lt;=25,"18-25", A653&lt;=35,"26-35", A653&lt;=45,"36-45", A653&lt;=55,"46-55", A653&lt;=64,"56-64")</f>
        <v>46-55</v>
      </c>
      <c r="C653" t="s">
        <v>7</v>
      </c>
      <c r="D653">
        <v>39.6</v>
      </c>
      <c r="E653">
        <v>1</v>
      </c>
      <c r="F653" t="s">
        <v>11</v>
      </c>
      <c r="G653" t="s">
        <v>51</v>
      </c>
      <c r="H653" s="2">
        <v>10579.710999999999</v>
      </c>
      <c r="I653" s="2">
        <f t="shared" si="70"/>
        <v>5289.8554999999997</v>
      </c>
      <c r="J653" t="str">
        <f t="shared" si="71"/>
        <v>Low</v>
      </c>
      <c r="K653" s="1">
        <f t="shared" si="72"/>
        <v>0.55600000000000005</v>
      </c>
      <c r="L653" t="str">
        <f t="shared" si="73"/>
        <v>Obese</v>
      </c>
      <c r="M653" t="str">
        <f t="shared" si="74"/>
        <v>Standard</v>
      </c>
      <c r="N653" t="str">
        <f t="shared" si="75"/>
        <v>Tier 1</v>
      </c>
      <c r="O653">
        <f t="shared" si="76"/>
        <v>3</v>
      </c>
    </row>
    <row r="654" spans="1:15" x14ac:dyDescent="0.2">
      <c r="A654">
        <v>48</v>
      </c>
      <c r="B654" t="str" cm="1">
        <f t="array" ref="B654">_xlfn.IFS(A654&lt;=25,"18-25", A654&lt;=35,"26-35", A654&lt;=45,"36-45", A654&lt;=55,"46-55", A654&lt;=64,"56-64")</f>
        <v>46-55</v>
      </c>
      <c r="C654" t="s">
        <v>7</v>
      </c>
      <c r="D654">
        <v>31.13</v>
      </c>
      <c r="E654">
        <v>0</v>
      </c>
      <c r="F654" t="s">
        <v>11</v>
      </c>
      <c r="G654" t="s">
        <v>51</v>
      </c>
      <c r="H654" s="2">
        <v>8280.6226999999999</v>
      </c>
      <c r="I654" s="2">
        <f t="shared" si="70"/>
        <v>8280.6226999999999</v>
      </c>
      <c r="J654" t="str">
        <f t="shared" si="71"/>
        <v>Low</v>
      </c>
      <c r="K654" s="1">
        <f t="shared" si="72"/>
        <v>0.442</v>
      </c>
      <c r="L654" t="str">
        <f t="shared" si="73"/>
        <v>Obese</v>
      </c>
      <c r="M654" t="str">
        <f t="shared" si="74"/>
        <v>Standard</v>
      </c>
      <c r="N654" t="str">
        <f t="shared" si="75"/>
        <v>Tier 1</v>
      </c>
      <c r="O654">
        <f t="shared" si="76"/>
        <v>3</v>
      </c>
    </row>
    <row r="655" spans="1:15" x14ac:dyDescent="0.2">
      <c r="A655">
        <v>45</v>
      </c>
      <c r="B655" t="str" cm="1">
        <f t="array" ref="B655">_xlfn.IFS(A655&lt;=25,"18-25", A655&lt;=35,"26-35", A655&lt;=45,"36-45", A655&lt;=55,"46-55", A655&lt;=64,"56-64")</f>
        <v>36-45</v>
      </c>
      <c r="C655" t="s">
        <v>7</v>
      </c>
      <c r="D655">
        <v>36.299999999999997</v>
      </c>
      <c r="E655">
        <v>2</v>
      </c>
      <c r="F655" t="s">
        <v>11</v>
      </c>
      <c r="G655" t="s">
        <v>51</v>
      </c>
      <c r="H655" s="2">
        <v>8527.5319999999992</v>
      </c>
      <c r="I655" s="2">
        <f t="shared" si="70"/>
        <v>2842.5106666666666</v>
      </c>
      <c r="J655" t="str">
        <f t="shared" si="71"/>
        <v>Low</v>
      </c>
      <c r="K655" s="1">
        <f t="shared" si="72"/>
        <v>0.45500000000000002</v>
      </c>
      <c r="L655" t="str">
        <f t="shared" si="73"/>
        <v>Obese</v>
      </c>
      <c r="M655" t="str">
        <f t="shared" si="74"/>
        <v>Standard</v>
      </c>
      <c r="N655" t="str">
        <f t="shared" si="75"/>
        <v>Tier 1</v>
      </c>
      <c r="O655">
        <f t="shared" si="76"/>
        <v>3</v>
      </c>
    </row>
    <row r="656" spans="1:15" x14ac:dyDescent="0.2">
      <c r="A656">
        <v>59</v>
      </c>
      <c r="B656" t="str" cm="1">
        <f t="array" ref="B656">_xlfn.IFS(A656&lt;=25,"18-25", A656&lt;=35,"26-35", A656&lt;=45,"36-45", A656&lt;=55,"46-55", A656&lt;=64,"56-64")</f>
        <v>56-64</v>
      </c>
      <c r="C656" t="s">
        <v>7</v>
      </c>
      <c r="D656">
        <v>35.200000000000003</v>
      </c>
      <c r="E656">
        <v>0</v>
      </c>
      <c r="F656" t="s">
        <v>11</v>
      </c>
      <c r="G656" t="s">
        <v>51</v>
      </c>
      <c r="H656" s="2">
        <v>12244.531000000001</v>
      </c>
      <c r="I656" s="2">
        <f t="shared" si="70"/>
        <v>12244.531000000001</v>
      </c>
      <c r="J656" t="str">
        <f t="shared" si="71"/>
        <v>Low</v>
      </c>
      <c r="K656" s="1">
        <f t="shared" si="72"/>
        <v>0.64300000000000002</v>
      </c>
      <c r="L656" t="str">
        <f t="shared" si="73"/>
        <v>Obese</v>
      </c>
      <c r="M656" t="str">
        <f t="shared" si="74"/>
        <v>Standard</v>
      </c>
      <c r="N656" t="str">
        <f t="shared" si="75"/>
        <v>Tier 1</v>
      </c>
      <c r="O656">
        <f t="shared" si="76"/>
        <v>3</v>
      </c>
    </row>
    <row r="657" spans="1:15" x14ac:dyDescent="0.2">
      <c r="A657">
        <v>52</v>
      </c>
      <c r="B657" t="str" cm="1">
        <f t="array" ref="B657">_xlfn.IFS(A657&lt;=25,"18-25", A657&lt;=35,"26-35", A657&lt;=45,"36-45", A657&lt;=55,"46-55", A657&lt;=64,"56-64")</f>
        <v>46-55</v>
      </c>
      <c r="C657" t="s">
        <v>7</v>
      </c>
      <c r="D657">
        <v>25.3</v>
      </c>
      <c r="E657">
        <v>2</v>
      </c>
      <c r="F657" t="s">
        <v>8</v>
      </c>
      <c r="G657" t="s">
        <v>51</v>
      </c>
      <c r="H657" s="2">
        <v>24667.419000000002</v>
      </c>
      <c r="I657" s="2">
        <f t="shared" si="70"/>
        <v>8222.473</v>
      </c>
      <c r="J657" t="str">
        <f t="shared" si="71"/>
        <v>High</v>
      </c>
      <c r="K657" s="1">
        <f t="shared" si="72"/>
        <v>0.84499999999999997</v>
      </c>
      <c r="L657" t="str">
        <f t="shared" si="73"/>
        <v>Overweight</v>
      </c>
      <c r="M657" t="str">
        <f t="shared" si="74"/>
        <v>High Risk</v>
      </c>
      <c r="N657" t="str">
        <f t="shared" si="75"/>
        <v>Tier 1</v>
      </c>
      <c r="O657">
        <f t="shared" si="76"/>
        <v>5</v>
      </c>
    </row>
    <row r="658" spans="1:15" x14ac:dyDescent="0.2">
      <c r="A658">
        <v>26</v>
      </c>
      <c r="B658" t="str" cm="1">
        <f t="array" ref="B658">_xlfn.IFS(A658&lt;=25,"18-25", A658&lt;=35,"26-35", A658&lt;=45,"36-45", A658&lt;=55,"46-55", A658&lt;=64,"56-64")</f>
        <v>26-35</v>
      </c>
      <c r="C658" t="s">
        <v>7</v>
      </c>
      <c r="D658">
        <v>42.4</v>
      </c>
      <c r="E658">
        <v>1</v>
      </c>
      <c r="F658" t="s">
        <v>11</v>
      </c>
      <c r="G658" t="s">
        <v>52</v>
      </c>
      <c r="H658" s="2">
        <v>3410.3240000000001</v>
      </c>
      <c r="I658" s="2">
        <f t="shared" si="70"/>
        <v>1705.162</v>
      </c>
      <c r="J658" t="str">
        <f t="shared" si="71"/>
        <v>Low</v>
      </c>
      <c r="K658" s="1">
        <f t="shared" si="72"/>
        <v>0.16800000000000001</v>
      </c>
      <c r="L658" t="str">
        <f t="shared" si="73"/>
        <v>Obese</v>
      </c>
      <c r="M658" t="str">
        <f t="shared" si="74"/>
        <v>Standard</v>
      </c>
      <c r="N658" t="str">
        <f t="shared" si="75"/>
        <v>Tier 3</v>
      </c>
      <c r="O658">
        <f t="shared" si="76"/>
        <v>2</v>
      </c>
    </row>
    <row r="659" spans="1:15" x14ac:dyDescent="0.2">
      <c r="A659">
        <v>27</v>
      </c>
      <c r="B659" t="str" cm="1">
        <f t="array" ref="B659">_xlfn.IFS(A659&lt;=25,"18-25", A659&lt;=35,"26-35", A659&lt;=45,"36-45", A659&lt;=55,"46-55", A659&lt;=64,"56-64")</f>
        <v>26-35</v>
      </c>
      <c r="C659" t="s">
        <v>10</v>
      </c>
      <c r="D659">
        <v>33.155000000000001</v>
      </c>
      <c r="E659">
        <v>2</v>
      </c>
      <c r="F659" t="s">
        <v>11</v>
      </c>
      <c r="G659" t="s">
        <v>54</v>
      </c>
      <c r="H659" s="2">
        <v>4058.71245</v>
      </c>
      <c r="I659" s="2">
        <f t="shared" si="70"/>
        <v>1352.9041500000001</v>
      </c>
      <c r="J659" t="str">
        <f t="shared" si="71"/>
        <v>Low</v>
      </c>
      <c r="K659" s="1">
        <f t="shared" si="72"/>
        <v>0.20399999999999999</v>
      </c>
      <c r="L659" t="str">
        <f t="shared" si="73"/>
        <v>Obese</v>
      </c>
      <c r="M659" t="str">
        <f t="shared" si="74"/>
        <v>Standard</v>
      </c>
      <c r="N659" t="str">
        <f t="shared" si="75"/>
        <v>Tier 4</v>
      </c>
      <c r="O659">
        <f t="shared" si="76"/>
        <v>2</v>
      </c>
    </row>
    <row r="660" spans="1:15" x14ac:dyDescent="0.2">
      <c r="A660">
        <v>48</v>
      </c>
      <c r="B660" t="str" cm="1">
        <f t="array" ref="B660">_xlfn.IFS(A660&lt;=25,"18-25", A660&lt;=35,"26-35", A660&lt;=45,"36-45", A660&lt;=55,"46-55", A660&lt;=64,"56-64")</f>
        <v>46-55</v>
      </c>
      <c r="C660" t="s">
        <v>7</v>
      </c>
      <c r="D660">
        <v>35.909999999999997</v>
      </c>
      <c r="E660">
        <v>1</v>
      </c>
      <c r="F660" t="s">
        <v>11</v>
      </c>
      <c r="G660" t="s">
        <v>53</v>
      </c>
      <c r="H660" s="2">
        <v>26392.260289999998</v>
      </c>
      <c r="I660" s="2">
        <f t="shared" si="70"/>
        <v>13196.130144999999</v>
      </c>
      <c r="J660" t="str">
        <f t="shared" si="71"/>
        <v>High</v>
      </c>
      <c r="K660" s="1">
        <f t="shared" si="72"/>
        <v>0.86</v>
      </c>
      <c r="L660" t="str">
        <f t="shared" si="73"/>
        <v>Obese</v>
      </c>
      <c r="M660" t="str">
        <f t="shared" si="74"/>
        <v>Standard</v>
      </c>
      <c r="N660" t="str">
        <f t="shared" si="75"/>
        <v>Tier 2</v>
      </c>
      <c r="O660">
        <f t="shared" si="76"/>
        <v>2</v>
      </c>
    </row>
    <row r="661" spans="1:15" x14ac:dyDescent="0.2">
      <c r="A661">
        <v>57</v>
      </c>
      <c r="B661" t="str" cm="1">
        <f t="array" ref="B661">_xlfn.IFS(A661&lt;=25,"18-25", A661&lt;=35,"26-35", A661&lt;=45,"36-45", A661&lt;=55,"46-55", A661&lt;=64,"56-64")</f>
        <v>56-64</v>
      </c>
      <c r="C661" t="s">
        <v>7</v>
      </c>
      <c r="D661">
        <v>28.785</v>
      </c>
      <c r="E661">
        <v>4</v>
      </c>
      <c r="F661" t="s">
        <v>11</v>
      </c>
      <c r="G661" t="s">
        <v>53</v>
      </c>
      <c r="H661" s="2">
        <v>14394.398150000001</v>
      </c>
      <c r="I661" s="2">
        <f t="shared" si="70"/>
        <v>2878.8796300000004</v>
      </c>
      <c r="J661" t="str">
        <f t="shared" si="71"/>
        <v>High</v>
      </c>
      <c r="K661" s="1">
        <f t="shared" si="72"/>
        <v>0.72099999999999997</v>
      </c>
      <c r="L661" t="str">
        <f t="shared" si="73"/>
        <v>Overweight</v>
      </c>
      <c r="M661" t="str">
        <f t="shared" si="74"/>
        <v>Standard</v>
      </c>
      <c r="N661" t="str">
        <f t="shared" si="75"/>
        <v>Tier 2</v>
      </c>
      <c r="O661">
        <f t="shared" si="76"/>
        <v>1</v>
      </c>
    </row>
    <row r="662" spans="1:15" x14ac:dyDescent="0.2">
      <c r="A662">
        <v>37</v>
      </c>
      <c r="B662" t="str" cm="1">
        <f t="array" ref="B662">_xlfn.IFS(A662&lt;=25,"18-25", A662&lt;=35,"26-35", A662&lt;=45,"36-45", A662&lt;=55,"46-55", A662&lt;=64,"56-64")</f>
        <v>36-45</v>
      </c>
      <c r="C662" t="s">
        <v>10</v>
      </c>
      <c r="D662">
        <v>46.53</v>
      </c>
      <c r="E662">
        <v>3</v>
      </c>
      <c r="F662" t="s">
        <v>11</v>
      </c>
      <c r="G662" t="s">
        <v>51</v>
      </c>
      <c r="H662" s="2">
        <v>6435.6237000000001</v>
      </c>
      <c r="I662" s="2">
        <f t="shared" si="70"/>
        <v>1608.905925</v>
      </c>
      <c r="J662" t="str">
        <f t="shared" si="71"/>
        <v>Low</v>
      </c>
      <c r="K662" s="1">
        <f t="shared" si="72"/>
        <v>0.34499999999999997</v>
      </c>
      <c r="L662" t="str">
        <f t="shared" si="73"/>
        <v>Obese</v>
      </c>
      <c r="M662" t="str">
        <f t="shared" si="74"/>
        <v>Standard</v>
      </c>
      <c r="N662" t="str">
        <f t="shared" si="75"/>
        <v>Tier 1</v>
      </c>
      <c r="O662">
        <f t="shared" si="76"/>
        <v>3</v>
      </c>
    </row>
    <row r="663" spans="1:15" x14ac:dyDescent="0.2">
      <c r="A663">
        <v>57</v>
      </c>
      <c r="B663" t="str" cm="1">
        <f t="array" ref="B663">_xlfn.IFS(A663&lt;=25,"18-25", A663&lt;=35,"26-35", A663&lt;=45,"36-45", A663&lt;=55,"46-55", A663&lt;=64,"56-64")</f>
        <v>56-64</v>
      </c>
      <c r="C663" t="s">
        <v>7</v>
      </c>
      <c r="D663">
        <v>23.98</v>
      </c>
      <c r="E663">
        <v>1</v>
      </c>
      <c r="F663" t="s">
        <v>11</v>
      </c>
      <c r="G663" t="s">
        <v>51</v>
      </c>
      <c r="H663" s="2">
        <v>22192.437109999999</v>
      </c>
      <c r="I663" s="2">
        <f t="shared" si="70"/>
        <v>11096.218554999999</v>
      </c>
      <c r="J663" t="str">
        <f t="shared" si="71"/>
        <v>High</v>
      </c>
      <c r="K663" s="1">
        <f t="shared" si="72"/>
        <v>0.82199999999999995</v>
      </c>
      <c r="L663" t="str">
        <f t="shared" si="73"/>
        <v>Normal</v>
      </c>
      <c r="M663" t="str">
        <f t="shared" si="74"/>
        <v>Standard</v>
      </c>
      <c r="N663" t="str">
        <f t="shared" si="75"/>
        <v>Tier 1</v>
      </c>
      <c r="O663">
        <f t="shared" si="76"/>
        <v>1</v>
      </c>
    </row>
    <row r="664" spans="1:15" x14ac:dyDescent="0.2">
      <c r="A664">
        <v>32</v>
      </c>
      <c r="B664" t="str" cm="1">
        <f t="array" ref="B664">_xlfn.IFS(A664&lt;=25,"18-25", A664&lt;=35,"26-35", A664&lt;=45,"36-45", A664&lt;=55,"46-55", A664&lt;=64,"56-64")</f>
        <v>26-35</v>
      </c>
      <c r="C664" t="s">
        <v>7</v>
      </c>
      <c r="D664">
        <v>31.54</v>
      </c>
      <c r="E664">
        <v>1</v>
      </c>
      <c r="F664" t="s">
        <v>11</v>
      </c>
      <c r="G664" t="s">
        <v>53</v>
      </c>
      <c r="H664" s="2">
        <v>5148.5526</v>
      </c>
      <c r="I664" s="2">
        <f t="shared" si="70"/>
        <v>2574.2763</v>
      </c>
      <c r="J664" t="str">
        <f t="shared" si="71"/>
        <v>Low</v>
      </c>
      <c r="K664" s="1">
        <f t="shared" si="72"/>
        <v>0.27500000000000002</v>
      </c>
      <c r="L664" t="str">
        <f t="shared" si="73"/>
        <v>Obese</v>
      </c>
      <c r="M664" t="str">
        <f t="shared" si="74"/>
        <v>Standard</v>
      </c>
      <c r="N664" t="str">
        <f t="shared" si="75"/>
        <v>Tier 2</v>
      </c>
      <c r="O664">
        <f t="shared" si="76"/>
        <v>2</v>
      </c>
    </row>
    <row r="665" spans="1:15" x14ac:dyDescent="0.2">
      <c r="A665">
        <v>18</v>
      </c>
      <c r="B665" t="str" cm="1">
        <f t="array" ref="B665">_xlfn.IFS(A665&lt;=25,"18-25", A665&lt;=35,"26-35", A665&lt;=45,"36-45", A665&lt;=55,"46-55", A665&lt;=64,"56-64")</f>
        <v>18-25</v>
      </c>
      <c r="C665" t="s">
        <v>10</v>
      </c>
      <c r="D665">
        <v>33.659999999999997</v>
      </c>
      <c r="E665">
        <v>0</v>
      </c>
      <c r="F665" t="s">
        <v>11</v>
      </c>
      <c r="G665" t="s">
        <v>51</v>
      </c>
      <c r="H665" s="2">
        <v>1136.3994</v>
      </c>
      <c r="I665" s="2">
        <f t="shared" si="70"/>
        <v>1136.3994</v>
      </c>
      <c r="J665" t="str">
        <f t="shared" si="71"/>
        <v>Low</v>
      </c>
      <c r="K665" s="1">
        <f t="shared" si="72"/>
        <v>2E-3</v>
      </c>
      <c r="L665" t="str">
        <f t="shared" si="73"/>
        <v>Obese</v>
      </c>
      <c r="M665" t="str">
        <f t="shared" si="74"/>
        <v>Standard</v>
      </c>
      <c r="N665" t="str">
        <f t="shared" si="75"/>
        <v>Tier 1</v>
      </c>
      <c r="O665">
        <f t="shared" si="76"/>
        <v>3</v>
      </c>
    </row>
    <row r="666" spans="1:15" x14ac:dyDescent="0.2">
      <c r="A666">
        <v>64</v>
      </c>
      <c r="B666" t="str" cm="1">
        <f t="array" ref="B666">_xlfn.IFS(A666&lt;=25,"18-25", A666&lt;=35,"26-35", A666&lt;=45,"36-45", A666&lt;=55,"46-55", A666&lt;=64,"56-64")</f>
        <v>56-64</v>
      </c>
      <c r="C666" t="s">
        <v>7</v>
      </c>
      <c r="D666">
        <v>22.99</v>
      </c>
      <c r="E666">
        <v>0</v>
      </c>
      <c r="F666" t="s">
        <v>8</v>
      </c>
      <c r="G666" t="s">
        <v>51</v>
      </c>
      <c r="H666" s="2">
        <v>27037.914100000002</v>
      </c>
      <c r="I666" s="2">
        <f t="shared" si="70"/>
        <v>27037.914100000002</v>
      </c>
      <c r="J666" t="str">
        <f t="shared" si="71"/>
        <v>High</v>
      </c>
      <c r="K666" s="1">
        <f t="shared" si="72"/>
        <v>0.86299999999999999</v>
      </c>
      <c r="L666" t="str">
        <f t="shared" si="73"/>
        <v>Normal</v>
      </c>
      <c r="M666" t="str">
        <f t="shared" si="74"/>
        <v>High Risk</v>
      </c>
      <c r="N666" t="str">
        <f t="shared" si="75"/>
        <v>Tier 1</v>
      </c>
      <c r="O666">
        <f t="shared" si="76"/>
        <v>4</v>
      </c>
    </row>
    <row r="667" spans="1:15" x14ac:dyDescent="0.2">
      <c r="A667">
        <v>43</v>
      </c>
      <c r="B667" t="str" cm="1">
        <f t="array" ref="B667">_xlfn.IFS(A667&lt;=25,"18-25", A667&lt;=35,"26-35", A667&lt;=45,"36-45", A667&lt;=55,"46-55", A667&lt;=64,"56-64")</f>
        <v>36-45</v>
      </c>
      <c r="C667" t="s">
        <v>10</v>
      </c>
      <c r="D667">
        <v>38.06</v>
      </c>
      <c r="E667">
        <v>2</v>
      </c>
      <c r="F667" t="s">
        <v>8</v>
      </c>
      <c r="G667" t="s">
        <v>51</v>
      </c>
      <c r="H667" s="2">
        <v>42560.430399999997</v>
      </c>
      <c r="I667" s="2">
        <f t="shared" si="70"/>
        <v>14186.810133333332</v>
      </c>
      <c r="J667" t="str">
        <f t="shared" si="71"/>
        <v>High</v>
      </c>
      <c r="K667" s="1">
        <f t="shared" si="72"/>
        <v>0.95799999999999996</v>
      </c>
      <c r="L667" t="str">
        <f t="shared" si="73"/>
        <v>Obese</v>
      </c>
      <c r="M667" t="str">
        <f t="shared" si="74"/>
        <v>High Risk</v>
      </c>
      <c r="N667" t="str">
        <f t="shared" si="75"/>
        <v>Tier 1</v>
      </c>
      <c r="O667">
        <f t="shared" si="76"/>
        <v>6</v>
      </c>
    </row>
    <row r="668" spans="1:15" x14ac:dyDescent="0.2">
      <c r="A668">
        <v>49</v>
      </c>
      <c r="B668" t="str" cm="1">
        <f t="array" ref="B668">_xlfn.IFS(A668&lt;=25,"18-25", A668&lt;=35,"26-35", A668&lt;=45,"36-45", A668&lt;=55,"46-55", A668&lt;=64,"56-64")</f>
        <v>46-55</v>
      </c>
      <c r="C668" t="s">
        <v>10</v>
      </c>
      <c r="D668">
        <v>28.7</v>
      </c>
      <c r="E668">
        <v>1</v>
      </c>
      <c r="F668" t="s">
        <v>11</v>
      </c>
      <c r="G668" t="s">
        <v>52</v>
      </c>
      <c r="H668" s="2">
        <v>8703.4560000000001</v>
      </c>
      <c r="I668" s="2">
        <f t="shared" si="70"/>
        <v>4351.7280000000001</v>
      </c>
      <c r="J668" t="str">
        <f t="shared" si="71"/>
        <v>Low</v>
      </c>
      <c r="K668" s="1">
        <f t="shared" si="72"/>
        <v>0.46899999999999997</v>
      </c>
      <c r="L668" t="str">
        <f t="shared" si="73"/>
        <v>Overweight</v>
      </c>
      <c r="M668" t="str">
        <f t="shared" si="74"/>
        <v>Standard</v>
      </c>
      <c r="N668" t="str">
        <f t="shared" si="75"/>
        <v>Tier 3</v>
      </c>
      <c r="O668">
        <f t="shared" si="76"/>
        <v>1</v>
      </c>
    </row>
    <row r="669" spans="1:15" x14ac:dyDescent="0.2">
      <c r="A669">
        <v>40</v>
      </c>
      <c r="B669" t="str" cm="1">
        <f t="array" ref="B669">_xlfn.IFS(A669&lt;=25,"18-25", A669&lt;=35,"26-35", A669&lt;=45,"36-45", A669&lt;=55,"46-55", A669&lt;=64,"56-64")</f>
        <v>36-45</v>
      </c>
      <c r="C669" t="s">
        <v>7</v>
      </c>
      <c r="D669">
        <v>32.774999999999999</v>
      </c>
      <c r="E669">
        <v>2</v>
      </c>
      <c r="F669" t="s">
        <v>8</v>
      </c>
      <c r="G669" t="s">
        <v>54</v>
      </c>
      <c r="H669" s="2">
        <v>40003.332249999999</v>
      </c>
      <c r="I669" s="2">
        <f t="shared" si="70"/>
        <v>13334.444083333334</v>
      </c>
      <c r="J669" t="str">
        <f t="shared" si="71"/>
        <v>High</v>
      </c>
      <c r="K669" s="1">
        <f t="shared" si="72"/>
        <v>0.94099999999999995</v>
      </c>
      <c r="L669" t="str">
        <f t="shared" si="73"/>
        <v>Obese</v>
      </c>
      <c r="M669" t="str">
        <f t="shared" si="74"/>
        <v>High Risk</v>
      </c>
      <c r="N669" t="str">
        <f t="shared" si="75"/>
        <v>Tier 4</v>
      </c>
      <c r="O669">
        <f t="shared" si="76"/>
        <v>5</v>
      </c>
    </row>
    <row r="670" spans="1:15" x14ac:dyDescent="0.2">
      <c r="A670">
        <v>62</v>
      </c>
      <c r="B670" t="str" cm="1">
        <f t="array" ref="B670">_xlfn.IFS(A670&lt;=25,"18-25", A670&lt;=35,"26-35", A670&lt;=45,"36-45", A670&lt;=55,"46-55", A670&lt;=64,"56-64")</f>
        <v>56-64</v>
      </c>
      <c r="C670" t="s">
        <v>10</v>
      </c>
      <c r="D670">
        <v>32.015000000000001</v>
      </c>
      <c r="E670">
        <v>0</v>
      </c>
      <c r="F670" t="s">
        <v>8</v>
      </c>
      <c r="G670" t="s">
        <v>53</v>
      </c>
      <c r="H670" s="2">
        <v>45710.207849999999</v>
      </c>
      <c r="I670" s="2">
        <f t="shared" si="70"/>
        <v>45710.207849999999</v>
      </c>
      <c r="J670" t="str">
        <f t="shared" si="71"/>
        <v>High</v>
      </c>
      <c r="K670" s="1">
        <f t="shared" si="72"/>
        <v>0.97299999999999998</v>
      </c>
      <c r="L670" t="str">
        <f t="shared" si="73"/>
        <v>Obese</v>
      </c>
      <c r="M670" t="str">
        <f t="shared" si="74"/>
        <v>High Risk</v>
      </c>
      <c r="N670" t="str">
        <f t="shared" si="75"/>
        <v>Tier 2</v>
      </c>
      <c r="O670">
        <f t="shared" si="76"/>
        <v>5</v>
      </c>
    </row>
    <row r="671" spans="1:15" x14ac:dyDescent="0.2">
      <c r="A671">
        <v>40</v>
      </c>
      <c r="B671" t="str" cm="1">
        <f t="array" ref="B671">_xlfn.IFS(A671&lt;=25,"18-25", A671&lt;=35,"26-35", A671&lt;=45,"36-45", A671&lt;=55,"46-55", A671&lt;=64,"56-64")</f>
        <v>36-45</v>
      </c>
      <c r="C671" t="s">
        <v>7</v>
      </c>
      <c r="D671">
        <v>29.81</v>
      </c>
      <c r="E671">
        <v>1</v>
      </c>
      <c r="F671" t="s">
        <v>11</v>
      </c>
      <c r="G671" t="s">
        <v>51</v>
      </c>
      <c r="H671" s="2">
        <v>6500.2358999999997</v>
      </c>
      <c r="I671" s="2">
        <f t="shared" si="70"/>
        <v>3250.1179499999998</v>
      </c>
      <c r="J671" t="str">
        <f t="shared" si="71"/>
        <v>Low</v>
      </c>
      <c r="K671" s="1">
        <f t="shared" si="72"/>
        <v>0.34899999999999998</v>
      </c>
      <c r="L671" t="str">
        <f t="shared" si="73"/>
        <v>Overweight</v>
      </c>
      <c r="M671" t="str">
        <f t="shared" si="74"/>
        <v>Standard</v>
      </c>
      <c r="N671" t="str">
        <f t="shared" si="75"/>
        <v>Tier 1</v>
      </c>
      <c r="O671">
        <f t="shared" si="76"/>
        <v>2</v>
      </c>
    </row>
    <row r="672" spans="1:15" x14ac:dyDescent="0.2">
      <c r="A672">
        <v>30</v>
      </c>
      <c r="B672" t="str" cm="1">
        <f t="array" ref="B672">_xlfn.IFS(A672&lt;=25,"18-25", A672&lt;=35,"26-35", A672&lt;=45,"36-45", A672&lt;=55,"46-55", A672&lt;=64,"56-64")</f>
        <v>26-35</v>
      </c>
      <c r="C672" t="s">
        <v>10</v>
      </c>
      <c r="D672">
        <v>31.57</v>
      </c>
      <c r="E672">
        <v>3</v>
      </c>
      <c r="F672" t="s">
        <v>11</v>
      </c>
      <c r="G672" t="s">
        <v>51</v>
      </c>
      <c r="H672" s="2">
        <v>4837.5823</v>
      </c>
      <c r="I672" s="2">
        <f t="shared" si="70"/>
        <v>1209.395575</v>
      </c>
      <c r="J672" t="str">
        <f t="shared" si="71"/>
        <v>Low</v>
      </c>
      <c r="K672" s="1">
        <f t="shared" si="72"/>
        <v>0.25800000000000001</v>
      </c>
      <c r="L672" t="str">
        <f t="shared" si="73"/>
        <v>Obese</v>
      </c>
      <c r="M672" t="str">
        <f t="shared" si="74"/>
        <v>Standard</v>
      </c>
      <c r="N672" t="str">
        <f t="shared" si="75"/>
        <v>Tier 1</v>
      </c>
      <c r="O672">
        <f t="shared" si="76"/>
        <v>3</v>
      </c>
    </row>
    <row r="673" spans="1:15" x14ac:dyDescent="0.2">
      <c r="A673">
        <v>29</v>
      </c>
      <c r="B673" t="str" cm="1">
        <f t="array" ref="B673">_xlfn.IFS(A673&lt;=25,"18-25", A673&lt;=35,"26-35", A673&lt;=45,"36-45", A673&lt;=55,"46-55", A673&lt;=64,"56-64")</f>
        <v>26-35</v>
      </c>
      <c r="C673" t="s">
        <v>7</v>
      </c>
      <c r="D673">
        <v>31.16</v>
      </c>
      <c r="E673">
        <v>0</v>
      </c>
      <c r="F673" t="s">
        <v>11</v>
      </c>
      <c r="G673" t="s">
        <v>53</v>
      </c>
      <c r="H673" s="2">
        <v>3943.5954000000002</v>
      </c>
      <c r="I673" s="2">
        <f t="shared" si="70"/>
        <v>3943.5954000000002</v>
      </c>
      <c r="J673" t="str">
        <f t="shared" si="71"/>
        <v>Low</v>
      </c>
      <c r="K673" s="1">
        <f t="shared" si="72"/>
        <v>0.19500000000000001</v>
      </c>
      <c r="L673" t="str">
        <f t="shared" si="73"/>
        <v>Obese</v>
      </c>
      <c r="M673" t="str">
        <f t="shared" si="74"/>
        <v>Standard</v>
      </c>
      <c r="N673" t="str">
        <f t="shared" si="75"/>
        <v>Tier 2</v>
      </c>
      <c r="O673">
        <f t="shared" si="76"/>
        <v>2</v>
      </c>
    </row>
    <row r="674" spans="1:15" x14ac:dyDescent="0.2">
      <c r="A674">
        <v>36</v>
      </c>
      <c r="B674" t="str" cm="1">
        <f t="array" ref="B674">_xlfn.IFS(A674&lt;=25,"18-25", A674&lt;=35,"26-35", A674&lt;=45,"36-45", A674&lt;=55,"46-55", A674&lt;=64,"56-64")</f>
        <v>36-45</v>
      </c>
      <c r="C674" t="s">
        <v>10</v>
      </c>
      <c r="D674">
        <v>29.7</v>
      </c>
      <c r="E674">
        <v>0</v>
      </c>
      <c r="F674" t="s">
        <v>11</v>
      </c>
      <c r="G674" t="s">
        <v>51</v>
      </c>
      <c r="H674" s="2">
        <v>4399.7309999999998</v>
      </c>
      <c r="I674" s="2">
        <f t="shared" si="70"/>
        <v>4399.7309999999998</v>
      </c>
      <c r="J674" t="str">
        <f t="shared" si="71"/>
        <v>Low</v>
      </c>
      <c r="K674" s="1">
        <f t="shared" si="72"/>
        <v>0.222</v>
      </c>
      <c r="L674" t="str">
        <f t="shared" si="73"/>
        <v>Overweight</v>
      </c>
      <c r="M674" t="str">
        <f t="shared" si="74"/>
        <v>Standard</v>
      </c>
      <c r="N674" t="str">
        <f t="shared" si="75"/>
        <v>Tier 1</v>
      </c>
      <c r="O674">
        <f t="shared" si="76"/>
        <v>2</v>
      </c>
    </row>
    <row r="675" spans="1:15" x14ac:dyDescent="0.2">
      <c r="A675">
        <v>41</v>
      </c>
      <c r="B675" t="str" cm="1">
        <f t="array" ref="B675">_xlfn.IFS(A675&lt;=25,"18-25", A675&lt;=35,"26-35", A675&lt;=45,"36-45", A675&lt;=55,"46-55", A675&lt;=64,"56-64")</f>
        <v>36-45</v>
      </c>
      <c r="C675" t="s">
        <v>7</v>
      </c>
      <c r="D675">
        <v>31.02</v>
      </c>
      <c r="E675">
        <v>0</v>
      </c>
      <c r="F675" t="s">
        <v>11</v>
      </c>
      <c r="G675" t="s">
        <v>51</v>
      </c>
      <c r="H675" s="2">
        <v>6185.3208000000004</v>
      </c>
      <c r="I675" s="2">
        <f t="shared" si="70"/>
        <v>6185.3208000000004</v>
      </c>
      <c r="J675" t="str">
        <f t="shared" si="71"/>
        <v>Low</v>
      </c>
      <c r="K675" s="1">
        <f t="shared" si="72"/>
        <v>0.32800000000000001</v>
      </c>
      <c r="L675" t="str">
        <f t="shared" si="73"/>
        <v>Obese</v>
      </c>
      <c r="M675" t="str">
        <f t="shared" si="74"/>
        <v>Standard</v>
      </c>
      <c r="N675" t="str">
        <f t="shared" si="75"/>
        <v>Tier 1</v>
      </c>
      <c r="O675">
        <f t="shared" si="76"/>
        <v>3</v>
      </c>
    </row>
    <row r="676" spans="1:15" x14ac:dyDescent="0.2">
      <c r="A676">
        <v>44</v>
      </c>
      <c r="B676" t="str" cm="1">
        <f t="array" ref="B676">_xlfn.IFS(A676&lt;=25,"18-25", A676&lt;=35,"26-35", A676&lt;=45,"36-45", A676&lt;=55,"46-55", A676&lt;=64,"56-64")</f>
        <v>36-45</v>
      </c>
      <c r="C676" t="s">
        <v>7</v>
      </c>
      <c r="D676">
        <v>43.89</v>
      </c>
      <c r="E676">
        <v>2</v>
      </c>
      <c r="F676" t="s">
        <v>8</v>
      </c>
      <c r="G676" t="s">
        <v>51</v>
      </c>
      <c r="H676" s="2">
        <v>46200.985099999998</v>
      </c>
      <c r="I676" s="2">
        <f t="shared" si="70"/>
        <v>15400.328366666667</v>
      </c>
      <c r="J676" t="str">
        <f t="shared" si="71"/>
        <v>High</v>
      </c>
      <c r="K676" s="1">
        <f t="shared" si="72"/>
        <v>0.97699999999999998</v>
      </c>
      <c r="L676" t="str">
        <f t="shared" si="73"/>
        <v>Obese</v>
      </c>
      <c r="M676" t="str">
        <f t="shared" si="74"/>
        <v>High Risk</v>
      </c>
      <c r="N676" t="str">
        <f t="shared" si="75"/>
        <v>Tier 1</v>
      </c>
      <c r="O676">
        <f t="shared" si="76"/>
        <v>6</v>
      </c>
    </row>
    <row r="677" spans="1:15" x14ac:dyDescent="0.2">
      <c r="A677">
        <v>45</v>
      </c>
      <c r="B677" t="str" cm="1">
        <f t="array" ref="B677">_xlfn.IFS(A677&lt;=25,"18-25", A677&lt;=35,"26-35", A677&lt;=45,"36-45", A677&lt;=55,"46-55", A677&lt;=64,"56-64")</f>
        <v>36-45</v>
      </c>
      <c r="C677" t="s">
        <v>10</v>
      </c>
      <c r="D677">
        <v>21.375</v>
      </c>
      <c r="E677">
        <v>0</v>
      </c>
      <c r="F677" t="s">
        <v>11</v>
      </c>
      <c r="G677" t="s">
        <v>54</v>
      </c>
      <c r="H677" s="2">
        <v>7222.7862500000001</v>
      </c>
      <c r="I677" s="2">
        <f t="shared" si="70"/>
        <v>7222.7862500000001</v>
      </c>
      <c r="J677" t="str">
        <f t="shared" si="71"/>
        <v>Low</v>
      </c>
      <c r="K677" s="1">
        <f t="shared" si="72"/>
        <v>0.38900000000000001</v>
      </c>
      <c r="L677" t="str">
        <f t="shared" si="73"/>
        <v>Normal</v>
      </c>
      <c r="M677" t="str">
        <f t="shared" si="74"/>
        <v>Standard</v>
      </c>
      <c r="N677" t="str">
        <f t="shared" si="75"/>
        <v>Tier 4</v>
      </c>
      <c r="O677">
        <f t="shared" si="76"/>
        <v>0</v>
      </c>
    </row>
    <row r="678" spans="1:15" x14ac:dyDescent="0.2">
      <c r="A678">
        <v>55</v>
      </c>
      <c r="B678" t="str" cm="1">
        <f t="array" ref="B678">_xlfn.IFS(A678&lt;=25,"18-25", A678&lt;=35,"26-35", A678&lt;=45,"36-45", A678&lt;=55,"46-55", A678&lt;=64,"56-64")</f>
        <v>46-55</v>
      </c>
      <c r="C678" t="s">
        <v>7</v>
      </c>
      <c r="D678">
        <v>40.81</v>
      </c>
      <c r="E678">
        <v>3</v>
      </c>
      <c r="F678" t="s">
        <v>11</v>
      </c>
      <c r="G678" t="s">
        <v>51</v>
      </c>
      <c r="H678" s="2">
        <v>12485.8009</v>
      </c>
      <c r="I678" s="2">
        <f t="shared" si="70"/>
        <v>3121.450225</v>
      </c>
      <c r="J678" t="str">
        <f t="shared" si="71"/>
        <v>Low</v>
      </c>
      <c r="K678" s="1">
        <f t="shared" si="72"/>
        <v>0.65200000000000002</v>
      </c>
      <c r="L678" t="str">
        <f t="shared" si="73"/>
        <v>Obese</v>
      </c>
      <c r="M678" t="str">
        <f t="shared" si="74"/>
        <v>Standard</v>
      </c>
      <c r="N678" t="str">
        <f t="shared" si="75"/>
        <v>Tier 1</v>
      </c>
      <c r="O678">
        <f t="shared" si="76"/>
        <v>3</v>
      </c>
    </row>
    <row r="679" spans="1:15" x14ac:dyDescent="0.2">
      <c r="A679">
        <v>60</v>
      </c>
      <c r="B679" t="str" cm="1">
        <f t="array" ref="B679">_xlfn.IFS(A679&lt;=25,"18-25", A679&lt;=35,"26-35", A679&lt;=45,"36-45", A679&lt;=55,"46-55", A679&lt;=64,"56-64")</f>
        <v>56-64</v>
      </c>
      <c r="C679" t="s">
        <v>10</v>
      </c>
      <c r="D679">
        <v>31.35</v>
      </c>
      <c r="E679">
        <v>3</v>
      </c>
      <c r="F679" t="s">
        <v>8</v>
      </c>
      <c r="G679" t="s">
        <v>54</v>
      </c>
      <c r="H679" s="2">
        <v>46130.5265</v>
      </c>
      <c r="I679" s="2">
        <f t="shared" si="70"/>
        <v>11532.631625</v>
      </c>
      <c r="J679" t="str">
        <f t="shared" si="71"/>
        <v>High</v>
      </c>
      <c r="K679" s="1">
        <f t="shared" si="72"/>
        <v>0.97599999999999998</v>
      </c>
      <c r="L679" t="str">
        <f t="shared" si="73"/>
        <v>Obese</v>
      </c>
      <c r="M679" t="str">
        <f t="shared" si="74"/>
        <v>High Risk</v>
      </c>
      <c r="N679" t="str">
        <f t="shared" si="75"/>
        <v>Tier 4</v>
      </c>
      <c r="O679">
        <f t="shared" si="76"/>
        <v>5</v>
      </c>
    </row>
    <row r="680" spans="1:15" x14ac:dyDescent="0.2">
      <c r="A680">
        <v>56</v>
      </c>
      <c r="B680" t="str" cm="1">
        <f t="array" ref="B680">_xlfn.IFS(A680&lt;=25,"18-25", A680&lt;=35,"26-35", A680&lt;=45,"36-45", A680&lt;=55,"46-55", A680&lt;=64,"56-64")</f>
        <v>56-64</v>
      </c>
      <c r="C680" t="s">
        <v>10</v>
      </c>
      <c r="D680">
        <v>36.1</v>
      </c>
      <c r="E680">
        <v>3</v>
      </c>
      <c r="F680" t="s">
        <v>11</v>
      </c>
      <c r="G680" t="s">
        <v>52</v>
      </c>
      <c r="H680" s="2">
        <v>12363.547</v>
      </c>
      <c r="I680" s="2">
        <f t="shared" si="70"/>
        <v>3090.8867500000001</v>
      </c>
      <c r="J680" t="str">
        <f t="shared" si="71"/>
        <v>Low</v>
      </c>
      <c r="K680" s="1">
        <f t="shared" si="72"/>
        <v>0.64900000000000002</v>
      </c>
      <c r="L680" t="str">
        <f t="shared" si="73"/>
        <v>Obese</v>
      </c>
      <c r="M680" t="str">
        <f t="shared" si="74"/>
        <v>Standard</v>
      </c>
      <c r="N680" t="str">
        <f t="shared" si="75"/>
        <v>Tier 3</v>
      </c>
      <c r="O680">
        <f t="shared" si="76"/>
        <v>2</v>
      </c>
    </row>
    <row r="681" spans="1:15" x14ac:dyDescent="0.2">
      <c r="A681">
        <v>49</v>
      </c>
      <c r="B681" t="str" cm="1">
        <f t="array" ref="B681">_xlfn.IFS(A681&lt;=25,"18-25", A681&lt;=35,"26-35", A681&lt;=45,"36-45", A681&lt;=55,"46-55", A681&lt;=64,"56-64")</f>
        <v>46-55</v>
      </c>
      <c r="C681" t="s">
        <v>7</v>
      </c>
      <c r="D681">
        <v>23.18</v>
      </c>
      <c r="E681">
        <v>2</v>
      </c>
      <c r="F681" t="s">
        <v>11</v>
      </c>
      <c r="G681" t="s">
        <v>54</v>
      </c>
      <c r="H681" s="2">
        <v>10156.7832</v>
      </c>
      <c r="I681" s="2">
        <f t="shared" si="70"/>
        <v>3385.5944</v>
      </c>
      <c r="J681" t="str">
        <f t="shared" si="71"/>
        <v>Low</v>
      </c>
      <c r="K681" s="1">
        <f t="shared" si="72"/>
        <v>0.54</v>
      </c>
      <c r="L681" t="str">
        <f t="shared" si="73"/>
        <v>Normal</v>
      </c>
      <c r="M681" t="str">
        <f t="shared" si="74"/>
        <v>Standard</v>
      </c>
      <c r="N681" t="str">
        <f t="shared" si="75"/>
        <v>Tier 4</v>
      </c>
      <c r="O681">
        <f t="shared" si="76"/>
        <v>0</v>
      </c>
    </row>
    <row r="682" spans="1:15" x14ac:dyDescent="0.2">
      <c r="A682">
        <v>21</v>
      </c>
      <c r="B682" t="str" cm="1">
        <f t="array" ref="B682">_xlfn.IFS(A682&lt;=25,"18-25", A682&lt;=35,"26-35", A682&lt;=45,"36-45", A682&lt;=55,"46-55", A682&lt;=64,"56-64")</f>
        <v>18-25</v>
      </c>
      <c r="C682" t="s">
        <v>7</v>
      </c>
      <c r="D682">
        <v>17.399999999999999</v>
      </c>
      <c r="E682">
        <v>1</v>
      </c>
      <c r="F682" t="s">
        <v>11</v>
      </c>
      <c r="G682" t="s">
        <v>52</v>
      </c>
      <c r="H682" s="2">
        <v>2585.2689999999998</v>
      </c>
      <c r="I682" s="2">
        <f t="shared" si="70"/>
        <v>1292.6344999999999</v>
      </c>
      <c r="J682" t="str">
        <f t="shared" si="71"/>
        <v>Low</v>
      </c>
      <c r="K682" s="1">
        <f t="shared" si="72"/>
        <v>0.115</v>
      </c>
      <c r="L682" t="str">
        <f t="shared" si="73"/>
        <v>Underweight</v>
      </c>
      <c r="M682" t="str">
        <f t="shared" si="74"/>
        <v>Standard</v>
      </c>
      <c r="N682" t="str">
        <f t="shared" si="75"/>
        <v>Tier 3</v>
      </c>
      <c r="O682">
        <f t="shared" si="76"/>
        <v>0</v>
      </c>
    </row>
    <row r="683" spans="1:15" x14ac:dyDescent="0.2">
      <c r="A683">
        <v>19</v>
      </c>
      <c r="B683" t="str" cm="1">
        <f t="array" ref="B683">_xlfn.IFS(A683&lt;=25,"18-25", A683&lt;=35,"26-35", A683&lt;=45,"36-45", A683&lt;=55,"46-55", A683&lt;=64,"56-64")</f>
        <v>18-25</v>
      </c>
      <c r="C683" t="s">
        <v>10</v>
      </c>
      <c r="D683">
        <v>20.3</v>
      </c>
      <c r="E683">
        <v>0</v>
      </c>
      <c r="F683" t="s">
        <v>11</v>
      </c>
      <c r="G683" t="s">
        <v>52</v>
      </c>
      <c r="H683" s="2">
        <v>1242.26</v>
      </c>
      <c r="I683" s="2">
        <f t="shared" si="70"/>
        <v>1242.26</v>
      </c>
      <c r="J683" t="str">
        <f t="shared" si="71"/>
        <v>Low</v>
      </c>
      <c r="K683" s="1">
        <f t="shared" si="72"/>
        <v>8.0000000000000002E-3</v>
      </c>
      <c r="L683" t="str">
        <f t="shared" si="73"/>
        <v>Normal</v>
      </c>
      <c r="M683" t="str">
        <f t="shared" si="74"/>
        <v>Standard</v>
      </c>
      <c r="N683" t="str">
        <f t="shared" si="75"/>
        <v>Tier 3</v>
      </c>
      <c r="O683">
        <f t="shared" si="76"/>
        <v>0</v>
      </c>
    </row>
    <row r="684" spans="1:15" x14ac:dyDescent="0.2">
      <c r="A684">
        <v>39</v>
      </c>
      <c r="B684" t="str" cm="1">
        <f t="array" ref="B684">_xlfn.IFS(A684&lt;=25,"18-25", A684&lt;=35,"26-35", A684&lt;=45,"36-45", A684&lt;=55,"46-55", A684&lt;=64,"56-64")</f>
        <v>36-45</v>
      </c>
      <c r="C684" t="s">
        <v>10</v>
      </c>
      <c r="D684">
        <v>35.299999999999997</v>
      </c>
      <c r="E684">
        <v>2</v>
      </c>
      <c r="F684" t="s">
        <v>8</v>
      </c>
      <c r="G684" t="s">
        <v>52</v>
      </c>
      <c r="H684" s="2">
        <v>40103.89</v>
      </c>
      <c r="I684" s="2">
        <f t="shared" si="70"/>
        <v>13367.963333333333</v>
      </c>
      <c r="J684" t="str">
        <f t="shared" si="71"/>
        <v>High</v>
      </c>
      <c r="K684" s="1">
        <f t="shared" si="72"/>
        <v>0.94199999999999995</v>
      </c>
      <c r="L684" t="str">
        <f t="shared" si="73"/>
        <v>Obese</v>
      </c>
      <c r="M684" t="str">
        <f t="shared" si="74"/>
        <v>High Risk</v>
      </c>
      <c r="N684" t="str">
        <f t="shared" si="75"/>
        <v>Tier 3</v>
      </c>
      <c r="O684">
        <f t="shared" si="76"/>
        <v>5</v>
      </c>
    </row>
    <row r="685" spans="1:15" x14ac:dyDescent="0.2">
      <c r="A685">
        <v>53</v>
      </c>
      <c r="B685" t="str" cm="1">
        <f t="array" ref="B685">_xlfn.IFS(A685&lt;=25,"18-25", A685&lt;=35,"26-35", A685&lt;=45,"36-45", A685&lt;=55,"46-55", A685&lt;=64,"56-64")</f>
        <v>46-55</v>
      </c>
      <c r="C685" t="s">
        <v>10</v>
      </c>
      <c r="D685">
        <v>24.32</v>
      </c>
      <c r="E685">
        <v>0</v>
      </c>
      <c r="F685" t="s">
        <v>11</v>
      </c>
      <c r="G685" t="s">
        <v>54</v>
      </c>
      <c r="H685" s="2">
        <v>9863.4717999999993</v>
      </c>
      <c r="I685" s="2">
        <f t="shared" si="70"/>
        <v>9863.4717999999993</v>
      </c>
      <c r="J685" t="str">
        <f t="shared" si="71"/>
        <v>Low</v>
      </c>
      <c r="K685" s="1">
        <f t="shared" si="72"/>
        <v>0.52400000000000002</v>
      </c>
      <c r="L685" t="str">
        <f t="shared" si="73"/>
        <v>Normal</v>
      </c>
      <c r="M685" t="str">
        <f t="shared" si="74"/>
        <v>Standard</v>
      </c>
      <c r="N685" t="str">
        <f t="shared" si="75"/>
        <v>Tier 4</v>
      </c>
      <c r="O685">
        <f t="shared" si="76"/>
        <v>0</v>
      </c>
    </row>
    <row r="686" spans="1:15" x14ac:dyDescent="0.2">
      <c r="A686">
        <v>33</v>
      </c>
      <c r="B686" t="str" cm="1">
        <f t="array" ref="B686">_xlfn.IFS(A686&lt;=25,"18-25", A686&lt;=35,"26-35", A686&lt;=45,"36-45", A686&lt;=55,"46-55", A686&lt;=64,"56-64")</f>
        <v>26-35</v>
      </c>
      <c r="C686" t="s">
        <v>7</v>
      </c>
      <c r="D686">
        <v>18.5</v>
      </c>
      <c r="E686">
        <v>1</v>
      </c>
      <c r="F686" t="s">
        <v>11</v>
      </c>
      <c r="G686" t="s">
        <v>52</v>
      </c>
      <c r="H686" s="2">
        <v>4766.0219999999999</v>
      </c>
      <c r="I686" s="2">
        <f t="shared" si="70"/>
        <v>2383.011</v>
      </c>
      <c r="J686" t="str">
        <f t="shared" si="71"/>
        <v>Low</v>
      </c>
      <c r="K686" s="1">
        <f t="shared" si="72"/>
        <v>0.254</v>
      </c>
      <c r="L686" t="str">
        <f t="shared" si="73"/>
        <v>Normal</v>
      </c>
      <c r="M686" t="str">
        <f t="shared" si="74"/>
        <v>Standard</v>
      </c>
      <c r="N686" t="str">
        <f t="shared" si="75"/>
        <v>Tier 3</v>
      </c>
      <c r="O686">
        <f t="shared" si="76"/>
        <v>0</v>
      </c>
    </row>
    <row r="687" spans="1:15" x14ac:dyDescent="0.2">
      <c r="A687">
        <v>53</v>
      </c>
      <c r="B687" t="str" cm="1">
        <f t="array" ref="B687">_xlfn.IFS(A687&lt;=25,"18-25", A687&lt;=35,"26-35", A687&lt;=45,"36-45", A687&lt;=55,"46-55", A687&lt;=64,"56-64")</f>
        <v>46-55</v>
      </c>
      <c r="C687" t="s">
        <v>10</v>
      </c>
      <c r="D687">
        <v>26.41</v>
      </c>
      <c r="E687">
        <v>2</v>
      </c>
      <c r="F687" t="s">
        <v>11</v>
      </c>
      <c r="G687" t="s">
        <v>53</v>
      </c>
      <c r="H687" s="2">
        <v>11244.376899999999</v>
      </c>
      <c r="I687" s="2">
        <f t="shared" si="70"/>
        <v>3748.1256333333331</v>
      </c>
      <c r="J687" t="str">
        <f t="shared" si="71"/>
        <v>Low</v>
      </c>
      <c r="K687" s="1">
        <f t="shared" si="72"/>
        <v>0.58699999999999997</v>
      </c>
      <c r="L687" t="str">
        <f t="shared" si="73"/>
        <v>Overweight</v>
      </c>
      <c r="M687" t="str">
        <f t="shared" si="74"/>
        <v>Standard</v>
      </c>
      <c r="N687" t="str">
        <f t="shared" si="75"/>
        <v>Tier 2</v>
      </c>
      <c r="O687">
        <f t="shared" si="76"/>
        <v>1</v>
      </c>
    </row>
    <row r="688" spans="1:15" x14ac:dyDescent="0.2">
      <c r="A688">
        <v>42</v>
      </c>
      <c r="B688" t="str" cm="1">
        <f t="array" ref="B688">_xlfn.IFS(A688&lt;=25,"18-25", A688&lt;=35,"26-35", A688&lt;=45,"36-45", A688&lt;=55,"46-55", A688&lt;=64,"56-64")</f>
        <v>36-45</v>
      </c>
      <c r="C688" t="s">
        <v>10</v>
      </c>
      <c r="D688">
        <v>26.125</v>
      </c>
      <c r="E688">
        <v>2</v>
      </c>
      <c r="F688" t="s">
        <v>11</v>
      </c>
      <c r="G688" t="s">
        <v>53</v>
      </c>
      <c r="H688" s="2">
        <v>7729.6457499999997</v>
      </c>
      <c r="I688" s="2">
        <f t="shared" si="70"/>
        <v>2576.5485833333332</v>
      </c>
      <c r="J688" t="str">
        <f t="shared" si="71"/>
        <v>Low</v>
      </c>
      <c r="K688" s="1">
        <f t="shared" si="72"/>
        <v>0.41699999999999998</v>
      </c>
      <c r="L688" t="str">
        <f t="shared" si="73"/>
        <v>Overweight</v>
      </c>
      <c r="M688" t="str">
        <f t="shared" si="74"/>
        <v>Standard</v>
      </c>
      <c r="N688" t="str">
        <f t="shared" si="75"/>
        <v>Tier 2</v>
      </c>
      <c r="O688">
        <f t="shared" si="76"/>
        <v>1</v>
      </c>
    </row>
    <row r="689" spans="1:15" x14ac:dyDescent="0.2">
      <c r="A689">
        <v>40</v>
      </c>
      <c r="B689" t="str" cm="1">
        <f t="array" ref="B689">_xlfn.IFS(A689&lt;=25,"18-25", A689&lt;=35,"26-35", A689&lt;=45,"36-45", A689&lt;=55,"46-55", A689&lt;=64,"56-64")</f>
        <v>36-45</v>
      </c>
      <c r="C689" t="s">
        <v>10</v>
      </c>
      <c r="D689">
        <v>41.69</v>
      </c>
      <c r="E689">
        <v>0</v>
      </c>
      <c r="F689" t="s">
        <v>11</v>
      </c>
      <c r="G689" t="s">
        <v>51</v>
      </c>
      <c r="H689" s="2">
        <v>5438.7491</v>
      </c>
      <c r="I689" s="2">
        <f t="shared" si="70"/>
        <v>5438.7491</v>
      </c>
      <c r="J689" t="str">
        <f t="shared" si="71"/>
        <v>Low</v>
      </c>
      <c r="K689" s="1">
        <f t="shared" si="72"/>
        <v>0.29599999999999999</v>
      </c>
      <c r="L689" t="str">
        <f t="shared" si="73"/>
        <v>Obese</v>
      </c>
      <c r="M689" t="str">
        <f t="shared" si="74"/>
        <v>Standard</v>
      </c>
      <c r="N689" t="str">
        <f t="shared" si="75"/>
        <v>Tier 1</v>
      </c>
      <c r="O689">
        <f t="shared" si="76"/>
        <v>3</v>
      </c>
    </row>
    <row r="690" spans="1:15" x14ac:dyDescent="0.2">
      <c r="A690">
        <v>47</v>
      </c>
      <c r="B690" t="str" cm="1">
        <f t="array" ref="B690">_xlfn.IFS(A690&lt;=25,"18-25", A690&lt;=35,"26-35", A690&lt;=45,"36-45", A690&lt;=55,"46-55", A690&lt;=64,"56-64")</f>
        <v>46-55</v>
      </c>
      <c r="C690" t="s">
        <v>7</v>
      </c>
      <c r="D690">
        <v>24.1</v>
      </c>
      <c r="E690">
        <v>1</v>
      </c>
      <c r="F690" t="s">
        <v>11</v>
      </c>
      <c r="G690" t="s">
        <v>52</v>
      </c>
      <c r="H690" s="2">
        <v>26236.579969999999</v>
      </c>
      <c r="I690" s="2">
        <f t="shared" si="70"/>
        <v>13118.289984999999</v>
      </c>
      <c r="J690" t="str">
        <f t="shared" si="71"/>
        <v>High</v>
      </c>
      <c r="K690" s="1">
        <f t="shared" si="72"/>
        <v>0.85899999999999999</v>
      </c>
      <c r="L690" t="str">
        <f t="shared" si="73"/>
        <v>Normal</v>
      </c>
      <c r="M690" t="str">
        <f t="shared" si="74"/>
        <v>Standard</v>
      </c>
      <c r="N690" t="str">
        <f t="shared" si="75"/>
        <v>Tier 3</v>
      </c>
      <c r="O690">
        <f t="shared" si="76"/>
        <v>0</v>
      </c>
    </row>
    <row r="691" spans="1:15" x14ac:dyDescent="0.2">
      <c r="A691">
        <v>27</v>
      </c>
      <c r="B691" t="str" cm="1">
        <f t="array" ref="B691">_xlfn.IFS(A691&lt;=25,"18-25", A691&lt;=35,"26-35", A691&lt;=45,"36-45", A691&lt;=55,"46-55", A691&lt;=64,"56-64")</f>
        <v>26-35</v>
      </c>
      <c r="C691" t="s">
        <v>10</v>
      </c>
      <c r="D691">
        <v>31.13</v>
      </c>
      <c r="E691">
        <v>1</v>
      </c>
      <c r="F691" t="s">
        <v>8</v>
      </c>
      <c r="G691" t="s">
        <v>51</v>
      </c>
      <c r="H691" s="2">
        <v>34806.467700000001</v>
      </c>
      <c r="I691" s="2">
        <f t="shared" si="70"/>
        <v>17403.233850000001</v>
      </c>
      <c r="J691" t="str">
        <f t="shared" si="71"/>
        <v>High</v>
      </c>
      <c r="K691" s="1">
        <f t="shared" si="72"/>
        <v>0.89900000000000002</v>
      </c>
      <c r="L691" t="str">
        <f t="shared" si="73"/>
        <v>Obese</v>
      </c>
      <c r="M691" t="str">
        <f t="shared" si="74"/>
        <v>High Risk</v>
      </c>
      <c r="N691" t="str">
        <f t="shared" si="75"/>
        <v>Tier 1</v>
      </c>
      <c r="O691">
        <f t="shared" si="76"/>
        <v>6</v>
      </c>
    </row>
    <row r="692" spans="1:15" x14ac:dyDescent="0.2">
      <c r="A692">
        <v>21</v>
      </c>
      <c r="B692" t="str" cm="1">
        <f t="array" ref="B692">_xlfn.IFS(A692&lt;=25,"18-25", A692&lt;=35,"26-35", A692&lt;=45,"36-45", A692&lt;=55,"46-55", A692&lt;=64,"56-64")</f>
        <v>18-25</v>
      </c>
      <c r="C692" t="s">
        <v>10</v>
      </c>
      <c r="D692">
        <v>27.36</v>
      </c>
      <c r="E692">
        <v>0</v>
      </c>
      <c r="F692" t="s">
        <v>11</v>
      </c>
      <c r="G692" t="s">
        <v>53</v>
      </c>
      <c r="H692" s="2">
        <v>2104.1134000000002</v>
      </c>
      <c r="I692" s="2">
        <f t="shared" si="70"/>
        <v>2104.1134000000002</v>
      </c>
      <c r="J692" t="str">
        <f t="shared" si="71"/>
        <v>Low</v>
      </c>
      <c r="K692" s="1">
        <f t="shared" si="72"/>
        <v>7.3999999999999996E-2</v>
      </c>
      <c r="L692" t="str">
        <f t="shared" si="73"/>
        <v>Overweight</v>
      </c>
      <c r="M692" t="str">
        <f t="shared" si="74"/>
        <v>Standard</v>
      </c>
      <c r="N692" t="str">
        <f t="shared" si="75"/>
        <v>Tier 2</v>
      </c>
      <c r="O692">
        <f t="shared" si="76"/>
        <v>1</v>
      </c>
    </row>
    <row r="693" spans="1:15" x14ac:dyDescent="0.2">
      <c r="A693">
        <v>47</v>
      </c>
      <c r="B693" t="str" cm="1">
        <f t="array" ref="B693">_xlfn.IFS(A693&lt;=25,"18-25", A693&lt;=35,"26-35", A693&lt;=45,"36-45", A693&lt;=55,"46-55", A693&lt;=64,"56-64")</f>
        <v>46-55</v>
      </c>
      <c r="C693" t="s">
        <v>10</v>
      </c>
      <c r="D693">
        <v>36.200000000000003</v>
      </c>
      <c r="E693">
        <v>1</v>
      </c>
      <c r="F693" t="s">
        <v>11</v>
      </c>
      <c r="G693" t="s">
        <v>52</v>
      </c>
      <c r="H693" s="2">
        <v>8068.1850000000004</v>
      </c>
      <c r="I693" s="2">
        <f t="shared" si="70"/>
        <v>4034.0925000000002</v>
      </c>
      <c r="J693" t="str">
        <f t="shared" si="71"/>
        <v>Low</v>
      </c>
      <c r="K693" s="1">
        <f t="shared" si="72"/>
        <v>0.43</v>
      </c>
      <c r="L693" t="str">
        <f t="shared" si="73"/>
        <v>Obese</v>
      </c>
      <c r="M693" t="str">
        <f t="shared" si="74"/>
        <v>Standard</v>
      </c>
      <c r="N693" t="str">
        <f t="shared" si="75"/>
        <v>Tier 3</v>
      </c>
      <c r="O693">
        <f t="shared" si="76"/>
        <v>2</v>
      </c>
    </row>
    <row r="694" spans="1:15" x14ac:dyDescent="0.2">
      <c r="A694">
        <v>20</v>
      </c>
      <c r="B694" t="str" cm="1">
        <f t="array" ref="B694">_xlfn.IFS(A694&lt;=25,"18-25", A694&lt;=35,"26-35", A694&lt;=45,"36-45", A694&lt;=55,"46-55", A694&lt;=64,"56-64")</f>
        <v>18-25</v>
      </c>
      <c r="C694" t="s">
        <v>10</v>
      </c>
      <c r="D694">
        <v>32.395000000000003</v>
      </c>
      <c r="E694">
        <v>1</v>
      </c>
      <c r="F694" t="s">
        <v>11</v>
      </c>
      <c r="G694" t="s">
        <v>54</v>
      </c>
      <c r="H694" s="2">
        <v>2362.2290499999999</v>
      </c>
      <c r="I694" s="2">
        <f t="shared" si="70"/>
        <v>1181.114525</v>
      </c>
      <c r="J694" t="str">
        <f t="shared" si="71"/>
        <v>Low</v>
      </c>
      <c r="K694" s="1">
        <f t="shared" si="72"/>
        <v>0.1</v>
      </c>
      <c r="L694" t="str">
        <f t="shared" si="73"/>
        <v>Obese</v>
      </c>
      <c r="M694" t="str">
        <f t="shared" si="74"/>
        <v>Standard</v>
      </c>
      <c r="N694" t="str">
        <f t="shared" si="75"/>
        <v>Tier 4</v>
      </c>
      <c r="O694">
        <f t="shared" si="76"/>
        <v>2</v>
      </c>
    </row>
    <row r="695" spans="1:15" x14ac:dyDescent="0.2">
      <c r="A695">
        <v>24</v>
      </c>
      <c r="B695" t="str" cm="1">
        <f t="array" ref="B695">_xlfn.IFS(A695&lt;=25,"18-25", A695&lt;=35,"26-35", A695&lt;=45,"36-45", A695&lt;=55,"46-55", A695&lt;=64,"56-64")</f>
        <v>18-25</v>
      </c>
      <c r="C695" t="s">
        <v>10</v>
      </c>
      <c r="D695">
        <v>23.655000000000001</v>
      </c>
      <c r="E695">
        <v>0</v>
      </c>
      <c r="F695" t="s">
        <v>11</v>
      </c>
      <c r="G695" t="s">
        <v>54</v>
      </c>
      <c r="H695" s="2">
        <v>2352.9684499999998</v>
      </c>
      <c r="I695" s="2">
        <f t="shared" si="70"/>
        <v>2352.9684499999998</v>
      </c>
      <c r="J695" t="str">
        <f t="shared" si="71"/>
        <v>Low</v>
      </c>
      <c r="K695" s="1">
        <f t="shared" si="72"/>
        <v>0.1</v>
      </c>
      <c r="L695" t="str">
        <f t="shared" si="73"/>
        <v>Normal</v>
      </c>
      <c r="M695" t="str">
        <f t="shared" si="74"/>
        <v>Standard</v>
      </c>
      <c r="N695" t="str">
        <f t="shared" si="75"/>
        <v>Tier 4</v>
      </c>
      <c r="O695">
        <f t="shared" si="76"/>
        <v>0</v>
      </c>
    </row>
    <row r="696" spans="1:15" x14ac:dyDescent="0.2">
      <c r="A696">
        <v>27</v>
      </c>
      <c r="B696" t="str" cm="1">
        <f t="array" ref="B696">_xlfn.IFS(A696&lt;=25,"18-25", A696&lt;=35,"26-35", A696&lt;=45,"36-45", A696&lt;=55,"46-55", A696&lt;=64,"56-64")</f>
        <v>26-35</v>
      </c>
      <c r="C696" t="s">
        <v>7</v>
      </c>
      <c r="D696">
        <v>34.799999999999997</v>
      </c>
      <c r="E696">
        <v>1</v>
      </c>
      <c r="F696" t="s">
        <v>11</v>
      </c>
      <c r="G696" t="s">
        <v>52</v>
      </c>
      <c r="H696" s="2">
        <v>3577.9989999999998</v>
      </c>
      <c r="I696" s="2">
        <f t="shared" si="70"/>
        <v>1788.9994999999999</v>
      </c>
      <c r="J696" t="str">
        <f t="shared" si="71"/>
        <v>Low</v>
      </c>
      <c r="K696" s="1">
        <f t="shared" si="72"/>
        <v>0.17699999999999999</v>
      </c>
      <c r="L696" t="str">
        <f t="shared" si="73"/>
        <v>Obese</v>
      </c>
      <c r="M696" t="str">
        <f t="shared" si="74"/>
        <v>Standard</v>
      </c>
      <c r="N696" t="str">
        <f t="shared" si="75"/>
        <v>Tier 3</v>
      </c>
      <c r="O696">
        <f t="shared" si="76"/>
        <v>2</v>
      </c>
    </row>
    <row r="697" spans="1:15" x14ac:dyDescent="0.2">
      <c r="A697">
        <v>26</v>
      </c>
      <c r="B697" t="str" cm="1">
        <f t="array" ref="B697">_xlfn.IFS(A697&lt;=25,"18-25", A697&lt;=35,"26-35", A697&lt;=45,"36-45", A697&lt;=55,"46-55", A697&lt;=64,"56-64")</f>
        <v>26-35</v>
      </c>
      <c r="C697" t="s">
        <v>7</v>
      </c>
      <c r="D697">
        <v>40.185000000000002</v>
      </c>
      <c r="E697">
        <v>0</v>
      </c>
      <c r="F697" t="s">
        <v>11</v>
      </c>
      <c r="G697" t="s">
        <v>54</v>
      </c>
      <c r="H697" s="2">
        <v>3201.2451500000002</v>
      </c>
      <c r="I697" s="2">
        <f t="shared" si="70"/>
        <v>3201.2451500000002</v>
      </c>
      <c r="J697" t="str">
        <f t="shared" si="71"/>
        <v>Low</v>
      </c>
      <c r="K697" s="1">
        <f t="shared" si="72"/>
        <v>0.153</v>
      </c>
      <c r="L697" t="str">
        <f t="shared" si="73"/>
        <v>Obese</v>
      </c>
      <c r="M697" t="str">
        <f t="shared" si="74"/>
        <v>Standard</v>
      </c>
      <c r="N697" t="str">
        <f t="shared" si="75"/>
        <v>Tier 4</v>
      </c>
      <c r="O697">
        <f t="shared" si="76"/>
        <v>2</v>
      </c>
    </row>
    <row r="698" spans="1:15" x14ac:dyDescent="0.2">
      <c r="A698">
        <v>53</v>
      </c>
      <c r="B698" t="str" cm="1">
        <f t="array" ref="B698">_xlfn.IFS(A698&lt;=25,"18-25", A698&lt;=35,"26-35", A698&lt;=45,"36-45", A698&lt;=55,"46-55", A698&lt;=64,"56-64")</f>
        <v>46-55</v>
      </c>
      <c r="C698" t="s">
        <v>7</v>
      </c>
      <c r="D698">
        <v>32.299999999999997</v>
      </c>
      <c r="E698">
        <v>2</v>
      </c>
      <c r="F698" t="s">
        <v>11</v>
      </c>
      <c r="G698" t="s">
        <v>53</v>
      </c>
      <c r="H698" s="2">
        <v>29186.482360000002</v>
      </c>
      <c r="I698" s="2">
        <f t="shared" si="70"/>
        <v>9728.8274533333333</v>
      </c>
      <c r="J698" t="str">
        <f t="shared" si="71"/>
        <v>High</v>
      </c>
      <c r="K698" s="1">
        <f t="shared" si="72"/>
        <v>0.877</v>
      </c>
      <c r="L698" t="str">
        <f t="shared" si="73"/>
        <v>Obese</v>
      </c>
      <c r="M698" t="str">
        <f t="shared" si="74"/>
        <v>Standard</v>
      </c>
      <c r="N698" t="str">
        <f t="shared" si="75"/>
        <v>Tier 2</v>
      </c>
      <c r="O698">
        <f t="shared" si="76"/>
        <v>2</v>
      </c>
    </row>
    <row r="699" spans="1:15" x14ac:dyDescent="0.2">
      <c r="A699">
        <v>41</v>
      </c>
      <c r="B699" t="str" cm="1">
        <f t="array" ref="B699">_xlfn.IFS(A699&lt;=25,"18-25", A699&lt;=35,"26-35", A699&lt;=45,"36-45", A699&lt;=55,"46-55", A699&lt;=64,"56-64")</f>
        <v>36-45</v>
      </c>
      <c r="C699" t="s">
        <v>10</v>
      </c>
      <c r="D699">
        <v>35.75</v>
      </c>
      <c r="E699">
        <v>1</v>
      </c>
      <c r="F699" t="s">
        <v>8</v>
      </c>
      <c r="G699" t="s">
        <v>51</v>
      </c>
      <c r="H699" s="2">
        <v>40273.645499999999</v>
      </c>
      <c r="I699" s="2">
        <f t="shared" si="70"/>
        <v>20136.822749999999</v>
      </c>
      <c r="J699" t="str">
        <f t="shared" si="71"/>
        <v>High</v>
      </c>
      <c r="K699" s="1">
        <f t="shared" si="72"/>
        <v>0.94299999999999995</v>
      </c>
      <c r="L699" t="str">
        <f t="shared" si="73"/>
        <v>Obese</v>
      </c>
      <c r="M699" t="str">
        <f t="shared" si="74"/>
        <v>High Risk</v>
      </c>
      <c r="N699" t="str">
        <f t="shared" si="75"/>
        <v>Tier 1</v>
      </c>
      <c r="O699">
        <f t="shared" si="76"/>
        <v>6</v>
      </c>
    </row>
    <row r="700" spans="1:15" x14ac:dyDescent="0.2">
      <c r="A700">
        <v>56</v>
      </c>
      <c r="B700" t="str" cm="1">
        <f t="array" ref="B700">_xlfn.IFS(A700&lt;=25,"18-25", A700&lt;=35,"26-35", A700&lt;=45,"36-45", A700&lt;=55,"46-55", A700&lt;=64,"56-64")</f>
        <v>56-64</v>
      </c>
      <c r="C700" t="s">
        <v>10</v>
      </c>
      <c r="D700">
        <v>33.725000000000001</v>
      </c>
      <c r="E700">
        <v>0</v>
      </c>
      <c r="F700" t="s">
        <v>11</v>
      </c>
      <c r="G700" t="s">
        <v>54</v>
      </c>
      <c r="H700" s="2">
        <v>10976.24575</v>
      </c>
      <c r="I700" s="2">
        <f t="shared" si="70"/>
        <v>10976.24575</v>
      </c>
      <c r="J700" t="str">
        <f t="shared" si="71"/>
        <v>Low</v>
      </c>
      <c r="K700" s="1">
        <f t="shared" si="72"/>
        <v>0.57499999999999996</v>
      </c>
      <c r="L700" t="str">
        <f t="shared" si="73"/>
        <v>Obese</v>
      </c>
      <c r="M700" t="str">
        <f t="shared" si="74"/>
        <v>Standard</v>
      </c>
      <c r="N700" t="str">
        <f t="shared" si="75"/>
        <v>Tier 4</v>
      </c>
      <c r="O700">
        <f t="shared" si="76"/>
        <v>2</v>
      </c>
    </row>
    <row r="701" spans="1:15" x14ac:dyDescent="0.2">
      <c r="A701">
        <v>23</v>
      </c>
      <c r="B701" t="str" cm="1">
        <f t="array" ref="B701">_xlfn.IFS(A701&lt;=25,"18-25", A701&lt;=35,"26-35", A701&lt;=45,"36-45", A701&lt;=55,"46-55", A701&lt;=64,"56-64")</f>
        <v>18-25</v>
      </c>
      <c r="C701" t="s">
        <v>7</v>
      </c>
      <c r="D701">
        <v>39.270000000000003</v>
      </c>
      <c r="E701">
        <v>2</v>
      </c>
      <c r="F701" t="s">
        <v>11</v>
      </c>
      <c r="G701" t="s">
        <v>51</v>
      </c>
      <c r="H701" s="2">
        <v>3500.6122999999998</v>
      </c>
      <c r="I701" s="2">
        <f t="shared" si="70"/>
        <v>1166.8707666666667</v>
      </c>
      <c r="J701" t="str">
        <f t="shared" si="71"/>
        <v>Low</v>
      </c>
      <c r="K701" s="1">
        <f t="shared" si="72"/>
        <v>0.17199999999999999</v>
      </c>
      <c r="L701" t="str">
        <f t="shared" si="73"/>
        <v>Obese</v>
      </c>
      <c r="M701" t="str">
        <f t="shared" si="74"/>
        <v>Standard</v>
      </c>
      <c r="N701" t="str">
        <f t="shared" si="75"/>
        <v>Tier 1</v>
      </c>
      <c r="O701">
        <f t="shared" si="76"/>
        <v>3</v>
      </c>
    </row>
    <row r="702" spans="1:15" x14ac:dyDescent="0.2">
      <c r="A702">
        <v>21</v>
      </c>
      <c r="B702" t="str" cm="1">
        <f t="array" ref="B702">_xlfn.IFS(A702&lt;=25,"18-25", A702&lt;=35,"26-35", A702&lt;=45,"36-45", A702&lt;=55,"46-55", A702&lt;=64,"56-64")</f>
        <v>18-25</v>
      </c>
      <c r="C702" t="s">
        <v>7</v>
      </c>
      <c r="D702">
        <v>34.869999999999997</v>
      </c>
      <c r="E702">
        <v>0</v>
      </c>
      <c r="F702" t="s">
        <v>11</v>
      </c>
      <c r="G702" t="s">
        <v>51</v>
      </c>
      <c r="H702" s="2">
        <v>2020.5523000000001</v>
      </c>
      <c r="I702" s="2">
        <f t="shared" si="70"/>
        <v>2020.5523000000001</v>
      </c>
      <c r="J702" t="str">
        <f t="shared" si="71"/>
        <v>Low</v>
      </c>
      <c r="K702" s="1">
        <f t="shared" si="72"/>
        <v>7.0000000000000007E-2</v>
      </c>
      <c r="L702" t="str">
        <f t="shared" si="73"/>
        <v>Obese</v>
      </c>
      <c r="M702" t="str">
        <f t="shared" si="74"/>
        <v>Standard</v>
      </c>
      <c r="N702" t="str">
        <f t="shared" si="75"/>
        <v>Tier 1</v>
      </c>
      <c r="O702">
        <f t="shared" si="76"/>
        <v>3</v>
      </c>
    </row>
    <row r="703" spans="1:15" x14ac:dyDescent="0.2">
      <c r="A703">
        <v>50</v>
      </c>
      <c r="B703" t="str" cm="1">
        <f t="array" ref="B703">_xlfn.IFS(A703&lt;=25,"18-25", A703&lt;=35,"26-35", A703&lt;=45,"36-45", A703&lt;=55,"46-55", A703&lt;=64,"56-64")</f>
        <v>46-55</v>
      </c>
      <c r="C703" t="s">
        <v>7</v>
      </c>
      <c r="D703">
        <v>44.744999999999997</v>
      </c>
      <c r="E703">
        <v>0</v>
      </c>
      <c r="F703" t="s">
        <v>11</v>
      </c>
      <c r="G703" t="s">
        <v>53</v>
      </c>
      <c r="H703" s="2">
        <v>9541.6955500000004</v>
      </c>
      <c r="I703" s="2">
        <f t="shared" si="70"/>
        <v>9541.6955500000004</v>
      </c>
      <c r="J703" t="str">
        <f t="shared" si="71"/>
        <v>Low</v>
      </c>
      <c r="K703" s="1">
        <f t="shared" si="72"/>
        <v>0.50700000000000001</v>
      </c>
      <c r="L703" t="str">
        <f t="shared" si="73"/>
        <v>Obese</v>
      </c>
      <c r="M703" t="str">
        <f t="shared" si="74"/>
        <v>Standard</v>
      </c>
      <c r="N703" t="str">
        <f t="shared" si="75"/>
        <v>Tier 2</v>
      </c>
      <c r="O703">
        <f t="shared" si="76"/>
        <v>2</v>
      </c>
    </row>
    <row r="704" spans="1:15" x14ac:dyDescent="0.2">
      <c r="A704">
        <v>53</v>
      </c>
      <c r="B704" t="str" cm="1">
        <f t="array" ref="B704">_xlfn.IFS(A704&lt;=25,"18-25", A704&lt;=35,"26-35", A704&lt;=45,"36-45", A704&lt;=55,"46-55", A704&lt;=64,"56-64")</f>
        <v>46-55</v>
      </c>
      <c r="C704" t="s">
        <v>10</v>
      </c>
      <c r="D704">
        <v>41.47</v>
      </c>
      <c r="E704">
        <v>0</v>
      </c>
      <c r="F704" t="s">
        <v>11</v>
      </c>
      <c r="G704" t="s">
        <v>51</v>
      </c>
      <c r="H704" s="2">
        <v>9504.3102999999992</v>
      </c>
      <c r="I704" s="2">
        <f t="shared" si="70"/>
        <v>9504.3102999999992</v>
      </c>
      <c r="J704" t="str">
        <f t="shared" si="71"/>
        <v>Low</v>
      </c>
      <c r="K704" s="1">
        <f t="shared" si="72"/>
        <v>0.50700000000000001</v>
      </c>
      <c r="L704" t="str">
        <f t="shared" si="73"/>
        <v>Obese</v>
      </c>
      <c r="M704" t="str">
        <f t="shared" si="74"/>
        <v>Standard</v>
      </c>
      <c r="N704" t="str">
        <f t="shared" si="75"/>
        <v>Tier 1</v>
      </c>
      <c r="O704">
        <f t="shared" si="76"/>
        <v>3</v>
      </c>
    </row>
    <row r="705" spans="1:15" x14ac:dyDescent="0.2">
      <c r="A705">
        <v>34</v>
      </c>
      <c r="B705" t="str" cm="1">
        <f t="array" ref="B705">_xlfn.IFS(A705&lt;=25,"18-25", A705&lt;=35,"26-35", A705&lt;=45,"36-45", A705&lt;=55,"46-55", A705&lt;=64,"56-64")</f>
        <v>26-35</v>
      </c>
      <c r="C705" t="s">
        <v>7</v>
      </c>
      <c r="D705">
        <v>26.41</v>
      </c>
      <c r="E705">
        <v>1</v>
      </c>
      <c r="F705" t="s">
        <v>11</v>
      </c>
      <c r="G705" t="s">
        <v>54</v>
      </c>
      <c r="H705" s="2">
        <v>5385.3379000000004</v>
      </c>
      <c r="I705" s="2">
        <f t="shared" si="70"/>
        <v>2692.6689500000002</v>
      </c>
      <c r="J705" t="str">
        <f t="shared" si="71"/>
        <v>Low</v>
      </c>
      <c r="K705" s="1">
        <f t="shared" si="72"/>
        <v>0.29099999999999998</v>
      </c>
      <c r="L705" t="str">
        <f t="shared" si="73"/>
        <v>Overweight</v>
      </c>
      <c r="M705" t="str">
        <f t="shared" si="74"/>
        <v>Standard</v>
      </c>
      <c r="N705" t="str">
        <f t="shared" si="75"/>
        <v>Tier 4</v>
      </c>
      <c r="O705">
        <f t="shared" si="76"/>
        <v>1</v>
      </c>
    </row>
    <row r="706" spans="1:15" x14ac:dyDescent="0.2">
      <c r="A706">
        <v>47</v>
      </c>
      <c r="B706" t="str" cm="1">
        <f t="array" ref="B706">_xlfn.IFS(A706&lt;=25,"18-25", A706&lt;=35,"26-35", A706&lt;=45,"36-45", A706&lt;=55,"46-55", A706&lt;=64,"56-64")</f>
        <v>46-55</v>
      </c>
      <c r="C706" t="s">
        <v>7</v>
      </c>
      <c r="D706">
        <v>29.545000000000002</v>
      </c>
      <c r="E706">
        <v>1</v>
      </c>
      <c r="F706" t="s">
        <v>11</v>
      </c>
      <c r="G706" t="s">
        <v>54</v>
      </c>
      <c r="H706" s="2">
        <v>8930.9345499999999</v>
      </c>
      <c r="I706" s="2">
        <f t="shared" ref="I706:I769" si="77">H706/(E706+1)</f>
        <v>4465.467275</v>
      </c>
      <c r="J706" t="str">
        <f t="shared" ref="J706:J769" si="78">IF(H706&gt;AVERAGE($H$2:$H$1339),"High","Low")</f>
        <v>Low</v>
      </c>
      <c r="K706" s="1">
        <f t="shared" ref="K706:K769" si="79">PERCENTRANK($H$2:$H$1339,H706)</f>
        <v>0.47799999999999998</v>
      </c>
      <c r="L706" t="str">
        <f t="shared" ref="L706:L769" si="80">IF(D706&lt;18.5,"Underweight",IF(D706&lt;25,"Normal",IF(D706&lt;30,"Overweight","Obese")))</f>
        <v>Overweight</v>
      </c>
      <c r="M706" t="str">
        <f t="shared" ref="M706:M769" si="81">IF(F706="yes","High Risk","Standard")</f>
        <v>Standard</v>
      </c>
      <c r="N706" t="str">
        <f t="shared" ref="N706:N769" si="82">IF(G706="southeast","Tier 1",IF(G706="northeast","Tier 2",IF(G706="southwest","Tier 3","Tier 4")))</f>
        <v>Tier 4</v>
      </c>
      <c r="O706">
        <f t="shared" ref="O706:O769" si="83">IF(F706="yes",3,0)+IF(D706&gt;=30,2,IF(D706&gt;=25,1,0))+IF(G706="southeast",1,0)</f>
        <v>1</v>
      </c>
    </row>
    <row r="707" spans="1:15" x14ac:dyDescent="0.2">
      <c r="A707">
        <v>33</v>
      </c>
      <c r="B707" t="str" cm="1">
        <f t="array" ref="B707">_xlfn.IFS(A707&lt;=25,"18-25", A707&lt;=35,"26-35", A707&lt;=45,"36-45", A707&lt;=55,"46-55", A707&lt;=64,"56-64")</f>
        <v>26-35</v>
      </c>
      <c r="C707" t="s">
        <v>7</v>
      </c>
      <c r="D707">
        <v>32.9</v>
      </c>
      <c r="E707">
        <v>2</v>
      </c>
      <c r="F707" t="s">
        <v>11</v>
      </c>
      <c r="G707" t="s">
        <v>52</v>
      </c>
      <c r="H707" s="2">
        <v>5375.0379999999996</v>
      </c>
      <c r="I707" s="2">
        <f t="shared" si="77"/>
        <v>1791.6793333333333</v>
      </c>
      <c r="J707" t="str">
        <f t="shared" si="78"/>
        <v>Low</v>
      </c>
      <c r="K707" s="1">
        <f t="shared" si="79"/>
        <v>0.28899999999999998</v>
      </c>
      <c r="L707" t="str">
        <f t="shared" si="80"/>
        <v>Obese</v>
      </c>
      <c r="M707" t="str">
        <f t="shared" si="81"/>
        <v>Standard</v>
      </c>
      <c r="N707" t="str">
        <f t="shared" si="82"/>
        <v>Tier 3</v>
      </c>
      <c r="O707">
        <f t="shared" si="83"/>
        <v>2</v>
      </c>
    </row>
    <row r="708" spans="1:15" x14ac:dyDescent="0.2">
      <c r="A708">
        <v>51</v>
      </c>
      <c r="B708" t="str" cm="1">
        <f t="array" ref="B708">_xlfn.IFS(A708&lt;=25,"18-25", A708&lt;=35,"26-35", A708&lt;=45,"36-45", A708&lt;=55,"46-55", A708&lt;=64,"56-64")</f>
        <v>46-55</v>
      </c>
      <c r="C708" t="s">
        <v>7</v>
      </c>
      <c r="D708">
        <v>38.06</v>
      </c>
      <c r="E708">
        <v>0</v>
      </c>
      <c r="F708" t="s">
        <v>8</v>
      </c>
      <c r="G708" t="s">
        <v>51</v>
      </c>
      <c r="H708" s="2">
        <v>44400.4064</v>
      </c>
      <c r="I708" s="2">
        <f t="shared" si="77"/>
        <v>44400.4064</v>
      </c>
      <c r="J708" t="str">
        <f t="shared" si="78"/>
        <v>High</v>
      </c>
      <c r="K708" s="1">
        <f t="shared" si="79"/>
        <v>0.96799999999999997</v>
      </c>
      <c r="L708" t="str">
        <f t="shared" si="80"/>
        <v>Obese</v>
      </c>
      <c r="M708" t="str">
        <f t="shared" si="81"/>
        <v>High Risk</v>
      </c>
      <c r="N708" t="str">
        <f t="shared" si="82"/>
        <v>Tier 1</v>
      </c>
      <c r="O708">
        <f t="shared" si="83"/>
        <v>6</v>
      </c>
    </row>
    <row r="709" spans="1:15" x14ac:dyDescent="0.2">
      <c r="A709">
        <v>49</v>
      </c>
      <c r="B709" t="str" cm="1">
        <f t="array" ref="B709">_xlfn.IFS(A709&lt;=25,"18-25", A709&lt;=35,"26-35", A709&lt;=45,"36-45", A709&lt;=55,"46-55", A709&lt;=64,"56-64")</f>
        <v>46-55</v>
      </c>
      <c r="C709" t="s">
        <v>10</v>
      </c>
      <c r="D709">
        <v>28.69</v>
      </c>
      <c r="E709">
        <v>3</v>
      </c>
      <c r="F709" t="s">
        <v>11</v>
      </c>
      <c r="G709" t="s">
        <v>54</v>
      </c>
      <c r="H709" s="2">
        <v>10264.4421</v>
      </c>
      <c r="I709" s="2">
        <f t="shared" si="77"/>
        <v>2566.1105250000001</v>
      </c>
      <c r="J709" t="str">
        <f t="shared" si="78"/>
        <v>Low</v>
      </c>
      <c r="K709" s="1">
        <f t="shared" si="79"/>
        <v>0.54300000000000004</v>
      </c>
      <c r="L709" t="str">
        <f t="shared" si="80"/>
        <v>Overweight</v>
      </c>
      <c r="M709" t="str">
        <f t="shared" si="81"/>
        <v>Standard</v>
      </c>
      <c r="N709" t="str">
        <f t="shared" si="82"/>
        <v>Tier 4</v>
      </c>
      <c r="O709">
        <f t="shared" si="83"/>
        <v>1</v>
      </c>
    </row>
    <row r="710" spans="1:15" x14ac:dyDescent="0.2">
      <c r="A710">
        <v>31</v>
      </c>
      <c r="B710" t="str" cm="1">
        <f t="array" ref="B710">_xlfn.IFS(A710&lt;=25,"18-25", A710&lt;=35,"26-35", A710&lt;=45,"36-45", A710&lt;=55,"46-55", A710&lt;=64,"56-64")</f>
        <v>26-35</v>
      </c>
      <c r="C710" t="s">
        <v>7</v>
      </c>
      <c r="D710">
        <v>30.495000000000001</v>
      </c>
      <c r="E710">
        <v>3</v>
      </c>
      <c r="F710" t="s">
        <v>11</v>
      </c>
      <c r="G710" t="s">
        <v>53</v>
      </c>
      <c r="H710" s="2">
        <v>6113.2310500000003</v>
      </c>
      <c r="I710" s="2">
        <f t="shared" si="77"/>
        <v>1528.3077625000001</v>
      </c>
      <c r="J710" t="str">
        <f t="shared" si="78"/>
        <v>Low</v>
      </c>
      <c r="K710" s="1">
        <f t="shared" si="79"/>
        <v>0.32400000000000001</v>
      </c>
      <c r="L710" t="str">
        <f t="shared" si="80"/>
        <v>Obese</v>
      </c>
      <c r="M710" t="str">
        <f t="shared" si="81"/>
        <v>Standard</v>
      </c>
      <c r="N710" t="str">
        <f t="shared" si="82"/>
        <v>Tier 2</v>
      </c>
      <c r="O710">
        <f t="shared" si="83"/>
        <v>2</v>
      </c>
    </row>
    <row r="711" spans="1:15" x14ac:dyDescent="0.2">
      <c r="A711">
        <v>36</v>
      </c>
      <c r="B711" t="str" cm="1">
        <f t="array" ref="B711">_xlfn.IFS(A711&lt;=25,"18-25", A711&lt;=35,"26-35", A711&lt;=45,"36-45", A711&lt;=55,"46-55", A711&lt;=64,"56-64")</f>
        <v>36-45</v>
      </c>
      <c r="C711" t="s">
        <v>7</v>
      </c>
      <c r="D711">
        <v>27.74</v>
      </c>
      <c r="E711">
        <v>0</v>
      </c>
      <c r="F711" t="s">
        <v>11</v>
      </c>
      <c r="G711" t="s">
        <v>53</v>
      </c>
      <c r="H711" s="2">
        <v>5469.0065999999997</v>
      </c>
      <c r="I711" s="2">
        <f t="shared" si="77"/>
        <v>5469.0065999999997</v>
      </c>
      <c r="J711" t="str">
        <f t="shared" si="78"/>
        <v>Low</v>
      </c>
      <c r="K711" s="1">
        <f t="shared" si="79"/>
        <v>0.29699999999999999</v>
      </c>
      <c r="L711" t="str">
        <f t="shared" si="80"/>
        <v>Overweight</v>
      </c>
      <c r="M711" t="str">
        <f t="shared" si="81"/>
        <v>Standard</v>
      </c>
      <c r="N711" t="str">
        <f t="shared" si="82"/>
        <v>Tier 2</v>
      </c>
      <c r="O711">
        <f t="shared" si="83"/>
        <v>1</v>
      </c>
    </row>
    <row r="712" spans="1:15" x14ac:dyDescent="0.2">
      <c r="A712">
        <v>18</v>
      </c>
      <c r="B712" t="str" cm="1">
        <f t="array" ref="B712">_xlfn.IFS(A712&lt;=25,"18-25", A712&lt;=35,"26-35", A712&lt;=45,"36-45", A712&lt;=55,"46-55", A712&lt;=64,"56-64")</f>
        <v>18-25</v>
      </c>
      <c r="C712" t="s">
        <v>10</v>
      </c>
      <c r="D712">
        <v>35.200000000000003</v>
      </c>
      <c r="E712">
        <v>1</v>
      </c>
      <c r="F712" t="s">
        <v>11</v>
      </c>
      <c r="G712" t="s">
        <v>51</v>
      </c>
      <c r="H712" s="2">
        <v>1727.54</v>
      </c>
      <c r="I712" s="2">
        <f t="shared" si="77"/>
        <v>863.77</v>
      </c>
      <c r="J712" t="str">
        <f t="shared" si="78"/>
        <v>Low</v>
      </c>
      <c r="K712" s="1">
        <f t="shared" si="79"/>
        <v>4.3999999999999997E-2</v>
      </c>
      <c r="L712" t="str">
        <f t="shared" si="80"/>
        <v>Obese</v>
      </c>
      <c r="M712" t="str">
        <f t="shared" si="81"/>
        <v>Standard</v>
      </c>
      <c r="N712" t="str">
        <f t="shared" si="82"/>
        <v>Tier 1</v>
      </c>
      <c r="O712">
        <f t="shared" si="83"/>
        <v>3</v>
      </c>
    </row>
    <row r="713" spans="1:15" x14ac:dyDescent="0.2">
      <c r="A713">
        <v>50</v>
      </c>
      <c r="B713" t="str" cm="1">
        <f t="array" ref="B713">_xlfn.IFS(A713&lt;=25,"18-25", A713&lt;=35,"26-35", A713&lt;=45,"36-45", A713&lt;=55,"46-55", A713&lt;=64,"56-64")</f>
        <v>46-55</v>
      </c>
      <c r="C713" t="s">
        <v>7</v>
      </c>
      <c r="D713">
        <v>23.54</v>
      </c>
      <c r="E713">
        <v>2</v>
      </c>
      <c r="F713" t="s">
        <v>11</v>
      </c>
      <c r="G713" t="s">
        <v>51</v>
      </c>
      <c r="H713" s="2">
        <v>10107.220600000001</v>
      </c>
      <c r="I713" s="2">
        <f t="shared" si="77"/>
        <v>3369.0735333333337</v>
      </c>
      <c r="J713" t="str">
        <f t="shared" si="78"/>
        <v>Low</v>
      </c>
      <c r="K713" s="1">
        <f t="shared" si="79"/>
        <v>0.53700000000000003</v>
      </c>
      <c r="L713" t="str">
        <f t="shared" si="80"/>
        <v>Normal</v>
      </c>
      <c r="M713" t="str">
        <f t="shared" si="81"/>
        <v>Standard</v>
      </c>
      <c r="N713" t="str">
        <f t="shared" si="82"/>
        <v>Tier 1</v>
      </c>
      <c r="O713">
        <f t="shared" si="83"/>
        <v>1</v>
      </c>
    </row>
    <row r="714" spans="1:15" x14ac:dyDescent="0.2">
      <c r="A714">
        <v>43</v>
      </c>
      <c r="B714" t="str" cm="1">
        <f t="array" ref="B714">_xlfn.IFS(A714&lt;=25,"18-25", A714&lt;=35,"26-35", A714&lt;=45,"36-45", A714&lt;=55,"46-55", A714&lt;=64,"56-64")</f>
        <v>36-45</v>
      </c>
      <c r="C714" t="s">
        <v>7</v>
      </c>
      <c r="D714">
        <v>30.684999999999999</v>
      </c>
      <c r="E714">
        <v>2</v>
      </c>
      <c r="F714" t="s">
        <v>11</v>
      </c>
      <c r="G714" t="s">
        <v>54</v>
      </c>
      <c r="H714" s="2">
        <v>8310.8391499999998</v>
      </c>
      <c r="I714" s="2">
        <f t="shared" si="77"/>
        <v>2770.2797166666664</v>
      </c>
      <c r="J714" t="str">
        <f t="shared" si="78"/>
        <v>Low</v>
      </c>
      <c r="K714" s="1">
        <f t="shared" si="79"/>
        <v>0.44400000000000001</v>
      </c>
      <c r="L714" t="str">
        <f t="shared" si="80"/>
        <v>Obese</v>
      </c>
      <c r="M714" t="str">
        <f t="shared" si="81"/>
        <v>Standard</v>
      </c>
      <c r="N714" t="str">
        <f t="shared" si="82"/>
        <v>Tier 4</v>
      </c>
      <c r="O714">
        <f t="shared" si="83"/>
        <v>2</v>
      </c>
    </row>
    <row r="715" spans="1:15" x14ac:dyDescent="0.2">
      <c r="A715">
        <v>20</v>
      </c>
      <c r="B715" t="str" cm="1">
        <f t="array" ref="B715">_xlfn.IFS(A715&lt;=25,"18-25", A715&lt;=35,"26-35", A715&lt;=45,"36-45", A715&lt;=55,"46-55", A715&lt;=64,"56-64")</f>
        <v>18-25</v>
      </c>
      <c r="C715" t="s">
        <v>10</v>
      </c>
      <c r="D715">
        <v>40.47</v>
      </c>
      <c r="E715">
        <v>0</v>
      </c>
      <c r="F715" t="s">
        <v>11</v>
      </c>
      <c r="G715" t="s">
        <v>53</v>
      </c>
      <c r="H715" s="2">
        <v>1984.4532999999999</v>
      </c>
      <c r="I715" s="2">
        <f t="shared" si="77"/>
        <v>1984.4532999999999</v>
      </c>
      <c r="J715" t="str">
        <f t="shared" si="78"/>
        <v>Low</v>
      </c>
      <c r="K715" s="1">
        <f t="shared" si="79"/>
        <v>6.7000000000000004E-2</v>
      </c>
      <c r="L715" t="str">
        <f t="shared" si="80"/>
        <v>Obese</v>
      </c>
      <c r="M715" t="str">
        <f t="shared" si="81"/>
        <v>Standard</v>
      </c>
      <c r="N715" t="str">
        <f t="shared" si="82"/>
        <v>Tier 2</v>
      </c>
      <c r="O715">
        <f t="shared" si="83"/>
        <v>2</v>
      </c>
    </row>
    <row r="716" spans="1:15" x14ac:dyDescent="0.2">
      <c r="A716">
        <v>24</v>
      </c>
      <c r="B716" t="str" cm="1">
        <f t="array" ref="B716">_xlfn.IFS(A716&lt;=25,"18-25", A716&lt;=35,"26-35", A716&lt;=45,"36-45", A716&lt;=55,"46-55", A716&lt;=64,"56-64")</f>
        <v>18-25</v>
      </c>
      <c r="C716" t="s">
        <v>7</v>
      </c>
      <c r="D716">
        <v>22.6</v>
      </c>
      <c r="E716">
        <v>0</v>
      </c>
      <c r="F716" t="s">
        <v>11</v>
      </c>
      <c r="G716" t="s">
        <v>52</v>
      </c>
      <c r="H716" s="2">
        <v>2457.502</v>
      </c>
      <c r="I716" s="2">
        <f t="shared" si="77"/>
        <v>2457.502</v>
      </c>
      <c r="J716" t="str">
        <f t="shared" si="78"/>
        <v>Low</v>
      </c>
      <c r="K716" s="1">
        <f t="shared" si="79"/>
        <v>0.106</v>
      </c>
      <c r="L716" t="str">
        <f t="shared" si="80"/>
        <v>Normal</v>
      </c>
      <c r="M716" t="str">
        <f t="shared" si="81"/>
        <v>Standard</v>
      </c>
      <c r="N716" t="str">
        <f t="shared" si="82"/>
        <v>Tier 3</v>
      </c>
      <c r="O716">
        <f t="shared" si="83"/>
        <v>0</v>
      </c>
    </row>
    <row r="717" spans="1:15" x14ac:dyDescent="0.2">
      <c r="A717">
        <v>60</v>
      </c>
      <c r="B717" t="str" cm="1">
        <f t="array" ref="B717">_xlfn.IFS(A717&lt;=25,"18-25", A717&lt;=35,"26-35", A717&lt;=45,"36-45", A717&lt;=55,"46-55", A717&lt;=64,"56-64")</f>
        <v>56-64</v>
      </c>
      <c r="C717" t="s">
        <v>10</v>
      </c>
      <c r="D717">
        <v>28.9</v>
      </c>
      <c r="E717">
        <v>0</v>
      </c>
      <c r="F717" t="s">
        <v>11</v>
      </c>
      <c r="G717" t="s">
        <v>52</v>
      </c>
      <c r="H717" s="2">
        <v>12146.971</v>
      </c>
      <c r="I717" s="2">
        <f t="shared" si="77"/>
        <v>12146.971</v>
      </c>
      <c r="J717" t="str">
        <f t="shared" si="78"/>
        <v>Low</v>
      </c>
      <c r="K717" s="1">
        <f t="shared" si="79"/>
        <v>0.63900000000000001</v>
      </c>
      <c r="L717" t="str">
        <f t="shared" si="80"/>
        <v>Overweight</v>
      </c>
      <c r="M717" t="str">
        <f t="shared" si="81"/>
        <v>Standard</v>
      </c>
      <c r="N717" t="str">
        <f t="shared" si="82"/>
        <v>Tier 3</v>
      </c>
      <c r="O717">
        <f t="shared" si="83"/>
        <v>1</v>
      </c>
    </row>
    <row r="718" spans="1:15" x14ac:dyDescent="0.2">
      <c r="A718">
        <v>49</v>
      </c>
      <c r="B718" t="str" cm="1">
        <f t="array" ref="B718">_xlfn.IFS(A718&lt;=25,"18-25", A718&lt;=35,"26-35", A718&lt;=45,"36-45", A718&lt;=55,"46-55", A718&lt;=64,"56-64")</f>
        <v>46-55</v>
      </c>
      <c r="C718" t="s">
        <v>7</v>
      </c>
      <c r="D718">
        <v>22.61</v>
      </c>
      <c r="E718">
        <v>1</v>
      </c>
      <c r="F718" t="s">
        <v>11</v>
      </c>
      <c r="G718" t="s">
        <v>54</v>
      </c>
      <c r="H718" s="2">
        <v>9566.9909000000007</v>
      </c>
      <c r="I718" s="2">
        <f t="shared" si="77"/>
        <v>4783.4954500000003</v>
      </c>
      <c r="J718" t="str">
        <f t="shared" si="78"/>
        <v>Low</v>
      </c>
      <c r="K718" s="1">
        <f t="shared" si="79"/>
        <v>0.51</v>
      </c>
      <c r="L718" t="str">
        <f t="shared" si="80"/>
        <v>Normal</v>
      </c>
      <c r="M718" t="str">
        <f t="shared" si="81"/>
        <v>Standard</v>
      </c>
      <c r="N718" t="str">
        <f t="shared" si="82"/>
        <v>Tier 4</v>
      </c>
      <c r="O718">
        <f t="shared" si="83"/>
        <v>0</v>
      </c>
    </row>
    <row r="719" spans="1:15" x14ac:dyDescent="0.2">
      <c r="A719">
        <v>60</v>
      </c>
      <c r="B719" t="str" cm="1">
        <f t="array" ref="B719">_xlfn.IFS(A719&lt;=25,"18-25", A719&lt;=35,"26-35", A719&lt;=45,"36-45", A719&lt;=55,"46-55", A719&lt;=64,"56-64")</f>
        <v>56-64</v>
      </c>
      <c r="C719" t="s">
        <v>10</v>
      </c>
      <c r="D719">
        <v>24.32</v>
      </c>
      <c r="E719">
        <v>1</v>
      </c>
      <c r="F719" t="s">
        <v>11</v>
      </c>
      <c r="G719" t="s">
        <v>54</v>
      </c>
      <c r="H719" s="2">
        <v>13112.604799999999</v>
      </c>
      <c r="I719" s="2">
        <f t="shared" si="77"/>
        <v>6556.3023999999996</v>
      </c>
      <c r="J719" t="str">
        <f t="shared" si="78"/>
        <v>Low</v>
      </c>
      <c r="K719" s="1">
        <f t="shared" si="79"/>
        <v>0.67900000000000005</v>
      </c>
      <c r="L719" t="str">
        <f t="shared" si="80"/>
        <v>Normal</v>
      </c>
      <c r="M719" t="str">
        <f t="shared" si="81"/>
        <v>Standard</v>
      </c>
      <c r="N719" t="str">
        <f t="shared" si="82"/>
        <v>Tier 4</v>
      </c>
      <c r="O719">
        <f t="shared" si="83"/>
        <v>0</v>
      </c>
    </row>
    <row r="720" spans="1:15" x14ac:dyDescent="0.2">
      <c r="A720">
        <v>51</v>
      </c>
      <c r="B720" t="str" cm="1">
        <f t="array" ref="B720">_xlfn.IFS(A720&lt;=25,"18-25", A720&lt;=35,"26-35", A720&lt;=45,"36-45", A720&lt;=55,"46-55", A720&lt;=64,"56-64")</f>
        <v>46-55</v>
      </c>
      <c r="C720" t="s">
        <v>7</v>
      </c>
      <c r="D720">
        <v>36.67</v>
      </c>
      <c r="E720">
        <v>2</v>
      </c>
      <c r="F720" t="s">
        <v>11</v>
      </c>
      <c r="G720" t="s">
        <v>54</v>
      </c>
      <c r="H720" s="2">
        <v>10848.1343</v>
      </c>
      <c r="I720" s="2">
        <f t="shared" si="77"/>
        <v>3616.0447666666664</v>
      </c>
      <c r="J720" t="str">
        <f t="shared" si="78"/>
        <v>Low</v>
      </c>
      <c r="K720" s="1">
        <f t="shared" si="79"/>
        <v>0.56899999999999995</v>
      </c>
      <c r="L720" t="str">
        <f t="shared" si="80"/>
        <v>Obese</v>
      </c>
      <c r="M720" t="str">
        <f t="shared" si="81"/>
        <v>Standard</v>
      </c>
      <c r="N720" t="str">
        <f t="shared" si="82"/>
        <v>Tier 4</v>
      </c>
      <c r="O720">
        <f t="shared" si="83"/>
        <v>2</v>
      </c>
    </row>
    <row r="721" spans="1:15" x14ac:dyDescent="0.2">
      <c r="A721">
        <v>58</v>
      </c>
      <c r="B721" t="str" cm="1">
        <f t="array" ref="B721">_xlfn.IFS(A721&lt;=25,"18-25", A721&lt;=35,"26-35", A721&lt;=45,"36-45", A721&lt;=55,"46-55", A721&lt;=64,"56-64")</f>
        <v>56-64</v>
      </c>
      <c r="C721" t="s">
        <v>7</v>
      </c>
      <c r="D721">
        <v>33.44</v>
      </c>
      <c r="E721">
        <v>0</v>
      </c>
      <c r="F721" t="s">
        <v>11</v>
      </c>
      <c r="G721" t="s">
        <v>54</v>
      </c>
      <c r="H721" s="2">
        <v>12231.613600000001</v>
      </c>
      <c r="I721" s="2">
        <f t="shared" si="77"/>
        <v>12231.613600000001</v>
      </c>
      <c r="J721" t="str">
        <f t="shared" si="78"/>
        <v>Low</v>
      </c>
      <c r="K721" s="1">
        <f t="shared" si="79"/>
        <v>0.64100000000000001</v>
      </c>
      <c r="L721" t="str">
        <f t="shared" si="80"/>
        <v>Obese</v>
      </c>
      <c r="M721" t="str">
        <f t="shared" si="81"/>
        <v>Standard</v>
      </c>
      <c r="N721" t="str">
        <f t="shared" si="82"/>
        <v>Tier 4</v>
      </c>
      <c r="O721">
        <f t="shared" si="83"/>
        <v>2</v>
      </c>
    </row>
    <row r="722" spans="1:15" x14ac:dyDescent="0.2">
      <c r="A722">
        <v>51</v>
      </c>
      <c r="B722" t="str" cm="1">
        <f t="array" ref="B722">_xlfn.IFS(A722&lt;=25,"18-25", A722&lt;=35,"26-35", A722&lt;=45,"36-45", A722&lt;=55,"46-55", A722&lt;=64,"56-64")</f>
        <v>46-55</v>
      </c>
      <c r="C722" t="s">
        <v>7</v>
      </c>
      <c r="D722">
        <v>40.659999999999997</v>
      </c>
      <c r="E722">
        <v>0</v>
      </c>
      <c r="F722" t="s">
        <v>11</v>
      </c>
      <c r="G722" t="s">
        <v>53</v>
      </c>
      <c r="H722" s="2">
        <v>9875.6803999999993</v>
      </c>
      <c r="I722" s="2">
        <f t="shared" si="77"/>
        <v>9875.6803999999993</v>
      </c>
      <c r="J722" t="str">
        <f t="shared" si="78"/>
        <v>Low</v>
      </c>
      <c r="K722" s="1">
        <f t="shared" si="79"/>
        <v>0.52700000000000002</v>
      </c>
      <c r="L722" t="str">
        <f t="shared" si="80"/>
        <v>Obese</v>
      </c>
      <c r="M722" t="str">
        <f t="shared" si="81"/>
        <v>Standard</v>
      </c>
      <c r="N722" t="str">
        <f t="shared" si="82"/>
        <v>Tier 2</v>
      </c>
      <c r="O722">
        <f t="shared" si="83"/>
        <v>2</v>
      </c>
    </row>
    <row r="723" spans="1:15" x14ac:dyDescent="0.2">
      <c r="A723">
        <v>53</v>
      </c>
      <c r="B723" t="str" cm="1">
        <f t="array" ref="B723">_xlfn.IFS(A723&lt;=25,"18-25", A723&lt;=35,"26-35", A723&lt;=45,"36-45", A723&lt;=55,"46-55", A723&lt;=64,"56-64")</f>
        <v>46-55</v>
      </c>
      <c r="C723" t="s">
        <v>10</v>
      </c>
      <c r="D723">
        <v>36.6</v>
      </c>
      <c r="E723">
        <v>3</v>
      </c>
      <c r="F723" t="s">
        <v>11</v>
      </c>
      <c r="G723" t="s">
        <v>52</v>
      </c>
      <c r="H723" s="2">
        <v>11264.540999999999</v>
      </c>
      <c r="I723" s="2">
        <f t="shared" si="77"/>
        <v>2816.1352499999998</v>
      </c>
      <c r="J723" t="str">
        <f t="shared" si="78"/>
        <v>Low</v>
      </c>
      <c r="K723" s="1">
        <f t="shared" si="79"/>
        <v>0.58799999999999997</v>
      </c>
      <c r="L723" t="str">
        <f t="shared" si="80"/>
        <v>Obese</v>
      </c>
      <c r="M723" t="str">
        <f t="shared" si="81"/>
        <v>Standard</v>
      </c>
      <c r="N723" t="str">
        <f t="shared" si="82"/>
        <v>Tier 3</v>
      </c>
      <c r="O723">
        <f t="shared" si="83"/>
        <v>2</v>
      </c>
    </row>
    <row r="724" spans="1:15" x14ac:dyDescent="0.2">
      <c r="A724">
        <v>62</v>
      </c>
      <c r="B724" t="str" cm="1">
        <f t="array" ref="B724">_xlfn.IFS(A724&lt;=25,"18-25", A724&lt;=35,"26-35", A724&lt;=45,"36-45", A724&lt;=55,"46-55", A724&lt;=64,"56-64")</f>
        <v>56-64</v>
      </c>
      <c r="C724" t="s">
        <v>10</v>
      </c>
      <c r="D724">
        <v>37.4</v>
      </c>
      <c r="E724">
        <v>0</v>
      </c>
      <c r="F724" t="s">
        <v>11</v>
      </c>
      <c r="G724" t="s">
        <v>52</v>
      </c>
      <c r="H724" s="2">
        <v>12979.358</v>
      </c>
      <c r="I724" s="2">
        <f t="shared" si="77"/>
        <v>12979.358</v>
      </c>
      <c r="J724" t="str">
        <f t="shared" si="78"/>
        <v>Low</v>
      </c>
      <c r="K724" s="1">
        <f t="shared" si="79"/>
        <v>0.67300000000000004</v>
      </c>
      <c r="L724" t="str">
        <f t="shared" si="80"/>
        <v>Obese</v>
      </c>
      <c r="M724" t="str">
        <f t="shared" si="81"/>
        <v>Standard</v>
      </c>
      <c r="N724" t="str">
        <f t="shared" si="82"/>
        <v>Tier 3</v>
      </c>
      <c r="O724">
        <f t="shared" si="83"/>
        <v>2</v>
      </c>
    </row>
    <row r="725" spans="1:15" x14ac:dyDescent="0.2">
      <c r="A725">
        <v>19</v>
      </c>
      <c r="B725" t="str" cm="1">
        <f t="array" ref="B725">_xlfn.IFS(A725&lt;=25,"18-25", A725&lt;=35,"26-35", A725&lt;=45,"36-45", A725&lt;=55,"46-55", A725&lt;=64,"56-64")</f>
        <v>18-25</v>
      </c>
      <c r="C725" t="s">
        <v>10</v>
      </c>
      <c r="D725">
        <v>35.4</v>
      </c>
      <c r="E725">
        <v>0</v>
      </c>
      <c r="F725" t="s">
        <v>11</v>
      </c>
      <c r="G725" t="s">
        <v>52</v>
      </c>
      <c r="H725" s="2">
        <v>1263.249</v>
      </c>
      <c r="I725" s="2">
        <f t="shared" si="77"/>
        <v>1263.249</v>
      </c>
      <c r="J725" t="str">
        <f t="shared" si="78"/>
        <v>Low</v>
      </c>
      <c r="K725" s="1">
        <f t="shared" si="79"/>
        <v>1.2999999999999999E-2</v>
      </c>
      <c r="L725" t="str">
        <f t="shared" si="80"/>
        <v>Obese</v>
      </c>
      <c r="M725" t="str">
        <f t="shared" si="81"/>
        <v>Standard</v>
      </c>
      <c r="N725" t="str">
        <f t="shared" si="82"/>
        <v>Tier 3</v>
      </c>
      <c r="O725">
        <f t="shared" si="83"/>
        <v>2</v>
      </c>
    </row>
    <row r="726" spans="1:15" x14ac:dyDescent="0.2">
      <c r="A726">
        <v>50</v>
      </c>
      <c r="B726" t="str" cm="1">
        <f t="array" ref="B726">_xlfn.IFS(A726&lt;=25,"18-25", A726&lt;=35,"26-35", A726&lt;=45,"36-45", A726&lt;=55,"46-55", A726&lt;=64,"56-64")</f>
        <v>46-55</v>
      </c>
      <c r="C726" t="s">
        <v>7</v>
      </c>
      <c r="D726">
        <v>27.074999999999999</v>
      </c>
      <c r="E726">
        <v>1</v>
      </c>
      <c r="F726" t="s">
        <v>11</v>
      </c>
      <c r="G726" t="s">
        <v>53</v>
      </c>
      <c r="H726" s="2">
        <v>10106.134249999999</v>
      </c>
      <c r="I726" s="2">
        <f t="shared" si="77"/>
        <v>5053.0671249999996</v>
      </c>
      <c r="J726" t="str">
        <f t="shared" si="78"/>
        <v>Low</v>
      </c>
      <c r="K726" s="1">
        <f t="shared" si="79"/>
        <v>0.53600000000000003</v>
      </c>
      <c r="L726" t="str">
        <f t="shared" si="80"/>
        <v>Overweight</v>
      </c>
      <c r="M726" t="str">
        <f t="shared" si="81"/>
        <v>Standard</v>
      </c>
      <c r="N726" t="str">
        <f t="shared" si="82"/>
        <v>Tier 2</v>
      </c>
      <c r="O726">
        <f t="shared" si="83"/>
        <v>1</v>
      </c>
    </row>
    <row r="727" spans="1:15" x14ac:dyDescent="0.2">
      <c r="A727">
        <v>30</v>
      </c>
      <c r="B727" t="str" cm="1">
        <f t="array" ref="B727">_xlfn.IFS(A727&lt;=25,"18-25", A727&lt;=35,"26-35", A727&lt;=45,"36-45", A727&lt;=55,"46-55", A727&lt;=64,"56-64")</f>
        <v>26-35</v>
      </c>
      <c r="C727" t="s">
        <v>7</v>
      </c>
      <c r="D727">
        <v>39.049999999999997</v>
      </c>
      <c r="E727">
        <v>3</v>
      </c>
      <c r="F727" t="s">
        <v>8</v>
      </c>
      <c r="G727" t="s">
        <v>51</v>
      </c>
      <c r="H727" s="2">
        <v>40932.429499999998</v>
      </c>
      <c r="I727" s="2">
        <f t="shared" si="77"/>
        <v>10233.107375</v>
      </c>
      <c r="J727" t="str">
        <f t="shared" si="78"/>
        <v>High</v>
      </c>
      <c r="K727" s="1">
        <f t="shared" si="79"/>
        <v>0.94599999999999995</v>
      </c>
      <c r="L727" t="str">
        <f t="shared" si="80"/>
        <v>Obese</v>
      </c>
      <c r="M727" t="str">
        <f t="shared" si="81"/>
        <v>High Risk</v>
      </c>
      <c r="N727" t="str">
        <f t="shared" si="82"/>
        <v>Tier 1</v>
      </c>
      <c r="O727">
        <f t="shared" si="83"/>
        <v>6</v>
      </c>
    </row>
    <row r="728" spans="1:15" x14ac:dyDescent="0.2">
      <c r="A728">
        <v>41</v>
      </c>
      <c r="B728" t="str" cm="1">
        <f t="array" ref="B728">_xlfn.IFS(A728&lt;=25,"18-25", A728&lt;=35,"26-35", A728&lt;=45,"36-45", A728&lt;=55,"46-55", A728&lt;=64,"56-64")</f>
        <v>36-45</v>
      </c>
      <c r="C728" t="s">
        <v>10</v>
      </c>
      <c r="D728">
        <v>28.405000000000001</v>
      </c>
      <c r="E728">
        <v>1</v>
      </c>
      <c r="F728" t="s">
        <v>11</v>
      </c>
      <c r="G728" t="s">
        <v>54</v>
      </c>
      <c r="H728" s="2">
        <v>6664.68595</v>
      </c>
      <c r="I728" s="2">
        <f t="shared" si="77"/>
        <v>3332.342975</v>
      </c>
      <c r="J728" t="str">
        <f t="shared" si="78"/>
        <v>Low</v>
      </c>
      <c r="K728" s="1">
        <f t="shared" si="79"/>
        <v>0.35899999999999999</v>
      </c>
      <c r="L728" t="str">
        <f t="shared" si="80"/>
        <v>Overweight</v>
      </c>
      <c r="M728" t="str">
        <f t="shared" si="81"/>
        <v>Standard</v>
      </c>
      <c r="N728" t="str">
        <f t="shared" si="82"/>
        <v>Tier 4</v>
      </c>
      <c r="O728">
        <f t="shared" si="83"/>
        <v>1</v>
      </c>
    </row>
    <row r="729" spans="1:15" x14ac:dyDescent="0.2">
      <c r="A729">
        <v>29</v>
      </c>
      <c r="B729" t="str" cm="1">
        <f t="array" ref="B729">_xlfn.IFS(A729&lt;=25,"18-25", A729&lt;=35,"26-35", A729&lt;=45,"36-45", A729&lt;=55,"46-55", A729&lt;=64,"56-64")</f>
        <v>26-35</v>
      </c>
      <c r="C729" t="s">
        <v>7</v>
      </c>
      <c r="D729">
        <v>21.754999999999999</v>
      </c>
      <c r="E729">
        <v>1</v>
      </c>
      <c r="F729" t="s">
        <v>8</v>
      </c>
      <c r="G729" t="s">
        <v>53</v>
      </c>
      <c r="H729" s="2">
        <v>16657.71745</v>
      </c>
      <c r="I729" s="2">
        <f t="shared" si="77"/>
        <v>8328.858725</v>
      </c>
      <c r="J729" t="str">
        <f t="shared" si="78"/>
        <v>High</v>
      </c>
      <c r="K729" s="1">
        <f t="shared" si="79"/>
        <v>0.75</v>
      </c>
      <c r="L729" t="str">
        <f t="shared" si="80"/>
        <v>Normal</v>
      </c>
      <c r="M729" t="str">
        <f t="shared" si="81"/>
        <v>High Risk</v>
      </c>
      <c r="N729" t="str">
        <f t="shared" si="82"/>
        <v>Tier 2</v>
      </c>
      <c r="O729">
        <f t="shared" si="83"/>
        <v>3</v>
      </c>
    </row>
    <row r="730" spans="1:15" x14ac:dyDescent="0.2">
      <c r="A730">
        <v>18</v>
      </c>
      <c r="B730" t="str" cm="1">
        <f t="array" ref="B730">_xlfn.IFS(A730&lt;=25,"18-25", A730&lt;=35,"26-35", A730&lt;=45,"36-45", A730&lt;=55,"46-55", A730&lt;=64,"56-64")</f>
        <v>18-25</v>
      </c>
      <c r="C730" t="s">
        <v>7</v>
      </c>
      <c r="D730">
        <v>40.28</v>
      </c>
      <c r="E730">
        <v>0</v>
      </c>
      <c r="F730" t="s">
        <v>11</v>
      </c>
      <c r="G730" t="s">
        <v>53</v>
      </c>
      <c r="H730" s="2">
        <v>2217.6012000000001</v>
      </c>
      <c r="I730" s="2">
        <f t="shared" si="77"/>
        <v>2217.6012000000001</v>
      </c>
      <c r="J730" t="str">
        <f t="shared" si="78"/>
        <v>Low</v>
      </c>
      <c r="K730" s="1">
        <f t="shared" si="79"/>
        <v>9.0999999999999998E-2</v>
      </c>
      <c r="L730" t="str">
        <f t="shared" si="80"/>
        <v>Obese</v>
      </c>
      <c r="M730" t="str">
        <f t="shared" si="81"/>
        <v>Standard</v>
      </c>
      <c r="N730" t="str">
        <f t="shared" si="82"/>
        <v>Tier 2</v>
      </c>
      <c r="O730">
        <f t="shared" si="83"/>
        <v>2</v>
      </c>
    </row>
    <row r="731" spans="1:15" x14ac:dyDescent="0.2">
      <c r="A731">
        <v>41</v>
      </c>
      <c r="B731" t="str" cm="1">
        <f t="array" ref="B731">_xlfn.IFS(A731&lt;=25,"18-25", A731&lt;=35,"26-35", A731&lt;=45,"36-45", A731&lt;=55,"46-55", A731&lt;=64,"56-64")</f>
        <v>36-45</v>
      </c>
      <c r="C731" t="s">
        <v>7</v>
      </c>
      <c r="D731">
        <v>36.08</v>
      </c>
      <c r="E731">
        <v>1</v>
      </c>
      <c r="F731" t="s">
        <v>11</v>
      </c>
      <c r="G731" t="s">
        <v>51</v>
      </c>
      <c r="H731" s="2">
        <v>6781.3541999999998</v>
      </c>
      <c r="I731" s="2">
        <f t="shared" si="77"/>
        <v>3390.6770999999999</v>
      </c>
      <c r="J731" t="str">
        <f t="shared" si="78"/>
        <v>Low</v>
      </c>
      <c r="K731" s="1">
        <f t="shared" si="79"/>
        <v>0.36499999999999999</v>
      </c>
      <c r="L731" t="str">
        <f t="shared" si="80"/>
        <v>Obese</v>
      </c>
      <c r="M731" t="str">
        <f t="shared" si="81"/>
        <v>Standard</v>
      </c>
      <c r="N731" t="str">
        <f t="shared" si="82"/>
        <v>Tier 1</v>
      </c>
      <c r="O731">
        <f t="shared" si="83"/>
        <v>3</v>
      </c>
    </row>
    <row r="732" spans="1:15" x14ac:dyDescent="0.2">
      <c r="A732">
        <v>35</v>
      </c>
      <c r="B732" t="str" cm="1">
        <f t="array" ref="B732">_xlfn.IFS(A732&lt;=25,"18-25", A732&lt;=35,"26-35", A732&lt;=45,"36-45", A732&lt;=55,"46-55", A732&lt;=64,"56-64")</f>
        <v>26-35</v>
      </c>
      <c r="C732" t="s">
        <v>10</v>
      </c>
      <c r="D732">
        <v>24.42</v>
      </c>
      <c r="E732">
        <v>3</v>
      </c>
      <c r="F732" t="s">
        <v>8</v>
      </c>
      <c r="G732" t="s">
        <v>51</v>
      </c>
      <c r="H732" s="2">
        <v>19361.998800000001</v>
      </c>
      <c r="I732" s="2">
        <f t="shared" si="77"/>
        <v>4840.4997000000003</v>
      </c>
      <c r="J732" t="str">
        <f t="shared" si="78"/>
        <v>High</v>
      </c>
      <c r="K732" s="1">
        <f t="shared" si="79"/>
        <v>0.78600000000000003</v>
      </c>
      <c r="L732" t="str">
        <f t="shared" si="80"/>
        <v>Normal</v>
      </c>
      <c r="M732" t="str">
        <f t="shared" si="81"/>
        <v>High Risk</v>
      </c>
      <c r="N732" t="str">
        <f t="shared" si="82"/>
        <v>Tier 1</v>
      </c>
      <c r="O732">
        <f t="shared" si="83"/>
        <v>4</v>
      </c>
    </row>
    <row r="733" spans="1:15" x14ac:dyDescent="0.2">
      <c r="A733">
        <v>53</v>
      </c>
      <c r="B733" t="str" cm="1">
        <f t="array" ref="B733">_xlfn.IFS(A733&lt;=25,"18-25", A733&lt;=35,"26-35", A733&lt;=45,"36-45", A733&lt;=55,"46-55", A733&lt;=64,"56-64")</f>
        <v>46-55</v>
      </c>
      <c r="C733" t="s">
        <v>10</v>
      </c>
      <c r="D733">
        <v>21.4</v>
      </c>
      <c r="E733">
        <v>1</v>
      </c>
      <c r="F733" t="s">
        <v>11</v>
      </c>
      <c r="G733" t="s">
        <v>52</v>
      </c>
      <c r="H733" s="2">
        <v>10065.413</v>
      </c>
      <c r="I733" s="2">
        <f t="shared" si="77"/>
        <v>5032.7065000000002</v>
      </c>
      <c r="J733" t="str">
        <f t="shared" si="78"/>
        <v>Low</v>
      </c>
      <c r="K733" s="1">
        <f t="shared" si="79"/>
        <v>0.53300000000000003</v>
      </c>
      <c r="L733" t="str">
        <f t="shared" si="80"/>
        <v>Normal</v>
      </c>
      <c r="M733" t="str">
        <f t="shared" si="81"/>
        <v>Standard</v>
      </c>
      <c r="N733" t="str">
        <f t="shared" si="82"/>
        <v>Tier 3</v>
      </c>
      <c r="O733">
        <f t="shared" si="83"/>
        <v>0</v>
      </c>
    </row>
    <row r="734" spans="1:15" x14ac:dyDescent="0.2">
      <c r="A734">
        <v>24</v>
      </c>
      <c r="B734" t="str" cm="1">
        <f t="array" ref="B734">_xlfn.IFS(A734&lt;=25,"18-25", A734&lt;=35,"26-35", A734&lt;=45,"36-45", A734&lt;=55,"46-55", A734&lt;=64,"56-64")</f>
        <v>18-25</v>
      </c>
      <c r="C734" t="s">
        <v>7</v>
      </c>
      <c r="D734">
        <v>30.1</v>
      </c>
      <c r="E734">
        <v>3</v>
      </c>
      <c r="F734" t="s">
        <v>11</v>
      </c>
      <c r="G734" t="s">
        <v>52</v>
      </c>
      <c r="H734" s="2">
        <v>4234.9269999999997</v>
      </c>
      <c r="I734" s="2">
        <f t="shared" si="77"/>
        <v>1058.7317499999999</v>
      </c>
      <c r="J734" t="str">
        <f t="shared" si="78"/>
        <v>Low</v>
      </c>
      <c r="K734" s="1">
        <f t="shared" si="79"/>
        <v>0.21099999999999999</v>
      </c>
      <c r="L734" t="str">
        <f t="shared" si="80"/>
        <v>Obese</v>
      </c>
      <c r="M734" t="str">
        <f t="shared" si="81"/>
        <v>Standard</v>
      </c>
      <c r="N734" t="str">
        <f t="shared" si="82"/>
        <v>Tier 3</v>
      </c>
      <c r="O734">
        <f t="shared" si="83"/>
        <v>2</v>
      </c>
    </row>
    <row r="735" spans="1:15" x14ac:dyDescent="0.2">
      <c r="A735">
        <v>48</v>
      </c>
      <c r="B735" t="str" cm="1">
        <f t="array" ref="B735">_xlfn.IFS(A735&lt;=25,"18-25", A735&lt;=35,"26-35", A735&lt;=45,"36-45", A735&lt;=55,"46-55", A735&lt;=64,"56-64")</f>
        <v>46-55</v>
      </c>
      <c r="C735" t="s">
        <v>7</v>
      </c>
      <c r="D735">
        <v>27.265000000000001</v>
      </c>
      <c r="E735">
        <v>1</v>
      </c>
      <c r="F735" t="s">
        <v>11</v>
      </c>
      <c r="G735" t="s">
        <v>53</v>
      </c>
      <c r="H735" s="2">
        <v>9447.2503500000003</v>
      </c>
      <c r="I735" s="2">
        <f t="shared" si="77"/>
        <v>4723.6251750000001</v>
      </c>
      <c r="J735" t="str">
        <f t="shared" si="78"/>
        <v>Low</v>
      </c>
      <c r="K735" s="1">
        <f t="shared" si="79"/>
        <v>0.504</v>
      </c>
      <c r="L735" t="str">
        <f t="shared" si="80"/>
        <v>Overweight</v>
      </c>
      <c r="M735" t="str">
        <f t="shared" si="81"/>
        <v>Standard</v>
      </c>
      <c r="N735" t="str">
        <f t="shared" si="82"/>
        <v>Tier 2</v>
      </c>
      <c r="O735">
        <f t="shared" si="83"/>
        <v>1</v>
      </c>
    </row>
    <row r="736" spans="1:15" x14ac:dyDescent="0.2">
      <c r="A736">
        <v>59</v>
      </c>
      <c r="B736" t="str" cm="1">
        <f t="array" ref="B736">_xlfn.IFS(A736&lt;=25,"18-25", A736&lt;=35,"26-35", A736&lt;=45,"36-45", A736&lt;=55,"46-55", A736&lt;=64,"56-64")</f>
        <v>56-64</v>
      </c>
      <c r="C736" t="s">
        <v>7</v>
      </c>
      <c r="D736">
        <v>32.1</v>
      </c>
      <c r="E736">
        <v>3</v>
      </c>
      <c r="F736" t="s">
        <v>11</v>
      </c>
      <c r="G736" t="s">
        <v>52</v>
      </c>
      <c r="H736" s="2">
        <v>14007.222</v>
      </c>
      <c r="I736" s="2">
        <f t="shared" si="77"/>
        <v>3501.8054999999999</v>
      </c>
      <c r="J736" t="str">
        <f t="shared" si="78"/>
        <v>High</v>
      </c>
      <c r="K736" s="1">
        <f t="shared" si="79"/>
        <v>0.71</v>
      </c>
      <c r="L736" t="str">
        <f t="shared" si="80"/>
        <v>Obese</v>
      </c>
      <c r="M736" t="str">
        <f t="shared" si="81"/>
        <v>Standard</v>
      </c>
      <c r="N736" t="str">
        <f t="shared" si="82"/>
        <v>Tier 3</v>
      </c>
      <c r="O736">
        <f t="shared" si="83"/>
        <v>2</v>
      </c>
    </row>
    <row r="737" spans="1:15" x14ac:dyDescent="0.2">
      <c r="A737">
        <v>49</v>
      </c>
      <c r="B737" t="str" cm="1">
        <f t="array" ref="B737">_xlfn.IFS(A737&lt;=25,"18-25", A737&lt;=35,"26-35", A737&lt;=45,"36-45", A737&lt;=55,"46-55", A737&lt;=64,"56-64")</f>
        <v>46-55</v>
      </c>
      <c r="C737" t="s">
        <v>7</v>
      </c>
      <c r="D737">
        <v>34.770000000000003</v>
      </c>
      <c r="E737">
        <v>1</v>
      </c>
      <c r="F737" t="s">
        <v>11</v>
      </c>
      <c r="G737" t="s">
        <v>54</v>
      </c>
      <c r="H737" s="2">
        <v>9583.8932999999997</v>
      </c>
      <c r="I737" s="2">
        <f t="shared" si="77"/>
        <v>4791.9466499999999</v>
      </c>
      <c r="J737" t="str">
        <f t="shared" si="78"/>
        <v>Low</v>
      </c>
      <c r="K737" s="1">
        <f t="shared" si="79"/>
        <v>0.51</v>
      </c>
      <c r="L737" t="str">
        <f t="shared" si="80"/>
        <v>Obese</v>
      </c>
      <c r="M737" t="str">
        <f t="shared" si="81"/>
        <v>Standard</v>
      </c>
      <c r="N737" t="str">
        <f t="shared" si="82"/>
        <v>Tier 4</v>
      </c>
      <c r="O737">
        <f t="shared" si="83"/>
        <v>2</v>
      </c>
    </row>
    <row r="738" spans="1:15" x14ac:dyDescent="0.2">
      <c r="A738">
        <v>37</v>
      </c>
      <c r="B738" t="str" cm="1">
        <f t="array" ref="B738">_xlfn.IFS(A738&lt;=25,"18-25", A738&lt;=35,"26-35", A738&lt;=45,"36-45", A738&lt;=55,"46-55", A738&lt;=64,"56-64")</f>
        <v>36-45</v>
      </c>
      <c r="C738" t="s">
        <v>7</v>
      </c>
      <c r="D738">
        <v>38.39</v>
      </c>
      <c r="E738">
        <v>0</v>
      </c>
      <c r="F738" t="s">
        <v>8</v>
      </c>
      <c r="G738" t="s">
        <v>51</v>
      </c>
      <c r="H738" s="2">
        <v>40419.019099999998</v>
      </c>
      <c r="I738" s="2">
        <f t="shared" si="77"/>
        <v>40419.019099999998</v>
      </c>
      <c r="J738" t="str">
        <f t="shared" si="78"/>
        <v>High</v>
      </c>
      <c r="K738" s="1">
        <f t="shared" si="79"/>
        <v>0.94399999999999995</v>
      </c>
      <c r="L738" t="str">
        <f t="shared" si="80"/>
        <v>Obese</v>
      </c>
      <c r="M738" t="str">
        <f t="shared" si="81"/>
        <v>High Risk</v>
      </c>
      <c r="N738" t="str">
        <f t="shared" si="82"/>
        <v>Tier 1</v>
      </c>
      <c r="O738">
        <f t="shared" si="83"/>
        <v>6</v>
      </c>
    </row>
    <row r="739" spans="1:15" x14ac:dyDescent="0.2">
      <c r="A739">
        <v>26</v>
      </c>
      <c r="B739" t="str" cm="1">
        <f t="array" ref="B739">_xlfn.IFS(A739&lt;=25,"18-25", A739&lt;=35,"26-35", A739&lt;=45,"36-45", A739&lt;=55,"46-55", A739&lt;=64,"56-64")</f>
        <v>26-35</v>
      </c>
      <c r="C739" t="s">
        <v>10</v>
      </c>
      <c r="D739">
        <v>23.7</v>
      </c>
      <c r="E739">
        <v>2</v>
      </c>
      <c r="F739" t="s">
        <v>11</v>
      </c>
      <c r="G739" t="s">
        <v>52</v>
      </c>
      <c r="H739" s="2">
        <v>3484.3310000000001</v>
      </c>
      <c r="I739" s="2">
        <f t="shared" si="77"/>
        <v>1161.4436666666668</v>
      </c>
      <c r="J739" t="str">
        <f t="shared" si="78"/>
        <v>Low</v>
      </c>
      <c r="K739" s="1">
        <f t="shared" si="79"/>
        <v>0.17100000000000001</v>
      </c>
      <c r="L739" t="str">
        <f t="shared" si="80"/>
        <v>Normal</v>
      </c>
      <c r="M739" t="str">
        <f t="shared" si="81"/>
        <v>Standard</v>
      </c>
      <c r="N739" t="str">
        <f t="shared" si="82"/>
        <v>Tier 3</v>
      </c>
      <c r="O739">
        <f t="shared" si="83"/>
        <v>0</v>
      </c>
    </row>
    <row r="740" spans="1:15" x14ac:dyDescent="0.2">
      <c r="A740">
        <v>23</v>
      </c>
      <c r="B740" t="str" cm="1">
        <f t="array" ref="B740">_xlfn.IFS(A740&lt;=25,"18-25", A740&lt;=35,"26-35", A740&lt;=45,"36-45", A740&lt;=55,"46-55", A740&lt;=64,"56-64")</f>
        <v>18-25</v>
      </c>
      <c r="C740" t="s">
        <v>10</v>
      </c>
      <c r="D740">
        <v>31.73</v>
      </c>
      <c r="E740">
        <v>3</v>
      </c>
      <c r="F740" t="s">
        <v>8</v>
      </c>
      <c r="G740" t="s">
        <v>53</v>
      </c>
      <c r="H740" s="2">
        <v>36189.101699999999</v>
      </c>
      <c r="I740" s="2">
        <f t="shared" si="77"/>
        <v>9047.2754249999998</v>
      </c>
      <c r="J740" t="str">
        <f t="shared" si="78"/>
        <v>High</v>
      </c>
      <c r="K740" s="1">
        <f t="shared" si="79"/>
        <v>0.90800000000000003</v>
      </c>
      <c r="L740" t="str">
        <f t="shared" si="80"/>
        <v>Obese</v>
      </c>
      <c r="M740" t="str">
        <f t="shared" si="81"/>
        <v>High Risk</v>
      </c>
      <c r="N740" t="str">
        <f t="shared" si="82"/>
        <v>Tier 2</v>
      </c>
      <c r="O740">
        <f t="shared" si="83"/>
        <v>5</v>
      </c>
    </row>
    <row r="741" spans="1:15" x14ac:dyDescent="0.2">
      <c r="A741">
        <v>29</v>
      </c>
      <c r="B741" t="str" cm="1">
        <f t="array" ref="B741">_xlfn.IFS(A741&lt;=25,"18-25", A741&lt;=35,"26-35", A741&lt;=45,"36-45", A741&lt;=55,"46-55", A741&lt;=64,"56-64")</f>
        <v>26-35</v>
      </c>
      <c r="C741" t="s">
        <v>10</v>
      </c>
      <c r="D741">
        <v>35.5</v>
      </c>
      <c r="E741">
        <v>2</v>
      </c>
      <c r="F741" t="s">
        <v>8</v>
      </c>
      <c r="G741" t="s">
        <v>52</v>
      </c>
      <c r="H741" s="2">
        <v>44585.455869999998</v>
      </c>
      <c r="I741" s="2">
        <f t="shared" si="77"/>
        <v>14861.818623333333</v>
      </c>
      <c r="J741" t="str">
        <f t="shared" si="78"/>
        <v>High</v>
      </c>
      <c r="K741" s="1">
        <f t="shared" si="79"/>
        <v>0.97</v>
      </c>
      <c r="L741" t="str">
        <f t="shared" si="80"/>
        <v>Obese</v>
      </c>
      <c r="M741" t="str">
        <f t="shared" si="81"/>
        <v>High Risk</v>
      </c>
      <c r="N741" t="str">
        <f t="shared" si="82"/>
        <v>Tier 3</v>
      </c>
      <c r="O741">
        <f t="shared" si="83"/>
        <v>5</v>
      </c>
    </row>
    <row r="742" spans="1:15" x14ac:dyDescent="0.2">
      <c r="A742">
        <v>45</v>
      </c>
      <c r="B742" t="str" cm="1">
        <f t="array" ref="B742">_xlfn.IFS(A742&lt;=25,"18-25", A742&lt;=35,"26-35", A742&lt;=45,"36-45", A742&lt;=55,"46-55", A742&lt;=64,"56-64")</f>
        <v>36-45</v>
      </c>
      <c r="C742" t="s">
        <v>10</v>
      </c>
      <c r="D742">
        <v>24.035</v>
      </c>
      <c r="E742">
        <v>2</v>
      </c>
      <c r="F742" t="s">
        <v>11</v>
      </c>
      <c r="G742" t="s">
        <v>53</v>
      </c>
      <c r="H742" s="2">
        <v>8604.4836500000001</v>
      </c>
      <c r="I742" s="2">
        <f t="shared" si="77"/>
        <v>2868.1612166666669</v>
      </c>
      <c r="J742" t="str">
        <f t="shared" si="78"/>
        <v>Low</v>
      </c>
      <c r="K742" s="1">
        <f t="shared" si="79"/>
        <v>0.46400000000000002</v>
      </c>
      <c r="L742" t="str">
        <f t="shared" si="80"/>
        <v>Normal</v>
      </c>
      <c r="M742" t="str">
        <f t="shared" si="81"/>
        <v>Standard</v>
      </c>
      <c r="N742" t="str">
        <f t="shared" si="82"/>
        <v>Tier 2</v>
      </c>
      <c r="O742">
        <f t="shared" si="83"/>
        <v>0</v>
      </c>
    </row>
    <row r="743" spans="1:15" x14ac:dyDescent="0.2">
      <c r="A743">
        <v>27</v>
      </c>
      <c r="B743" t="str" cm="1">
        <f t="array" ref="B743">_xlfn.IFS(A743&lt;=25,"18-25", A743&lt;=35,"26-35", A743&lt;=45,"36-45", A743&lt;=55,"46-55", A743&lt;=64,"56-64")</f>
        <v>26-35</v>
      </c>
      <c r="C743" t="s">
        <v>10</v>
      </c>
      <c r="D743">
        <v>29.15</v>
      </c>
      <c r="E743">
        <v>0</v>
      </c>
      <c r="F743" t="s">
        <v>8</v>
      </c>
      <c r="G743" t="s">
        <v>51</v>
      </c>
      <c r="H743" s="2">
        <v>18246.495500000001</v>
      </c>
      <c r="I743" s="2">
        <f t="shared" si="77"/>
        <v>18246.495500000001</v>
      </c>
      <c r="J743" t="str">
        <f t="shared" si="78"/>
        <v>High</v>
      </c>
      <c r="K743" s="1">
        <f t="shared" si="79"/>
        <v>0.76900000000000002</v>
      </c>
      <c r="L743" t="str">
        <f t="shared" si="80"/>
        <v>Overweight</v>
      </c>
      <c r="M743" t="str">
        <f t="shared" si="81"/>
        <v>High Risk</v>
      </c>
      <c r="N743" t="str">
        <f t="shared" si="82"/>
        <v>Tier 1</v>
      </c>
      <c r="O743">
        <f t="shared" si="83"/>
        <v>5</v>
      </c>
    </row>
    <row r="744" spans="1:15" x14ac:dyDescent="0.2">
      <c r="A744">
        <v>53</v>
      </c>
      <c r="B744" t="str" cm="1">
        <f t="array" ref="B744">_xlfn.IFS(A744&lt;=25,"18-25", A744&lt;=35,"26-35", A744&lt;=45,"36-45", A744&lt;=55,"46-55", A744&lt;=64,"56-64")</f>
        <v>46-55</v>
      </c>
      <c r="C744" t="s">
        <v>10</v>
      </c>
      <c r="D744">
        <v>34.104999999999997</v>
      </c>
      <c r="E744">
        <v>0</v>
      </c>
      <c r="F744" t="s">
        <v>8</v>
      </c>
      <c r="G744" t="s">
        <v>53</v>
      </c>
      <c r="H744" s="2">
        <v>43254.417950000003</v>
      </c>
      <c r="I744" s="2">
        <f t="shared" si="77"/>
        <v>43254.417950000003</v>
      </c>
      <c r="J744" t="str">
        <f t="shared" si="78"/>
        <v>High</v>
      </c>
      <c r="K744" s="1">
        <f t="shared" si="79"/>
        <v>0.96099999999999997</v>
      </c>
      <c r="L744" t="str">
        <f t="shared" si="80"/>
        <v>Obese</v>
      </c>
      <c r="M744" t="str">
        <f t="shared" si="81"/>
        <v>High Risk</v>
      </c>
      <c r="N744" t="str">
        <f t="shared" si="82"/>
        <v>Tier 2</v>
      </c>
      <c r="O744">
        <f t="shared" si="83"/>
        <v>5</v>
      </c>
    </row>
    <row r="745" spans="1:15" x14ac:dyDescent="0.2">
      <c r="A745">
        <v>31</v>
      </c>
      <c r="B745" t="str" cm="1">
        <f t="array" ref="B745">_xlfn.IFS(A745&lt;=25,"18-25", A745&lt;=35,"26-35", A745&lt;=45,"36-45", A745&lt;=55,"46-55", A745&lt;=64,"56-64")</f>
        <v>26-35</v>
      </c>
      <c r="C745" t="s">
        <v>7</v>
      </c>
      <c r="D745">
        <v>26.62</v>
      </c>
      <c r="E745">
        <v>0</v>
      </c>
      <c r="F745" t="s">
        <v>11</v>
      </c>
      <c r="G745" t="s">
        <v>51</v>
      </c>
      <c r="H745" s="2">
        <v>3757.8447999999999</v>
      </c>
      <c r="I745" s="2">
        <f t="shared" si="77"/>
        <v>3757.8447999999999</v>
      </c>
      <c r="J745" t="str">
        <f t="shared" si="78"/>
        <v>Low</v>
      </c>
      <c r="K745" s="1">
        <f t="shared" si="79"/>
        <v>0.186</v>
      </c>
      <c r="L745" t="str">
        <f t="shared" si="80"/>
        <v>Overweight</v>
      </c>
      <c r="M745" t="str">
        <f t="shared" si="81"/>
        <v>Standard</v>
      </c>
      <c r="N745" t="str">
        <f t="shared" si="82"/>
        <v>Tier 1</v>
      </c>
      <c r="O745">
        <f t="shared" si="83"/>
        <v>2</v>
      </c>
    </row>
    <row r="746" spans="1:15" x14ac:dyDescent="0.2">
      <c r="A746">
        <v>50</v>
      </c>
      <c r="B746" t="str" cm="1">
        <f t="array" ref="B746">_xlfn.IFS(A746&lt;=25,"18-25", A746&lt;=35,"26-35", A746&lt;=45,"36-45", A746&lt;=55,"46-55", A746&lt;=64,"56-64")</f>
        <v>46-55</v>
      </c>
      <c r="C746" t="s">
        <v>10</v>
      </c>
      <c r="D746">
        <v>26.41</v>
      </c>
      <c r="E746">
        <v>0</v>
      </c>
      <c r="F746" t="s">
        <v>11</v>
      </c>
      <c r="G746" t="s">
        <v>54</v>
      </c>
      <c r="H746" s="2">
        <v>8827.2098999999998</v>
      </c>
      <c r="I746" s="2">
        <f t="shared" si="77"/>
        <v>8827.2098999999998</v>
      </c>
      <c r="J746" t="str">
        <f t="shared" si="78"/>
        <v>Low</v>
      </c>
      <c r="K746" s="1">
        <f t="shared" si="79"/>
        <v>0.47499999999999998</v>
      </c>
      <c r="L746" t="str">
        <f t="shared" si="80"/>
        <v>Overweight</v>
      </c>
      <c r="M746" t="str">
        <f t="shared" si="81"/>
        <v>Standard</v>
      </c>
      <c r="N746" t="str">
        <f t="shared" si="82"/>
        <v>Tier 4</v>
      </c>
      <c r="O746">
        <f t="shared" si="83"/>
        <v>1</v>
      </c>
    </row>
    <row r="747" spans="1:15" x14ac:dyDescent="0.2">
      <c r="A747">
        <v>50</v>
      </c>
      <c r="B747" t="str" cm="1">
        <f t="array" ref="B747">_xlfn.IFS(A747&lt;=25,"18-25", A747&lt;=35,"26-35", A747&lt;=45,"36-45", A747&lt;=55,"46-55", A747&lt;=64,"56-64")</f>
        <v>46-55</v>
      </c>
      <c r="C747" t="s">
        <v>7</v>
      </c>
      <c r="D747">
        <v>30.114999999999998</v>
      </c>
      <c r="E747">
        <v>1</v>
      </c>
      <c r="F747" t="s">
        <v>11</v>
      </c>
      <c r="G747" t="s">
        <v>54</v>
      </c>
      <c r="H747" s="2">
        <v>9910.3598500000007</v>
      </c>
      <c r="I747" s="2">
        <f t="shared" si="77"/>
        <v>4955.1799250000004</v>
      </c>
      <c r="J747" t="str">
        <f t="shared" si="78"/>
        <v>Low</v>
      </c>
      <c r="K747" s="1">
        <f t="shared" si="79"/>
        <v>0.52900000000000003</v>
      </c>
      <c r="L747" t="str">
        <f t="shared" si="80"/>
        <v>Obese</v>
      </c>
      <c r="M747" t="str">
        <f t="shared" si="81"/>
        <v>Standard</v>
      </c>
      <c r="N747" t="str">
        <f t="shared" si="82"/>
        <v>Tier 4</v>
      </c>
      <c r="O747">
        <f t="shared" si="83"/>
        <v>2</v>
      </c>
    </row>
    <row r="748" spans="1:15" x14ac:dyDescent="0.2">
      <c r="A748">
        <v>34</v>
      </c>
      <c r="B748" t="str" cm="1">
        <f t="array" ref="B748">_xlfn.IFS(A748&lt;=25,"18-25", A748&lt;=35,"26-35", A748&lt;=45,"36-45", A748&lt;=55,"46-55", A748&lt;=64,"56-64")</f>
        <v>26-35</v>
      </c>
      <c r="C748" t="s">
        <v>10</v>
      </c>
      <c r="D748">
        <v>27</v>
      </c>
      <c r="E748">
        <v>2</v>
      </c>
      <c r="F748" t="s">
        <v>11</v>
      </c>
      <c r="G748" t="s">
        <v>52</v>
      </c>
      <c r="H748" s="2">
        <v>11737.848840000001</v>
      </c>
      <c r="I748" s="2">
        <f t="shared" si="77"/>
        <v>3912.6162800000002</v>
      </c>
      <c r="J748" t="str">
        <f t="shared" si="78"/>
        <v>Low</v>
      </c>
      <c r="K748" s="1">
        <f t="shared" si="79"/>
        <v>0.61499999999999999</v>
      </c>
      <c r="L748" t="str">
        <f t="shared" si="80"/>
        <v>Overweight</v>
      </c>
      <c r="M748" t="str">
        <f t="shared" si="81"/>
        <v>Standard</v>
      </c>
      <c r="N748" t="str">
        <f t="shared" si="82"/>
        <v>Tier 3</v>
      </c>
      <c r="O748">
        <f t="shared" si="83"/>
        <v>1</v>
      </c>
    </row>
    <row r="749" spans="1:15" x14ac:dyDescent="0.2">
      <c r="A749">
        <v>19</v>
      </c>
      <c r="B749" t="str" cm="1">
        <f t="array" ref="B749">_xlfn.IFS(A749&lt;=25,"18-25", A749&lt;=35,"26-35", A749&lt;=45,"36-45", A749&lt;=55,"46-55", A749&lt;=64,"56-64")</f>
        <v>18-25</v>
      </c>
      <c r="C749" t="s">
        <v>10</v>
      </c>
      <c r="D749">
        <v>21.754999999999999</v>
      </c>
      <c r="E749">
        <v>0</v>
      </c>
      <c r="F749" t="s">
        <v>11</v>
      </c>
      <c r="G749" t="s">
        <v>54</v>
      </c>
      <c r="H749" s="2">
        <v>1627.2824499999999</v>
      </c>
      <c r="I749" s="2">
        <f t="shared" si="77"/>
        <v>1627.2824499999999</v>
      </c>
      <c r="J749" t="str">
        <f t="shared" si="78"/>
        <v>Low</v>
      </c>
      <c r="K749" s="1">
        <f t="shared" si="79"/>
        <v>2.1999999999999999E-2</v>
      </c>
      <c r="L749" t="str">
        <f t="shared" si="80"/>
        <v>Normal</v>
      </c>
      <c r="M749" t="str">
        <f t="shared" si="81"/>
        <v>Standard</v>
      </c>
      <c r="N749" t="str">
        <f t="shared" si="82"/>
        <v>Tier 4</v>
      </c>
      <c r="O749">
        <f t="shared" si="83"/>
        <v>0</v>
      </c>
    </row>
    <row r="750" spans="1:15" x14ac:dyDescent="0.2">
      <c r="A750">
        <v>47</v>
      </c>
      <c r="B750" t="str" cm="1">
        <f t="array" ref="B750">_xlfn.IFS(A750&lt;=25,"18-25", A750&lt;=35,"26-35", A750&lt;=45,"36-45", A750&lt;=55,"46-55", A750&lt;=64,"56-64")</f>
        <v>46-55</v>
      </c>
      <c r="C750" t="s">
        <v>7</v>
      </c>
      <c r="D750">
        <v>36</v>
      </c>
      <c r="E750">
        <v>1</v>
      </c>
      <c r="F750" t="s">
        <v>11</v>
      </c>
      <c r="G750" t="s">
        <v>52</v>
      </c>
      <c r="H750" s="2">
        <v>8556.9069999999992</v>
      </c>
      <c r="I750" s="2">
        <f t="shared" si="77"/>
        <v>4278.4534999999996</v>
      </c>
      <c r="J750" t="str">
        <f t="shared" si="78"/>
        <v>Low</v>
      </c>
      <c r="K750" s="1">
        <f t="shared" si="79"/>
        <v>0.45900000000000002</v>
      </c>
      <c r="L750" t="str">
        <f t="shared" si="80"/>
        <v>Obese</v>
      </c>
      <c r="M750" t="str">
        <f t="shared" si="81"/>
        <v>Standard</v>
      </c>
      <c r="N750" t="str">
        <f t="shared" si="82"/>
        <v>Tier 3</v>
      </c>
      <c r="O750">
        <f t="shared" si="83"/>
        <v>2</v>
      </c>
    </row>
    <row r="751" spans="1:15" x14ac:dyDescent="0.2">
      <c r="A751">
        <v>28</v>
      </c>
      <c r="B751" t="str" cm="1">
        <f t="array" ref="B751">_xlfn.IFS(A751&lt;=25,"18-25", A751&lt;=35,"26-35", A751&lt;=45,"36-45", A751&lt;=55,"46-55", A751&lt;=64,"56-64")</f>
        <v>26-35</v>
      </c>
      <c r="C751" t="s">
        <v>10</v>
      </c>
      <c r="D751">
        <v>30.875</v>
      </c>
      <c r="E751">
        <v>0</v>
      </c>
      <c r="F751" t="s">
        <v>11</v>
      </c>
      <c r="G751" t="s">
        <v>54</v>
      </c>
      <c r="H751" s="2">
        <v>3062.5082499999999</v>
      </c>
      <c r="I751" s="2">
        <f t="shared" si="77"/>
        <v>3062.5082499999999</v>
      </c>
      <c r="J751" t="str">
        <f t="shared" si="78"/>
        <v>Low</v>
      </c>
      <c r="K751" s="1">
        <f t="shared" si="79"/>
        <v>0.14499999999999999</v>
      </c>
      <c r="L751" t="str">
        <f t="shared" si="80"/>
        <v>Obese</v>
      </c>
      <c r="M751" t="str">
        <f t="shared" si="81"/>
        <v>Standard</v>
      </c>
      <c r="N751" t="str">
        <f t="shared" si="82"/>
        <v>Tier 4</v>
      </c>
      <c r="O751">
        <f t="shared" si="83"/>
        <v>2</v>
      </c>
    </row>
    <row r="752" spans="1:15" x14ac:dyDescent="0.2">
      <c r="A752">
        <v>37</v>
      </c>
      <c r="B752" t="str" cm="1">
        <f t="array" ref="B752">_xlfn.IFS(A752&lt;=25,"18-25", A752&lt;=35,"26-35", A752&lt;=45,"36-45", A752&lt;=55,"46-55", A752&lt;=64,"56-64")</f>
        <v>36-45</v>
      </c>
      <c r="C752" t="s">
        <v>7</v>
      </c>
      <c r="D752">
        <v>26.4</v>
      </c>
      <c r="E752">
        <v>0</v>
      </c>
      <c r="F752" t="s">
        <v>8</v>
      </c>
      <c r="G752" t="s">
        <v>51</v>
      </c>
      <c r="H752" s="2">
        <v>19539.242999999999</v>
      </c>
      <c r="I752" s="2">
        <f t="shared" si="77"/>
        <v>19539.242999999999</v>
      </c>
      <c r="J752" t="str">
        <f t="shared" si="78"/>
        <v>High</v>
      </c>
      <c r="K752" s="1">
        <f t="shared" si="79"/>
        <v>0.79</v>
      </c>
      <c r="L752" t="str">
        <f t="shared" si="80"/>
        <v>Overweight</v>
      </c>
      <c r="M752" t="str">
        <f t="shared" si="81"/>
        <v>High Risk</v>
      </c>
      <c r="N752" t="str">
        <f t="shared" si="82"/>
        <v>Tier 1</v>
      </c>
      <c r="O752">
        <f t="shared" si="83"/>
        <v>5</v>
      </c>
    </row>
    <row r="753" spans="1:15" x14ac:dyDescent="0.2">
      <c r="A753">
        <v>21</v>
      </c>
      <c r="B753" t="str" cm="1">
        <f t="array" ref="B753">_xlfn.IFS(A753&lt;=25,"18-25", A753&lt;=35,"26-35", A753&lt;=45,"36-45", A753&lt;=55,"46-55", A753&lt;=64,"56-64")</f>
        <v>18-25</v>
      </c>
      <c r="C753" t="s">
        <v>10</v>
      </c>
      <c r="D753">
        <v>28.975000000000001</v>
      </c>
      <c r="E753">
        <v>0</v>
      </c>
      <c r="F753" t="s">
        <v>11</v>
      </c>
      <c r="G753" t="s">
        <v>54</v>
      </c>
      <c r="H753" s="2">
        <v>1906.35825</v>
      </c>
      <c r="I753" s="2">
        <f t="shared" si="77"/>
        <v>1906.35825</v>
      </c>
      <c r="J753" t="str">
        <f t="shared" si="78"/>
        <v>Low</v>
      </c>
      <c r="K753" s="1">
        <f t="shared" si="79"/>
        <v>5.8999999999999997E-2</v>
      </c>
      <c r="L753" t="str">
        <f t="shared" si="80"/>
        <v>Overweight</v>
      </c>
      <c r="M753" t="str">
        <f t="shared" si="81"/>
        <v>Standard</v>
      </c>
      <c r="N753" t="str">
        <f t="shared" si="82"/>
        <v>Tier 4</v>
      </c>
      <c r="O753">
        <f t="shared" si="83"/>
        <v>1</v>
      </c>
    </row>
    <row r="754" spans="1:15" x14ac:dyDescent="0.2">
      <c r="A754">
        <v>64</v>
      </c>
      <c r="B754" t="str" cm="1">
        <f t="array" ref="B754">_xlfn.IFS(A754&lt;=25,"18-25", A754&lt;=35,"26-35", A754&lt;=45,"36-45", A754&lt;=55,"46-55", A754&lt;=64,"56-64")</f>
        <v>56-64</v>
      </c>
      <c r="C754" t="s">
        <v>10</v>
      </c>
      <c r="D754">
        <v>37.905000000000001</v>
      </c>
      <c r="E754">
        <v>0</v>
      </c>
      <c r="F754" t="s">
        <v>11</v>
      </c>
      <c r="G754" t="s">
        <v>54</v>
      </c>
      <c r="H754" s="2">
        <v>14210.53595</v>
      </c>
      <c r="I754" s="2">
        <f t="shared" si="77"/>
        <v>14210.53595</v>
      </c>
      <c r="J754" t="str">
        <f t="shared" si="78"/>
        <v>High</v>
      </c>
      <c r="K754" s="1">
        <f t="shared" si="79"/>
        <v>0.71299999999999997</v>
      </c>
      <c r="L754" t="str">
        <f t="shared" si="80"/>
        <v>Obese</v>
      </c>
      <c r="M754" t="str">
        <f t="shared" si="81"/>
        <v>Standard</v>
      </c>
      <c r="N754" t="str">
        <f t="shared" si="82"/>
        <v>Tier 4</v>
      </c>
      <c r="O754">
        <f t="shared" si="83"/>
        <v>2</v>
      </c>
    </row>
    <row r="755" spans="1:15" x14ac:dyDescent="0.2">
      <c r="A755">
        <v>58</v>
      </c>
      <c r="B755" t="str" cm="1">
        <f t="array" ref="B755">_xlfn.IFS(A755&lt;=25,"18-25", A755&lt;=35,"26-35", A755&lt;=45,"36-45", A755&lt;=55,"46-55", A755&lt;=64,"56-64")</f>
        <v>56-64</v>
      </c>
      <c r="C755" t="s">
        <v>7</v>
      </c>
      <c r="D755">
        <v>22.77</v>
      </c>
      <c r="E755">
        <v>0</v>
      </c>
      <c r="F755" t="s">
        <v>11</v>
      </c>
      <c r="G755" t="s">
        <v>51</v>
      </c>
      <c r="H755" s="2">
        <v>11833.782300000001</v>
      </c>
      <c r="I755" s="2">
        <f t="shared" si="77"/>
        <v>11833.782300000001</v>
      </c>
      <c r="J755" t="str">
        <f t="shared" si="78"/>
        <v>Low</v>
      </c>
      <c r="K755" s="1">
        <f t="shared" si="79"/>
        <v>0.62</v>
      </c>
      <c r="L755" t="str">
        <f t="shared" si="80"/>
        <v>Normal</v>
      </c>
      <c r="M755" t="str">
        <f t="shared" si="81"/>
        <v>Standard</v>
      </c>
      <c r="N755" t="str">
        <f t="shared" si="82"/>
        <v>Tier 1</v>
      </c>
      <c r="O755">
        <f t="shared" si="83"/>
        <v>1</v>
      </c>
    </row>
    <row r="756" spans="1:15" x14ac:dyDescent="0.2">
      <c r="A756">
        <v>24</v>
      </c>
      <c r="B756" t="str" cm="1">
        <f t="array" ref="B756">_xlfn.IFS(A756&lt;=25,"18-25", A756&lt;=35,"26-35", A756&lt;=45,"36-45", A756&lt;=55,"46-55", A756&lt;=64,"56-64")</f>
        <v>18-25</v>
      </c>
      <c r="C756" t="s">
        <v>10</v>
      </c>
      <c r="D756">
        <v>33.630000000000003</v>
      </c>
      <c r="E756">
        <v>4</v>
      </c>
      <c r="F756" t="s">
        <v>11</v>
      </c>
      <c r="G756" t="s">
        <v>53</v>
      </c>
      <c r="H756" s="2">
        <v>17128.426080000001</v>
      </c>
      <c r="I756" s="2">
        <f t="shared" si="77"/>
        <v>3425.6852160000003</v>
      </c>
      <c r="J756" t="str">
        <f t="shared" si="78"/>
        <v>High</v>
      </c>
      <c r="K756" s="1">
        <f t="shared" si="79"/>
        <v>0.755</v>
      </c>
      <c r="L756" t="str">
        <f t="shared" si="80"/>
        <v>Obese</v>
      </c>
      <c r="M756" t="str">
        <f t="shared" si="81"/>
        <v>Standard</v>
      </c>
      <c r="N756" t="str">
        <f t="shared" si="82"/>
        <v>Tier 2</v>
      </c>
      <c r="O756">
        <f t="shared" si="83"/>
        <v>2</v>
      </c>
    </row>
    <row r="757" spans="1:15" x14ac:dyDescent="0.2">
      <c r="A757">
        <v>31</v>
      </c>
      <c r="B757" t="str" cm="1">
        <f t="array" ref="B757">_xlfn.IFS(A757&lt;=25,"18-25", A757&lt;=35,"26-35", A757&lt;=45,"36-45", A757&lt;=55,"46-55", A757&lt;=64,"56-64")</f>
        <v>26-35</v>
      </c>
      <c r="C757" t="s">
        <v>10</v>
      </c>
      <c r="D757">
        <v>27.645</v>
      </c>
      <c r="E757">
        <v>2</v>
      </c>
      <c r="F757" t="s">
        <v>11</v>
      </c>
      <c r="G757" t="s">
        <v>53</v>
      </c>
      <c r="H757" s="2">
        <v>5031.26955</v>
      </c>
      <c r="I757" s="2">
        <f t="shared" si="77"/>
        <v>1677.0898500000001</v>
      </c>
      <c r="J757" t="str">
        <f t="shared" si="78"/>
        <v>Low</v>
      </c>
      <c r="K757" s="1">
        <f t="shared" si="79"/>
        <v>0.27100000000000002</v>
      </c>
      <c r="L757" t="str">
        <f t="shared" si="80"/>
        <v>Overweight</v>
      </c>
      <c r="M757" t="str">
        <f t="shared" si="81"/>
        <v>Standard</v>
      </c>
      <c r="N757" t="str">
        <f t="shared" si="82"/>
        <v>Tier 2</v>
      </c>
      <c r="O757">
        <f t="shared" si="83"/>
        <v>1</v>
      </c>
    </row>
    <row r="758" spans="1:15" x14ac:dyDescent="0.2">
      <c r="A758">
        <v>39</v>
      </c>
      <c r="B758" t="str" cm="1">
        <f t="array" ref="B758">_xlfn.IFS(A758&lt;=25,"18-25", A758&lt;=35,"26-35", A758&lt;=45,"36-45", A758&lt;=55,"46-55", A758&lt;=64,"56-64")</f>
        <v>36-45</v>
      </c>
      <c r="C758" t="s">
        <v>7</v>
      </c>
      <c r="D758">
        <v>22.8</v>
      </c>
      <c r="E758">
        <v>3</v>
      </c>
      <c r="F758" t="s">
        <v>11</v>
      </c>
      <c r="G758" t="s">
        <v>53</v>
      </c>
      <c r="H758" s="2">
        <v>7985.8149999999996</v>
      </c>
      <c r="I758" s="2">
        <f t="shared" si="77"/>
        <v>1996.4537499999999</v>
      </c>
      <c r="J758" t="str">
        <f t="shared" si="78"/>
        <v>Low</v>
      </c>
      <c r="K758" s="1">
        <f t="shared" si="79"/>
        <v>0.42399999999999999</v>
      </c>
      <c r="L758" t="str">
        <f t="shared" si="80"/>
        <v>Normal</v>
      </c>
      <c r="M758" t="str">
        <f t="shared" si="81"/>
        <v>Standard</v>
      </c>
      <c r="N758" t="str">
        <f t="shared" si="82"/>
        <v>Tier 2</v>
      </c>
      <c r="O758">
        <f t="shared" si="83"/>
        <v>0</v>
      </c>
    </row>
    <row r="759" spans="1:15" x14ac:dyDescent="0.2">
      <c r="A759">
        <v>47</v>
      </c>
      <c r="B759" t="str" cm="1">
        <f t="array" ref="B759">_xlfn.IFS(A759&lt;=25,"18-25", A759&lt;=35,"26-35", A759&lt;=45,"36-45", A759&lt;=55,"46-55", A759&lt;=64,"56-64")</f>
        <v>46-55</v>
      </c>
      <c r="C759" t="s">
        <v>7</v>
      </c>
      <c r="D759">
        <v>27.83</v>
      </c>
      <c r="E759">
        <v>0</v>
      </c>
      <c r="F759" t="s">
        <v>8</v>
      </c>
      <c r="G759" t="s">
        <v>51</v>
      </c>
      <c r="H759" s="2">
        <v>23065.420699999999</v>
      </c>
      <c r="I759" s="2">
        <f t="shared" si="77"/>
        <v>23065.420699999999</v>
      </c>
      <c r="J759" t="str">
        <f t="shared" si="78"/>
        <v>High</v>
      </c>
      <c r="K759" s="1">
        <f t="shared" si="79"/>
        <v>0.82899999999999996</v>
      </c>
      <c r="L759" t="str">
        <f t="shared" si="80"/>
        <v>Overweight</v>
      </c>
      <c r="M759" t="str">
        <f t="shared" si="81"/>
        <v>High Risk</v>
      </c>
      <c r="N759" t="str">
        <f t="shared" si="82"/>
        <v>Tier 1</v>
      </c>
      <c r="O759">
        <f t="shared" si="83"/>
        <v>5</v>
      </c>
    </row>
    <row r="760" spans="1:15" x14ac:dyDescent="0.2">
      <c r="A760">
        <v>30</v>
      </c>
      <c r="B760" t="str" cm="1">
        <f t="array" ref="B760">_xlfn.IFS(A760&lt;=25,"18-25", A760&lt;=35,"26-35", A760&lt;=45,"36-45", A760&lt;=55,"46-55", A760&lt;=64,"56-64")</f>
        <v>26-35</v>
      </c>
      <c r="C760" t="s">
        <v>10</v>
      </c>
      <c r="D760">
        <v>37.43</v>
      </c>
      <c r="E760">
        <v>3</v>
      </c>
      <c r="F760" t="s">
        <v>11</v>
      </c>
      <c r="G760" t="s">
        <v>53</v>
      </c>
      <c r="H760" s="2">
        <v>5428.7277000000004</v>
      </c>
      <c r="I760" s="2">
        <f t="shared" si="77"/>
        <v>1357.1819250000001</v>
      </c>
      <c r="J760" t="str">
        <f t="shared" si="78"/>
        <v>Low</v>
      </c>
      <c r="K760" s="1">
        <f t="shared" si="79"/>
        <v>0.29499999999999998</v>
      </c>
      <c r="L760" t="str">
        <f t="shared" si="80"/>
        <v>Obese</v>
      </c>
      <c r="M760" t="str">
        <f t="shared" si="81"/>
        <v>Standard</v>
      </c>
      <c r="N760" t="str">
        <f t="shared" si="82"/>
        <v>Tier 2</v>
      </c>
      <c r="O760">
        <f t="shared" si="83"/>
        <v>2</v>
      </c>
    </row>
    <row r="761" spans="1:15" x14ac:dyDescent="0.2">
      <c r="A761">
        <v>18</v>
      </c>
      <c r="B761" t="str" cm="1">
        <f t="array" ref="B761">_xlfn.IFS(A761&lt;=25,"18-25", A761&lt;=35,"26-35", A761&lt;=45,"36-45", A761&lt;=55,"46-55", A761&lt;=64,"56-64")</f>
        <v>18-25</v>
      </c>
      <c r="C761" t="s">
        <v>10</v>
      </c>
      <c r="D761">
        <v>38.17</v>
      </c>
      <c r="E761">
        <v>0</v>
      </c>
      <c r="F761" t="s">
        <v>8</v>
      </c>
      <c r="G761" t="s">
        <v>51</v>
      </c>
      <c r="H761" s="2">
        <v>36307.798300000002</v>
      </c>
      <c r="I761" s="2">
        <f t="shared" si="77"/>
        <v>36307.798300000002</v>
      </c>
      <c r="J761" t="str">
        <f t="shared" si="78"/>
        <v>High</v>
      </c>
      <c r="K761" s="1">
        <f t="shared" si="79"/>
        <v>0.91</v>
      </c>
      <c r="L761" t="str">
        <f t="shared" si="80"/>
        <v>Obese</v>
      </c>
      <c r="M761" t="str">
        <f t="shared" si="81"/>
        <v>High Risk</v>
      </c>
      <c r="N761" t="str">
        <f t="shared" si="82"/>
        <v>Tier 1</v>
      </c>
      <c r="O761">
        <f t="shared" si="83"/>
        <v>6</v>
      </c>
    </row>
    <row r="762" spans="1:15" x14ac:dyDescent="0.2">
      <c r="A762">
        <v>22</v>
      </c>
      <c r="B762" t="str" cm="1">
        <f t="array" ref="B762">_xlfn.IFS(A762&lt;=25,"18-25", A762&lt;=35,"26-35", A762&lt;=45,"36-45", A762&lt;=55,"46-55", A762&lt;=64,"56-64")</f>
        <v>18-25</v>
      </c>
      <c r="C762" t="s">
        <v>7</v>
      </c>
      <c r="D762">
        <v>34.58</v>
      </c>
      <c r="E762">
        <v>2</v>
      </c>
      <c r="F762" t="s">
        <v>11</v>
      </c>
      <c r="G762" t="s">
        <v>53</v>
      </c>
      <c r="H762" s="2">
        <v>3925.7582000000002</v>
      </c>
      <c r="I762" s="2">
        <f t="shared" si="77"/>
        <v>1308.5860666666667</v>
      </c>
      <c r="J762" t="str">
        <f t="shared" si="78"/>
        <v>Low</v>
      </c>
      <c r="K762" s="1">
        <f t="shared" si="79"/>
        <v>0.193</v>
      </c>
      <c r="L762" t="str">
        <f t="shared" si="80"/>
        <v>Obese</v>
      </c>
      <c r="M762" t="str">
        <f t="shared" si="81"/>
        <v>Standard</v>
      </c>
      <c r="N762" t="str">
        <f t="shared" si="82"/>
        <v>Tier 2</v>
      </c>
      <c r="O762">
        <f t="shared" si="83"/>
        <v>2</v>
      </c>
    </row>
    <row r="763" spans="1:15" x14ac:dyDescent="0.2">
      <c r="A763">
        <v>23</v>
      </c>
      <c r="B763" t="str" cm="1">
        <f t="array" ref="B763">_xlfn.IFS(A763&lt;=25,"18-25", A763&lt;=35,"26-35", A763&lt;=45,"36-45", A763&lt;=55,"46-55", A763&lt;=64,"56-64")</f>
        <v>18-25</v>
      </c>
      <c r="C763" t="s">
        <v>10</v>
      </c>
      <c r="D763">
        <v>35.200000000000003</v>
      </c>
      <c r="E763">
        <v>1</v>
      </c>
      <c r="F763" t="s">
        <v>11</v>
      </c>
      <c r="G763" t="s">
        <v>52</v>
      </c>
      <c r="H763" s="2">
        <v>2416.9549999999999</v>
      </c>
      <c r="I763" s="2">
        <f t="shared" si="77"/>
        <v>1208.4775</v>
      </c>
      <c r="J763" t="str">
        <f t="shared" si="78"/>
        <v>Low</v>
      </c>
      <c r="K763" s="1">
        <f t="shared" si="79"/>
        <v>0.10299999999999999</v>
      </c>
      <c r="L763" t="str">
        <f t="shared" si="80"/>
        <v>Obese</v>
      </c>
      <c r="M763" t="str">
        <f t="shared" si="81"/>
        <v>Standard</v>
      </c>
      <c r="N763" t="str">
        <f t="shared" si="82"/>
        <v>Tier 3</v>
      </c>
      <c r="O763">
        <f t="shared" si="83"/>
        <v>2</v>
      </c>
    </row>
    <row r="764" spans="1:15" x14ac:dyDescent="0.2">
      <c r="A764">
        <v>33</v>
      </c>
      <c r="B764" t="str" cm="1">
        <f t="array" ref="B764">_xlfn.IFS(A764&lt;=25,"18-25", A764&lt;=35,"26-35", A764&lt;=45,"36-45", A764&lt;=55,"46-55", A764&lt;=64,"56-64")</f>
        <v>26-35</v>
      </c>
      <c r="C764" t="s">
        <v>10</v>
      </c>
      <c r="D764">
        <v>27.1</v>
      </c>
      <c r="E764">
        <v>1</v>
      </c>
      <c r="F764" t="s">
        <v>8</v>
      </c>
      <c r="G764" t="s">
        <v>52</v>
      </c>
      <c r="H764" s="2">
        <v>19040.876</v>
      </c>
      <c r="I764" s="2">
        <f t="shared" si="77"/>
        <v>9520.4380000000001</v>
      </c>
      <c r="J764" t="str">
        <f t="shared" si="78"/>
        <v>High</v>
      </c>
      <c r="K764" s="1">
        <f t="shared" si="79"/>
        <v>0.78100000000000003</v>
      </c>
      <c r="L764" t="str">
        <f t="shared" si="80"/>
        <v>Overweight</v>
      </c>
      <c r="M764" t="str">
        <f t="shared" si="81"/>
        <v>High Risk</v>
      </c>
      <c r="N764" t="str">
        <f t="shared" si="82"/>
        <v>Tier 3</v>
      </c>
      <c r="O764">
        <f t="shared" si="83"/>
        <v>4</v>
      </c>
    </row>
    <row r="765" spans="1:15" x14ac:dyDescent="0.2">
      <c r="A765">
        <v>27</v>
      </c>
      <c r="B765" t="str" cm="1">
        <f t="array" ref="B765">_xlfn.IFS(A765&lt;=25,"18-25", A765&lt;=35,"26-35", A765&lt;=45,"36-45", A765&lt;=55,"46-55", A765&lt;=64,"56-64")</f>
        <v>26-35</v>
      </c>
      <c r="C765" t="s">
        <v>10</v>
      </c>
      <c r="D765">
        <v>26.03</v>
      </c>
      <c r="E765">
        <v>0</v>
      </c>
      <c r="F765" t="s">
        <v>11</v>
      </c>
      <c r="G765" t="s">
        <v>53</v>
      </c>
      <c r="H765" s="2">
        <v>3070.8087</v>
      </c>
      <c r="I765" s="2">
        <f t="shared" si="77"/>
        <v>3070.8087</v>
      </c>
      <c r="J765" t="str">
        <f t="shared" si="78"/>
        <v>Low</v>
      </c>
      <c r="K765" s="1">
        <f t="shared" si="79"/>
        <v>0.14599999999999999</v>
      </c>
      <c r="L765" t="str">
        <f t="shared" si="80"/>
        <v>Overweight</v>
      </c>
      <c r="M765" t="str">
        <f t="shared" si="81"/>
        <v>Standard</v>
      </c>
      <c r="N765" t="str">
        <f t="shared" si="82"/>
        <v>Tier 2</v>
      </c>
      <c r="O765">
        <f t="shared" si="83"/>
        <v>1</v>
      </c>
    </row>
    <row r="766" spans="1:15" x14ac:dyDescent="0.2">
      <c r="A766">
        <v>45</v>
      </c>
      <c r="B766" t="str" cm="1">
        <f t="array" ref="B766">_xlfn.IFS(A766&lt;=25,"18-25", A766&lt;=35,"26-35", A766&lt;=45,"36-45", A766&lt;=55,"46-55", A766&lt;=64,"56-64")</f>
        <v>36-45</v>
      </c>
      <c r="C766" t="s">
        <v>7</v>
      </c>
      <c r="D766">
        <v>25.175000000000001</v>
      </c>
      <c r="E766">
        <v>2</v>
      </c>
      <c r="F766" t="s">
        <v>11</v>
      </c>
      <c r="G766" t="s">
        <v>53</v>
      </c>
      <c r="H766" s="2">
        <v>9095.0682500000003</v>
      </c>
      <c r="I766" s="2">
        <f t="shared" si="77"/>
        <v>3031.6894166666666</v>
      </c>
      <c r="J766" t="str">
        <f t="shared" si="78"/>
        <v>Low</v>
      </c>
      <c r="K766" s="1">
        <f t="shared" si="79"/>
        <v>0.48599999999999999</v>
      </c>
      <c r="L766" t="str">
        <f t="shared" si="80"/>
        <v>Overweight</v>
      </c>
      <c r="M766" t="str">
        <f t="shared" si="81"/>
        <v>Standard</v>
      </c>
      <c r="N766" t="str">
        <f t="shared" si="82"/>
        <v>Tier 2</v>
      </c>
      <c r="O766">
        <f t="shared" si="83"/>
        <v>1</v>
      </c>
    </row>
    <row r="767" spans="1:15" x14ac:dyDescent="0.2">
      <c r="A767">
        <v>57</v>
      </c>
      <c r="B767" t="str" cm="1">
        <f t="array" ref="B767">_xlfn.IFS(A767&lt;=25,"18-25", A767&lt;=35,"26-35", A767&lt;=45,"36-45", A767&lt;=55,"46-55", A767&lt;=64,"56-64")</f>
        <v>56-64</v>
      </c>
      <c r="C767" t="s">
        <v>7</v>
      </c>
      <c r="D767">
        <v>31.824999999999999</v>
      </c>
      <c r="E767">
        <v>0</v>
      </c>
      <c r="F767" t="s">
        <v>11</v>
      </c>
      <c r="G767" t="s">
        <v>54</v>
      </c>
      <c r="H767" s="2">
        <v>11842.623750000001</v>
      </c>
      <c r="I767" s="2">
        <f t="shared" si="77"/>
        <v>11842.623750000001</v>
      </c>
      <c r="J767" t="str">
        <f t="shared" si="78"/>
        <v>Low</v>
      </c>
      <c r="K767" s="1">
        <f t="shared" si="79"/>
        <v>0.623</v>
      </c>
      <c r="L767" t="str">
        <f t="shared" si="80"/>
        <v>Obese</v>
      </c>
      <c r="M767" t="str">
        <f t="shared" si="81"/>
        <v>Standard</v>
      </c>
      <c r="N767" t="str">
        <f t="shared" si="82"/>
        <v>Tier 4</v>
      </c>
      <c r="O767">
        <f t="shared" si="83"/>
        <v>2</v>
      </c>
    </row>
    <row r="768" spans="1:15" x14ac:dyDescent="0.2">
      <c r="A768">
        <v>47</v>
      </c>
      <c r="B768" t="str" cm="1">
        <f t="array" ref="B768">_xlfn.IFS(A768&lt;=25,"18-25", A768&lt;=35,"26-35", A768&lt;=45,"36-45", A768&lt;=55,"46-55", A768&lt;=64,"56-64")</f>
        <v>46-55</v>
      </c>
      <c r="C768" t="s">
        <v>10</v>
      </c>
      <c r="D768">
        <v>32.299999999999997</v>
      </c>
      <c r="E768">
        <v>1</v>
      </c>
      <c r="F768" t="s">
        <v>11</v>
      </c>
      <c r="G768" t="s">
        <v>52</v>
      </c>
      <c r="H768" s="2">
        <v>8062.7640000000001</v>
      </c>
      <c r="I768" s="2">
        <f t="shared" si="77"/>
        <v>4031.3820000000001</v>
      </c>
      <c r="J768" t="str">
        <f t="shared" si="78"/>
        <v>Low</v>
      </c>
      <c r="K768" s="1">
        <f t="shared" si="79"/>
        <v>0.43</v>
      </c>
      <c r="L768" t="str">
        <f t="shared" si="80"/>
        <v>Obese</v>
      </c>
      <c r="M768" t="str">
        <f t="shared" si="81"/>
        <v>Standard</v>
      </c>
      <c r="N768" t="str">
        <f t="shared" si="82"/>
        <v>Tier 3</v>
      </c>
      <c r="O768">
        <f t="shared" si="83"/>
        <v>2</v>
      </c>
    </row>
    <row r="769" spans="1:15" x14ac:dyDescent="0.2">
      <c r="A769">
        <v>42</v>
      </c>
      <c r="B769" t="str" cm="1">
        <f t="array" ref="B769">_xlfn.IFS(A769&lt;=25,"18-25", A769&lt;=35,"26-35", A769&lt;=45,"36-45", A769&lt;=55,"46-55", A769&lt;=64,"56-64")</f>
        <v>36-45</v>
      </c>
      <c r="C769" t="s">
        <v>7</v>
      </c>
      <c r="D769">
        <v>29</v>
      </c>
      <c r="E769">
        <v>1</v>
      </c>
      <c r="F769" t="s">
        <v>11</v>
      </c>
      <c r="G769" t="s">
        <v>52</v>
      </c>
      <c r="H769" s="2">
        <v>7050.6419999999998</v>
      </c>
      <c r="I769" s="2">
        <f t="shared" si="77"/>
        <v>3525.3209999999999</v>
      </c>
      <c r="J769" t="str">
        <f t="shared" si="78"/>
        <v>Low</v>
      </c>
      <c r="K769" s="1">
        <f t="shared" si="79"/>
        <v>0.377</v>
      </c>
      <c r="L769" t="str">
        <f t="shared" si="80"/>
        <v>Overweight</v>
      </c>
      <c r="M769" t="str">
        <f t="shared" si="81"/>
        <v>Standard</v>
      </c>
      <c r="N769" t="str">
        <f t="shared" si="82"/>
        <v>Tier 3</v>
      </c>
      <c r="O769">
        <f t="shared" si="83"/>
        <v>1</v>
      </c>
    </row>
    <row r="770" spans="1:15" x14ac:dyDescent="0.2">
      <c r="A770">
        <v>64</v>
      </c>
      <c r="B770" t="str" cm="1">
        <f t="array" ref="B770">_xlfn.IFS(A770&lt;=25,"18-25", A770&lt;=35,"26-35", A770&lt;=45,"36-45", A770&lt;=55,"46-55", A770&lt;=64,"56-64")</f>
        <v>56-64</v>
      </c>
      <c r="C770" t="s">
        <v>7</v>
      </c>
      <c r="D770">
        <v>39.700000000000003</v>
      </c>
      <c r="E770">
        <v>0</v>
      </c>
      <c r="F770" t="s">
        <v>11</v>
      </c>
      <c r="G770" t="s">
        <v>52</v>
      </c>
      <c r="H770" s="2">
        <v>14319.031000000001</v>
      </c>
      <c r="I770" s="2">
        <f t="shared" ref="I770:I833" si="84">H770/(E770+1)</f>
        <v>14319.031000000001</v>
      </c>
      <c r="J770" t="str">
        <f t="shared" ref="J770:J833" si="85">IF(H770&gt;AVERAGE($H$2:$H$1339),"High","Low")</f>
        <v>High</v>
      </c>
      <c r="K770" s="1">
        <f t="shared" ref="K770:K833" si="86">PERCENTRANK($H$2:$H$1339,H770)</f>
        <v>0.71799999999999997</v>
      </c>
      <c r="L770" t="str">
        <f t="shared" ref="L770:L833" si="87">IF(D770&lt;18.5,"Underweight",IF(D770&lt;25,"Normal",IF(D770&lt;30,"Overweight","Obese")))</f>
        <v>Obese</v>
      </c>
      <c r="M770" t="str">
        <f t="shared" ref="M770:M833" si="88">IF(F770="yes","High Risk","Standard")</f>
        <v>Standard</v>
      </c>
      <c r="N770" t="str">
        <f t="shared" ref="N770:N833" si="89">IF(G770="southeast","Tier 1",IF(G770="northeast","Tier 2",IF(G770="southwest","Tier 3","Tier 4")))</f>
        <v>Tier 3</v>
      </c>
      <c r="O770">
        <f t="shared" ref="O770:O833" si="90">IF(F770="yes",3,0)+IF(D770&gt;=30,2,IF(D770&gt;=25,1,0))+IF(G770="southeast",1,0)</f>
        <v>2</v>
      </c>
    </row>
    <row r="771" spans="1:15" x14ac:dyDescent="0.2">
      <c r="A771">
        <v>38</v>
      </c>
      <c r="B771" t="str" cm="1">
        <f t="array" ref="B771">_xlfn.IFS(A771&lt;=25,"18-25", A771&lt;=35,"26-35", A771&lt;=45,"36-45", A771&lt;=55,"46-55", A771&lt;=64,"56-64")</f>
        <v>36-45</v>
      </c>
      <c r="C771" t="s">
        <v>7</v>
      </c>
      <c r="D771">
        <v>19.475000000000001</v>
      </c>
      <c r="E771">
        <v>2</v>
      </c>
      <c r="F771" t="s">
        <v>11</v>
      </c>
      <c r="G771" t="s">
        <v>54</v>
      </c>
      <c r="H771" s="2">
        <v>6933.2422500000002</v>
      </c>
      <c r="I771" s="2">
        <f t="shared" si="84"/>
        <v>2311.0807500000001</v>
      </c>
      <c r="J771" t="str">
        <f t="shared" si="85"/>
        <v>Low</v>
      </c>
      <c r="K771" s="1">
        <f t="shared" si="86"/>
        <v>0.371</v>
      </c>
      <c r="L771" t="str">
        <f t="shared" si="87"/>
        <v>Normal</v>
      </c>
      <c r="M771" t="str">
        <f t="shared" si="88"/>
        <v>Standard</v>
      </c>
      <c r="N771" t="str">
        <f t="shared" si="89"/>
        <v>Tier 4</v>
      </c>
      <c r="O771">
        <f t="shared" si="90"/>
        <v>0</v>
      </c>
    </row>
    <row r="772" spans="1:15" x14ac:dyDescent="0.2">
      <c r="A772">
        <v>61</v>
      </c>
      <c r="B772" t="str" cm="1">
        <f t="array" ref="B772">_xlfn.IFS(A772&lt;=25,"18-25", A772&lt;=35,"26-35", A772&lt;=45,"36-45", A772&lt;=55,"46-55", A772&lt;=64,"56-64")</f>
        <v>56-64</v>
      </c>
      <c r="C772" t="s">
        <v>10</v>
      </c>
      <c r="D772">
        <v>36.1</v>
      </c>
      <c r="E772">
        <v>3</v>
      </c>
      <c r="F772" t="s">
        <v>11</v>
      </c>
      <c r="G772" t="s">
        <v>52</v>
      </c>
      <c r="H772" s="2">
        <v>27941.28758</v>
      </c>
      <c r="I772" s="2">
        <f t="shared" si="84"/>
        <v>6985.321895</v>
      </c>
      <c r="J772" t="str">
        <f t="shared" si="85"/>
        <v>High</v>
      </c>
      <c r="K772" s="1">
        <f t="shared" si="86"/>
        <v>0.86899999999999999</v>
      </c>
      <c r="L772" t="str">
        <f t="shared" si="87"/>
        <v>Obese</v>
      </c>
      <c r="M772" t="str">
        <f t="shared" si="88"/>
        <v>Standard</v>
      </c>
      <c r="N772" t="str">
        <f t="shared" si="89"/>
        <v>Tier 3</v>
      </c>
      <c r="O772">
        <f t="shared" si="90"/>
        <v>2</v>
      </c>
    </row>
    <row r="773" spans="1:15" x14ac:dyDescent="0.2">
      <c r="A773">
        <v>53</v>
      </c>
      <c r="B773" t="str" cm="1">
        <f t="array" ref="B773">_xlfn.IFS(A773&lt;=25,"18-25", A773&lt;=35,"26-35", A773&lt;=45,"36-45", A773&lt;=55,"46-55", A773&lt;=64,"56-64")</f>
        <v>46-55</v>
      </c>
      <c r="C773" t="s">
        <v>7</v>
      </c>
      <c r="D773">
        <v>26.7</v>
      </c>
      <c r="E773">
        <v>2</v>
      </c>
      <c r="F773" t="s">
        <v>11</v>
      </c>
      <c r="G773" t="s">
        <v>52</v>
      </c>
      <c r="H773" s="2">
        <v>11150.78</v>
      </c>
      <c r="I773" s="2">
        <f t="shared" si="84"/>
        <v>3716.9266666666667</v>
      </c>
      <c r="J773" t="str">
        <f t="shared" si="85"/>
        <v>Low</v>
      </c>
      <c r="K773" s="1">
        <f t="shared" si="86"/>
        <v>0.58399999999999996</v>
      </c>
      <c r="L773" t="str">
        <f t="shared" si="87"/>
        <v>Overweight</v>
      </c>
      <c r="M773" t="str">
        <f t="shared" si="88"/>
        <v>Standard</v>
      </c>
      <c r="N773" t="str">
        <f t="shared" si="89"/>
        <v>Tier 3</v>
      </c>
      <c r="O773">
        <f t="shared" si="90"/>
        <v>1</v>
      </c>
    </row>
    <row r="774" spans="1:15" x14ac:dyDescent="0.2">
      <c r="A774">
        <v>44</v>
      </c>
      <c r="B774" t="str" cm="1">
        <f t="array" ref="B774">_xlfn.IFS(A774&lt;=25,"18-25", A774&lt;=35,"26-35", A774&lt;=45,"36-45", A774&lt;=55,"46-55", A774&lt;=64,"56-64")</f>
        <v>36-45</v>
      </c>
      <c r="C774" t="s">
        <v>7</v>
      </c>
      <c r="D774">
        <v>36.479999999999997</v>
      </c>
      <c r="E774">
        <v>0</v>
      </c>
      <c r="F774" t="s">
        <v>11</v>
      </c>
      <c r="G774" t="s">
        <v>53</v>
      </c>
      <c r="H774" s="2">
        <v>12797.20962</v>
      </c>
      <c r="I774" s="2">
        <f t="shared" si="84"/>
        <v>12797.20962</v>
      </c>
      <c r="J774" t="str">
        <f t="shared" si="85"/>
        <v>Low</v>
      </c>
      <c r="K774" s="1">
        <f t="shared" si="86"/>
        <v>0.66500000000000004</v>
      </c>
      <c r="L774" t="str">
        <f t="shared" si="87"/>
        <v>Obese</v>
      </c>
      <c r="M774" t="str">
        <f t="shared" si="88"/>
        <v>Standard</v>
      </c>
      <c r="N774" t="str">
        <f t="shared" si="89"/>
        <v>Tier 2</v>
      </c>
      <c r="O774">
        <f t="shared" si="90"/>
        <v>2</v>
      </c>
    </row>
    <row r="775" spans="1:15" x14ac:dyDescent="0.2">
      <c r="A775">
        <v>19</v>
      </c>
      <c r="B775" t="str" cm="1">
        <f t="array" ref="B775">_xlfn.IFS(A775&lt;=25,"18-25", A775&lt;=35,"26-35", A775&lt;=45,"36-45", A775&lt;=55,"46-55", A775&lt;=64,"56-64")</f>
        <v>18-25</v>
      </c>
      <c r="C775" t="s">
        <v>7</v>
      </c>
      <c r="D775">
        <v>28.88</v>
      </c>
      <c r="E775">
        <v>0</v>
      </c>
      <c r="F775" t="s">
        <v>8</v>
      </c>
      <c r="G775" t="s">
        <v>54</v>
      </c>
      <c r="H775" s="2">
        <v>17748.5062</v>
      </c>
      <c r="I775" s="2">
        <f t="shared" si="84"/>
        <v>17748.5062</v>
      </c>
      <c r="J775" t="str">
        <f t="shared" si="85"/>
        <v>High</v>
      </c>
      <c r="K775" s="1">
        <f t="shared" si="86"/>
        <v>0.76200000000000001</v>
      </c>
      <c r="L775" t="str">
        <f t="shared" si="87"/>
        <v>Overweight</v>
      </c>
      <c r="M775" t="str">
        <f t="shared" si="88"/>
        <v>High Risk</v>
      </c>
      <c r="N775" t="str">
        <f t="shared" si="89"/>
        <v>Tier 4</v>
      </c>
      <c r="O775">
        <f t="shared" si="90"/>
        <v>4</v>
      </c>
    </row>
    <row r="776" spans="1:15" x14ac:dyDescent="0.2">
      <c r="A776">
        <v>41</v>
      </c>
      <c r="B776" t="str" cm="1">
        <f t="array" ref="B776">_xlfn.IFS(A776&lt;=25,"18-25", A776&lt;=35,"26-35", A776&lt;=45,"36-45", A776&lt;=55,"46-55", A776&lt;=64,"56-64")</f>
        <v>36-45</v>
      </c>
      <c r="C776" t="s">
        <v>10</v>
      </c>
      <c r="D776">
        <v>34.200000000000003</v>
      </c>
      <c r="E776">
        <v>2</v>
      </c>
      <c r="F776" t="s">
        <v>11</v>
      </c>
      <c r="G776" t="s">
        <v>54</v>
      </c>
      <c r="H776" s="2">
        <v>7261.741</v>
      </c>
      <c r="I776" s="2">
        <f t="shared" si="84"/>
        <v>2420.5803333333333</v>
      </c>
      <c r="J776" t="str">
        <f t="shared" si="85"/>
        <v>Low</v>
      </c>
      <c r="K776" s="1">
        <f t="shared" si="86"/>
        <v>0.39200000000000002</v>
      </c>
      <c r="L776" t="str">
        <f t="shared" si="87"/>
        <v>Obese</v>
      </c>
      <c r="M776" t="str">
        <f t="shared" si="88"/>
        <v>Standard</v>
      </c>
      <c r="N776" t="str">
        <f t="shared" si="89"/>
        <v>Tier 4</v>
      </c>
      <c r="O776">
        <f t="shared" si="90"/>
        <v>2</v>
      </c>
    </row>
    <row r="777" spans="1:15" x14ac:dyDescent="0.2">
      <c r="A777">
        <v>51</v>
      </c>
      <c r="B777" t="str" cm="1">
        <f t="array" ref="B777">_xlfn.IFS(A777&lt;=25,"18-25", A777&lt;=35,"26-35", A777&lt;=45,"36-45", A777&lt;=55,"46-55", A777&lt;=64,"56-64")</f>
        <v>46-55</v>
      </c>
      <c r="C777" t="s">
        <v>10</v>
      </c>
      <c r="D777">
        <v>33.33</v>
      </c>
      <c r="E777">
        <v>3</v>
      </c>
      <c r="F777" t="s">
        <v>11</v>
      </c>
      <c r="G777" t="s">
        <v>51</v>
      </c>
      <c r="H777" s="2">
        <v>10560.4917</v>
      </c>
      <c r="I777" s="2">
        <f t="shared" si="84"/>
        <v>2640.1229250000001</v>
      </c>
      <c r="J777" t="str">
        <f t="shared" si="85"/>
        <v>Low</v>
      </c>
      <c r="K777" s="1">
        <f t="shared" si="86"/>
        <v>0.55400000000000005</v>
      </c>
      <c r="L777" t="str">
        <f t="shared" si="87"/>
        <v>Obese</v>
      </c>
      <c r="M777" t="str">
        <f t="shared" si="88"/>
        <v>Standard</v>
      </c>
      <c r="N777" t="str">
        <f t="shared" si="89"/>
        <v>Tier 1</v>
      </c>
      <c r="O777">
        <f t="shared" si="90"/>
        <v>3</v>
      </c>
    </row>
    <row r="778" spans="1:15" x14ac:dyDescent="0.2">
      <c r="A778">
        <v>40</v>
      </c>
      <c r="B778" t="str" cm="1">
        <f t="array" ref="B778">_xlfn.IFS(A778&lt;=25,"18-25", A778&lt;=35,"26-35", A778&lt;=45,"36-45", A778&lt;=55,"46-55", A778&lt;=64,"56-64")</f>
        <v>36-45</v>
      </c>
      <c r="C778" t="s">
        <v>10</v>
      </c>
      <c r="D778">
        <v>32.299999999999997</v>
      </c>
      <c r="E778">
        <v>2</v>
      </c>
      <c r="F778" t="s">
        <v>11</v>
      </c>
      <c r="G778" t="s">
        <v>54</v>
      </c>
      <c r="H778" s="2">
        <v>6986.6970000000001</v>
      </c>
      <c r="I778" s="2">
        <f t="shared" si="84"/>
        <v>2328.8989999999999</v>
      </c>
      <c r="J778" t="str">
        <f t="shared" si="85"/>
        <v>Low</v>
      </c>
      <c r="K778" s="1">
        <f t="shared" si="86"/>
        <v>0.374</v>
      </c>
      <c r="L778" t="str">
        <f t="shared" si="87"/>
        <v>Obese</v>
      </c>
      <c r="M778" t="str">
        <f t="shared" si="88"/>
        <v>Standard</v>
      </c>
      <c r="N778" t="str">
        <f t="shared" si="89"/>
        <v>Tier 4</v>
      </c>
      <c r="O778">
        <f t="shared" si="90"/>
        <v>2</v>
      </c>
    </row>
    <row r="779" spans="1:15" x14ac:dyDescent="0.2">
      <c r="A779">
        <v>45</v>
      </c>
      <c r="B779" t="str" cm="1">
        <f t="array" ref="B779">_xlfn.IFS(A779&lt;=25,"18-25", A779&lt;=35,"26-35", A779&lt;=45,"36-45", A779&lt;=55,"46-55", A779&lt;=64,"56-64")</f>
        <v>36-45</v>
      </c>
      <c r="C779" t="s">
        <v>10</v>
      </c>
      <c r="D779">
        <v>39.805</v>
      </c>
      <c r="E779">
        <v>0</v>
      </c>
      <c r="F779" t="s">
        <v>11</v>
      </c>
      <c r="G779" t="s">
        <v>53</v>
      </c>
      <c r="H779" s="2">
        <v>7448.4039499999999</v>
      </c>
      <c r="I779" s="2">
        <f t="shared" si="84"/>
        <v>7448.4039499999999</v>
      </c>
      <c r="J779" t="str">
        <f t="shared" si="85"/>
        <v>Low</v>
      </c>
      <c r="K779" s="1">
        <f t="shared" si="86"/>
        <v>0.40600000000000003</v>
      </c>
      <c r="L779" t="str">
        <f t="shared" si="87"/>
        <v>Obese</v>
      </c>
      <c r="M779" t="str">
        <f t="shared" si="88"/>
        <v>Standard</v>
      </c>
      <c r="N779" t="str">
        <f t="shared" si="89"/>
        <v>Tier 2</v>
      </c>
      <c r="O779">
        <f t="shared" si="90"/>
        <v>2</v>
      </c>
    </row>
    <row r="780" spans="1:15" x14ac:dyDescent="0.2">
      <c r="A780">
        <v>35</v>
      </c>
      <c r="B780" t="str" cm="1">
        <f t="array" ref="B780">_xlfn.IFS(A780&lt;=25,"18-25", A780&lt;=35,"26-35", A780&lt;=45,"36-45", A780&lt;=55,"46-55", A780&lt;=64,"56-64")</f>
        <v>26-35</v>
      </c>
      <c r="C780" t="s">
        <v>10</v>
      </c>
      <c r="D780">
        <v>34.32</v>
      </c>
      <c r="E780">
        <v>3</v>
      </c>
      <c r="F780" t="s">
        <v>11</v>
      </c>
      <c r="G780" t="s">
        <v>51</v>
      </c>
      <c r="H780" s="2">
        <v>5934.3797999999997</v>
      </c>
      <c r="I780" s="2">
        <f t="shared" si="84"/>
        <v>1483.5949499999999</v>
      </c>
      <c r="J780" t="str">
        <f t="shared" si="85"/>
        <v>Low</v>
      </c>
      <c r="K780" s="1">
        <f t="shared" si="86"/>
        <v>0.314</v>
      </c>
      <c r="L780" t="str">
        <f t="shared" si="87"/>
        <v>Obese</v>
      </c>
      <c r="M780" t="str">
        <f t="shared" si="88"/>
        <v>Standard</v>
      </c>
      <c r="N780" t="str">
        <f t="shared" si="89"/>
        <v>Tier 1</v>
      </c>
      <c r="O780">
        <f t="shared" si="90"/>
        <v>3</v>
      </c>
    </row>
    <row r="781" spans="1:15" x14ac:dyDescent="0.2">
      <c r="A781">
        <v>53</v>
      </c>
      <c r="B781" t="str" cm="1">
        <f t="array" ref="B781">_xlfn.IFS(A781&lt;=25,"18-25", A781&lt;=35,"26-35", A781&lt;=45,"36-45", A781&lt;=55,"46-55", A781&lt;=64,"56-64")</f>
        <v>46-55</v>
      </c>
      <c r="C781" t="s">
        <v>10</v>
      </c>
      <c r="D781">
        <v>28.88</v>
      </c>
      <c r="E781">
        <v>0</v>
      </c>
      <c r="F781" t="s">
        <v>11</v>
      </c>
      <c r="G781" t="s">
        <v>54</v>
      </c>
      <c r="H781" s="2">
        <v>9869.8101999999999</v>
      </c>
      <c r="I781" s="2">
        <f t="shared" si="84"/>
        <v>9869.8101999999999</v>
      </c>
      <c r="J781" t="str">
        <f t="shared" si="85"/>
        <v>Low</v>
      </c>
      <c r="K781" s="1">
        <f t="shared" si="86"/>
        <v>0.52500000000000002</v>
      </c>
      <c r="L781" t="str">
        <f t="shared" si="87"/>
        <v>Overweight</v>
      </c>
      <c r="M781" t="str">
        <f t="shared" si="88"/>
        <v>Standard</v>
      </c>
      <c r="N781" t="str">
        <f t="shared" si="89"/>
        <v>Tier 4</v>
      </c>
      <c r="O781">
        <f t="shared" si="90"/>
        <v>1</v>
      </c>
    </row>
    <row r="782" spans="1:15" x14ac:dyDescent="0.2">
      <c r="A782">
        <v>30</v>
      </c>
      <c r="B782" t="str" cm="1">
        <f t="array" ref="B782">_xlfn.IFS(A782&lt;=25,"18-25", A782&lt;=35,"26-35", A782&lt;=45,"36-45", A782&lt;=55,"46-55", A782&lt;=64,"56-64")</f>
        <v>26-35</v>
      </c>
      <c r="C782" t="s">
        <v>10</v>
      </c>
      <c r="D782">
        <v>24.4</v>
      </c>
      <c r="E782">
        <v>3</v>
      </c>
      <c r="F782" t="s">
        <v>8</v>
      </c>
      <c r="G782" t="s">
        <v>52</v>
      </c>
      <c r="H782" s="2">
        <v>18259.216</v>
      </c>
      <c r="I782" s="2">
        <f t="shared" si="84"/>
        <v>4564.8040000000001</v>
      </c>
      <c r="J782" t="str">
        <f t="shared" si="85"/>
        <v>High</v>
      </c>
      <c r="K782" s="1">
        <f t="shared" si="86"/>
        <v>0.77</v>
      </c>
      <c r="L782" t="str">
        <f t="shared" si="87"/>
        <v>Normal</v>
      </c>
      <c r="M782" t="str">
        <f t="shared" si="88"/>
        <v>High Risk</v>
      </c>
      <c r="N782" t="str">
        <f t="shared" si="89"/>
        <v>Tier 3</v>
      </c>
      <c r="O782">
        <f t="shared" si="90"/>
        <v>3</v>
      </c>
    </row>
    <row r="783" spans="1:15" x14ac:dyDescent="0.2">
      <c r="A783">
        <v>18</v>
      </c>
      <c r="B783" t="str" cm="1">
        <f t="array" ref="B783">_xlfn.IFS(A783&lt;=25,"18-25", A783&lt;=35,"26-35", A783&lt;=45,"36-45", A783&lt;=55,"46-55", A783&lt;=64,"56-64")</f>
        <v>18-25</v>
      </c>
      <c r="C783" t="s">
        <v>10</v>
      </c>
      <c r="D783">
        <v>41.14</v>
      </c>
      <c r="E783">
        <v>0</v>
      </c>
      <c r="F783" t="s">
        <v>11</v>
      </c>
      <c r="G783" t="s">
        <v>51</v>
      </c>
      <c r="H783" s="2">
        <v>1146.7965999999999</v>
      </c>
      <c r="I783" s="2">
        <f t="shared" si="84"/>
        <v>1146.7965999999999</v>
      </c>
      <c r="J783" t="str">
        <f t="shared" si="85"/>
        <v>Low</v>
      </c>
      <c r="K783" s="1">
        <f t="shared" si="86"/>
        <v>5.0000000000000001E-3</v>
      </c>
      <c r="L783" t="str">
        <f t="shared" si="87"/>
        <v>Obese</v>
      </c>
      <c r="M783" t="str">
        <f t="shared" si="88"/>
        <v>Standard</v>
      </c>
      <c r="N783" t="str">
        <f t="shared" si="89"/>
        <v>Tier 1</v>
      </c>
      <c r="O783">
        <f t="shared" si="90"/>
        <v>3</v>
      </c>
    </row>
    <row r="784" spans="1:15" x14ac:dyDescent="0.2">
      <c r="A784">
        <v>51</v>
      </c>
      <c r="B784" t="str" cm="1">
        <f t="array" ref="B784">_xlfn.IFS(A784&lt;=25,"18-25", A784&lt;=35,"26-35", A784&lt;=45,"36-45", A784&lt;=55,"46-55", A784&lt;=64,"56-64")</f>
        <v>46-55</v>
      </c>
      <c r="C784" t="s">
        <v>10</v>
      </c>
      <c r="D784">
        <v>35.97</v>
      </c>
      <c r="E784">
        <v>1</v>
      </c>
      <c r="F784" t="s">
        <v>11</v>
      </c>
      <c r="G784" t="s">
        <v>51</v>
      </c>
      <c r="H784" s="2">
        <v>9386.1612999999998</v>
      </c>
      <c r="I784" s="2">
        <f t="shared" si="84"/>
        <v>4693.0806499999999</v>
      </c>
      <c r="J784" t="str">
        <f t="shared" si="85"/>
        <v>Low</v>
      </c>
      <c r="K784" s="1">
        <f t="shared" si="86"/>
        <v>0.5</v>
      </c>
      <c r="L784" t="str">
        <f t="shared" si="87"/>
        <v>Obese</v>
      </c>
      <c r="M784" t="str">
        <f t="shared" si="88"/>
        <v>Standard</v>
      </c>
      <c r="N784" t="str">
        <f t="shared" si="89"/>
        <v>Tier 1</v>
      </c>
      <c r="O784">
        <f t="shared" si="90"/>
        <v>3</v>
      </c>
    </row>
    <row r="785" spans="1:15" x14ac:dyDescent="0.2">
      <c r="A785">
        <v>50</v>
      </c>
      <c r="B785" t="str" cm="1">
        <f t="array" ref="B785">_xlfn.IFS(A785&lt;=25,"18-25", A785&lt;=35,"26-35", A785&lt;=45,"36-45", A785&lt;=55,"46-55", A785&lt;=64,"56-64")</f>
        <v>46-55</v>
      </c>
      <c r="C785" t="s">
        <v>7</v>
      </c>
      <c r="D785">
        <v>27.6</v>
      </c>
      <c r="E785">
        <v>1</v>
      </c>
      <c r="F785" t="s">
        <v>8</v>
      </c>
      <c r="G785" t="s">
        <v>52</v>
      </c>
      <c r="H785" s="2">
        <v>24520.263999999999</v>
      </c>
      <c r="I785" s="2">
        <f t="shared" si="84"/>
        <v>12260.132</v>
      </c>
      <c r="J785" t="str">
        <f t="shared" si="85"/>
        <v>High</v>
      </c>
      <c r="K785" s="1">
        <f t="shared" si="86"/>
        <v>0.84299999999999997</v>
      </c>
      <c r="L785" t="str">
        <f t="shared" si="87"/>
        <v>Overweight</v>
      </c>
      <c r="M785" t="str">
        <f t="shared" si="88"/>
        <v>High Risk</v>
      </c>
      <c r="N785" t="str">
        <f t="shared" si="89"/>
        <v>Tier 3</v>
      </c>
      <c r="O785">
        <f t="shared" si="90"/>
        <v>4</v>
      </c>
    </row>
    <row r="786" spans="1:15" x14ac:dyDescent="0.2">
      <c r="A786">
        <v>31</v>
      </c>
      <c r="B786" t="str" cm="1">
        <f t="array" ref="B786">_xlfn.IFS(A786&lt;=25,"18-25", A786&lt;=35,"26-35", A786&lt;=45,"36-45", A786&lt;=55,"46-55", A786&lt;=64,"56-64")</f>
        <v>26-35</v>
      </c>
      <c r="C786" t="s">
        <v>7</v>
      </c>
      <c r="D786">
        <v>29.26</v>
      </c>
      <c r="E786">
        <v>1</v>
      </c>
      <c r="F786" t="s">
        <v>11</v>
      </c>
      <c r="G786" t="s">
        <v>51</v>
      </c>
      <c r="H786" s="2">
        <v>4350.5144</v>
      </c>
      <c r="I786" s="2">
        <f t="shared" si="84"/>
        <v>2175.2572</v>
      </c>
      <c r="J786" t="str">
        <f t="shared" si="85"/>
        <v>Low</v>
      </c>
      <c r="K786" s="1">
        <f t="shared" si="86"/>
        <v>0.22</v>
      </c>
      <c r="L786" t="str">
        <f t="shared" si="87"/>
        <v>Overweight</v>
      </c>
      <c r="M786" t="str">
        <f t="shared" si="88"/>
        <v>Standard</v>
      </c>
      <c r="N786" t="str">
        <f t="shared" si="89"/>
        <v>Tier 1</v>
      </c>
      <c r="O786">
        <f t="shared" si="90"/>
        <v>2</v>
      </c>
    </row>
    <row r="787" spans="1:15" x14ac:dyDescent="0.2">
      <c r="A787">
        <v>35</v>
      </c>
      <c r="B787" t="str" cm="1">
        <f t="array" ref="B787">_xlfn.IFS(A787&lt;=25,"18-25", A787&lt;=35,"26-35", A787&lt;=45,"36-45", A787&lt;=55,"46-55", A787&lt;=64,"56-64")</f>
        <v>26-35</v>
      </c>
      <c r="C787" t="s">
        <v>7</v>
      </c>
      <c r="D787">
        <v>27.7</v>
      </c>
      <c r="E787">
        <v>3</v>
      </c>
      <c r="F787" t="s">
        <v>11</v>
      </c>
      <c r="G787" t="s">
        <v>52</v>
      </c>
      <c r="H787" s="2">
        <v>6414.1779999999999</v>
      </c>
      <c r="I787" s="2">
        <f t="shared" si="84"/>
        <v>1603.5445</v>
      </c>
      <c r="J787" t="str">
        <f t="shared" si="85"/>
        <v>Low</v>
      </c>
      <c r="K787" s="1">
        <f t="shared" si="86"/>
        <v>0.34399999999999997</v>
      </c>
      <c r="L787" t="str">
        <f t="shared" si="87"/>
        <v>Overweight</v>
      </c>
      <c r="M787" t="str">
        <f t="shared" si="88"/>
        <v>Standard</v>
      </c>
      <c r="N787" t="str">
        <f t="shared" si="89"/>
        <v>Tier 3</v>
      </c>
      <c r="O787">
        <f t="shared" si="90"/>
        <v>1</v>
      </c>
    </row>
    <row r="788" spans="1:15" x14ac:dyDescent="0.2">
      <c r="A788">
        <v>60</v>
      </c>
      <c r="B788" t="str" cm="1">
        <f t="array" ref="B788">_xlfn.IFS(A788&lt;=25,"18-25", A788&lt;=35,"26-35", A788&lt;=45,"36-45", A788&lt;=55,"46-55", A788&lt;=64,"56-64")</f>
        <v>56-64</v>
      </c>
      <c r="C788" t="s">
        <v>10</v>
      </c>
      <c r="D788">
        <v>36.954999999999998</v>
      </c>
      <c r="E788">
        <v>0</v>
      </c>
      <c r="F788" t="s">
        <v>11</v>
      </c>
      <c r="G788" t="s">
        <v>53</v>
      </c>
      <c r="H788" s="2">
        <v>12741.167450000001</v>
      </c>
      <c r="I788" s="2">
        <f t="shared" si="84"/>
        <v>12741.167450000001</v>
      </c>
      <c r="J788" t="str">
        <f t="shared" si="85"/>
        <v>Low</v>
      </c>
      <c r="K788" s="1">
        <f t="shared" si="86"/>
        <v>0.66400000000000003</v>
      </c>
      <c r="L788" t="str">
        <f t="shared" si="87"/>
        <v>Obese</v>
      </c>
      <c r="M788" t="str">
        <f t="shared" si="88"/>
        <v>Standard</v>
      </c>
      <c r="N788" t="str">
        <f t="shared" si="89"/>
        <v>Tier 2</v>
      </c>
      <c r="O788">
        <f t="shared" si="90"/>
        <v>2</v>
      </c>
    </row>
    <row r="789" spans="1:15" x14ac:dyDescent="0.2">
      <c r="A789">
        <v>21</v>
      </c>
      <c r="B789" t="str" cm="1">
        <f t="array" ref="B789">_xlfn.IFS(A789&lt;=25,"18-25", A789&lt;=35,"26-35", A789&lt;=45,"36-45", A789&lt;=55,"46-55", A789&lt;=64,"56-64")</f>
        <v>18-25</v>
      </c>
      <c r="C789" t="s">
        <v>10</v>
      </c>
      <c r="D789">
        <v>36.86</v>
      </c>
      <c r="E789">
        <v>0</v>
      </c>
      <c r="F789" t="s">
        <v>11</v>
      </c>
      <c r="G789" t="s">
        <v>54</v>
      </c>
      <c r="H789" s="2">
        <v>1917.3184000000001</v>
      </c>
      <c r="I789" s="2">
        <f t="shared" si="84"/>
        <v>1917.3184000000001</v>
      </c>
      <c r="J789" t="str">
        <f t="shared" si="85"/>
        <v>Low</v>
      </c>
      <c r="K789" s="1">
        <f t="shared" si="86"/>
        <v>6.0999999999999999E-2</v>
      </c>
      <c r="L789" t="str">
        <f t="shared" si="87"/>
        <v>Obese</v>
      </c>
      <c r="M789" t="str">
        <f t="shared" si="88"/>
        <v>Standard</v>
      </c>
      <c r="N789" t="str">
        <f t="shared" si="89"/>
        <v>Tier 4</v>
      </c>
      <c r="O789">
        <f t="shared" si="90"/>
        <v>2</v>
      </c>
    </row>
    <row r="790" spans="1:15" x14ac:dyDescent="0.2">
      <c r="A790">
        <v>29</v>
      </c>
      <c r="B790" t="str" cm="1">
        <f t="array" ref="B790">_xlfn.IFS(A790&lt;=25,"18-25", A790&lt;=35,"26-35", A790&lt;=45,"36-45", A790&lt;=55,"46-55", A790&lt;=64,"56-64")</f>
        <v>26-35</v>
      </c>
      <c r="C790" t="s">
        <v>10</v>
      </c>
      <c r="D790">
        <v>22.515000000000001</v>
      </c>
      <c r="E790">
        <v>3</v>
      </c>
      <c r="F790" t="s">
        <v>11</v>
      </c>
      <c r="G790" t="s">
        <v>53</v>
      </c>
      <c r="H790" s="2">
        <v>5209.5788499999999</v>
      </c>
      <c r="I790" s="2">
        <f t="shared" si="84"/>
        <v>1302.3947125</v>
      </c>
      <c r="J790" t="str">
        <f t="shared" si="85"/>
        <v>Low</v>
      </c>
      <c r="K790" s="1">
        <f t="shared" si="86"/>
        <v>0.27700000000000002</v>
      </c>
      <c r="L790" t="str">
        <f t="shared" si="87"/>
        <v>Normal</v>
      </c>
      <c r="M790" t="str">
        <f t="shared" si="88"/>
        <v>Standard</v>
      </c>
      <c r="N790" t="str">
        <f t="shared" si="89"/>
        <v>Tier 2</v>
      </c>
      <c r="O790">
        <f t="shared" si="90"/>
        <v>0</v>
      </c>
    </row>
    <row r="791" spans="1:15" x14ac:dyDescent="0.2">
      <c r="A791">
        <v>62</v>
      </c>
      <c r="B791" t="str" cm="1">
        <f t="array" ref="B791">_xlfn.IFS(A791&lt;=25,"18-25", A791&lt;=35,"26-35", A791&lt;=45,"36-45", A791&lt;=55,"46-55", A791&lt;=64,"56-64")</f>
        <v>56-64</v>
      </c>
      <c r="C791" t="s">
        <v>7</v>
      </c>
      <c r="D791">
        <v>29.92</v>
      </c>
      <c r="E791">
        <v>0</v>
      </c>
      <c r="F791" t="s">
        <v>11</v>
      </c>
      <c r="G791" t="s">
        <v>51</v>
      </c>
      <c r="H791" s="2">
        <v>13457.960800000001</v>
      </c>
      <c r="I791" s="2">
        <f t="shared" si="84"/>
        <v>13457.960800000001</v>
      </c>
      <c r="J791" t="str">
        <f t="shared" si="85"/>
        <v>High</v>
      </c>
      <c r="K791" s="1">
        <f t="shared" si="86"/>
        <v>0.69199999999999995</v>
      </c>
      <c r="L791" t="str">
        <f t="shared" si="87"/>
        <v>Overweight</v>
      </c>
      <c r="M791" t="str">
        <f t="shared" si="88"/>
        <v>Standard</v>
      </c>
      <c r="N791" t="str">
        <f t="shared" si="89"/>
        <v>Tier 1</v>
      </c>
      <c r="O791">
        <f t="shared" si="90"/>
        <v>2</v>
      </c>
    </row>
    <row r="792" spans="1:15" x14ac:dyDescent="0.2">
      <c r="A792">
        <v>39</v>
      </c>
      <c r="B792" t="str" cm="1">
        <f t="array" ref="B792">_xlfn.IFS(A792&lt;=25,"18-25", A792&lt;=35,"26-35", A792&lt;=45,"36-45", A792&lt;=55,"46-55", A792&lt;=64,"56-64")</f>
        <v>36-45</v>
      </c>
      <c r="C792" t="s">
        <v>7</v>
      </c>
      <c r="D792">
        <v>41.8</v>
      </c>
      <c r="E792">
        <v>0</v>
      </c>
      <c r="F792" t="s">
        <v>11</v>
      </c>
      <c r="G792" t="s">
        <v>51</v>
      </c>
      <c r="H792" s="2">
        <v>5662.2250000000004</v>
      </c>
      <c r="I792" s="2">
        <f t="shared" si="84"/>
        <v>5662.2250000000004</v>
      </c>
      <c r="J792" t="str">
        <f t="shared" si="85"/>
        <v>Low</v>
      </c>
      <c r="K792" s="1">
        <f t="shared" si="86"/>
        <v>0.30499999999999999</v>
      </c>
      <c r="L792" t="str">
        <f t="shared" si="87"/>
        <v>Obese</v>
      </c>
      <c r="M792" t="str">
        <f t="shared" si="88"/>
        <v>Standard</v>
      </c>
      <c r="N792" t="str">
        <f t="shared" si="89"/>
        <v>Tier 1</v>
      </c>
      <c r="O792">
        <f t="shared" si="90"/>
        <v>3</v>
      </c>
    </row>
    <row r="793" spans="1:15" x14ac:dyDescent="0.2">
      <c r="A793">
        <v>19</v>
      </c>
      <c r="B793" t="str" cm="1">
        <f t="array" ref="B793">_xlfn.IFS(A793&lt;=25,"18-25", A793&lt;=35,"26-35", A793&lt;=45,"36-45", A793&lt;=55,"46-55", A793&lt;=64,"56-64")</f>
        <v>18-25</v>
      </c>
      <c r="C793" t="s">
        <v>10</v>
      </c>
      <c r="D793">
        <v>27.6</v>
      </c>
      <c r="E793">
        <v>0</v>
      </c>
      <c r="F793" t="s">
        <v>11</v>
      </c>
      <c r="G793" t="s">
        <v>52</v>
      </c>
      <c r="H793" s="2">
        <v>1252.4069999999999</v>
      </c>
      <c r="I793" s="2">
        <f t="shared" si="84"/>
        <v>1252.4069999999999</v>
      </c>
      <c r="J793" t="str">
        <f t="shared" si="85"/>
        <v>Low</v>
      </c>
      <c r="K793" s="1">
        <f t="shared" si="86"/>
        <v>8.9999999999999993E-3</v>
      </c>
      <c r="L793" t="str">
        <f t="shared" si="87"/>
        <v>Overweight</v>
      </c>
      <c r="M793" t="str">
        <f t="shared" si="88"/>
        <v>Standard</v>
      </c>
      <c r="N793" t="str">
        <f t="shared" si="89"/>
        <v>Tier 3</v>
      </c>
      <c r="O793">
        <f t="shared" si="90"/>
        <v>1</v>
      </c>
    </row>
    <row r="794" spans="1:15" x14ac:dyDescent="0.2">
      <c r="A794">
        <v>22</v>
      </c>
      <c r="B794" t="str" cm="1">
        <f t="array" ref="B794">_xlfn.IFS(A794&lt;=25,"18-25", A794&lt;=35,"26-35", A794&lt;=45,"36-45", A794&lt;=55,"46-55", A794&lt;=64,"56-64")</f>
        <v>18-25</v>
      </c>
      <c r="C794" t="s">
        <v>7</v>
      </c>
      <c r="D794">
        <v>23.18</v>
      </c>
      <c r="E794">
        <v>0</v>
      </c>
      <c r="F794" t="s">
        <v>11</v>
      </c>
      <c r="G794" t="s">
        <v>53</v>
      </c>
      <c r="H794" s="2">
        <v>2731.9122000000002</v>
      </c>
      <c r="I794" s="2">
        <f t="shared" si="84"/>
        <v>2731.9122000000002</v>
      </c>
      <c r="J794" t="str">
        <f t="shared" si="85"/>
        <v>Low</v>
      </c>
      <c r="K794" s="1">
        <f t="shared" si="86"/>
        <v>0.128</v>
      </c>
      <c r="L794" t="str">
        <f t="shared" si="87"/>
        <v>Normal</v>
      </c>
      <c r="M794" t="str">
        <f t="shared" si="88"/>
        <v>Standard</v>
      </c>
      <c r="N794" t="str">
        <f t="shared" si="89"/>
        <v>Tier 2</v>
      </c>
      <c r="O794">
        <f t="shared" si="90"/>
        <v>0</v>
      </c>
    </row>
    <row r="795" spans="1:15" x14ac:dyDescent="0.2">
      <c r="A795">
        <v>53</v>
      </c>
      <c r="B795" t="str" cm="1">
        <f t="array" ref="B795">_xlfn.IFS(A795&lt;=25,"18-25", A795&lt;=35,"26-35", A795&lt;=45,"36-45", A795&lt;=55,"46-55", A795&lt;=64,"56-64")</f>
        <v>46-55</v>
      </c>
      <c r="C795" t="s">
        <v>10</v>
      </c>
      <c r="D795">
        <v>20.9</v>
      </c>
      <c r="E795">
        <v>0</v>
      </c>
      <c r="F795" t="s">
        <v>8</v>
      </c>
      <c r="G795" t="s">
        <v>51</v>
      </c>
      <c r="H795" s="2">
        <v>21195.817999999999</v>
      </c>
      <c r="I795" s="2">
        <f t="shared" si="84"/>
        <v>21195.817999999999</v>
      </c>
      <c r="J795" t="str">
        <f t="shared" si="85"/>
        <v>High</v>
      </c>
      <c r="K795" s="1">
        <f t="shared" si="86"/>
        <v>0.81</v>
      </c>
      <c r="L795" t="str">
        <f t="shared" si="87"/>
        <v>Normal</v>
      </c>
      <c r="M795" t="str">
        <f t="shared" si="88"/>
        <v>High Risk</v>
      </c>
      <c r="N795" t="str">
        <f t="shared" si="89"/>
        <v>Tier 1</v>
      </c>
      <c r="O795">
        <f t="shared" si="90"/>
        <v>4</v>
      </c>
    </row>
    <row r="796" spans="1:15" x14ac:dyDescent="0.2">
      <c r="A796">
        <v>39</v>
      </c>
      <c r="B796" t="str" cm="1">
        <f t="array" ref="B796">_xlfn.IFS(A796&lt;=25,"18-25", A796&lt;=35,"26-35", A796&lt;=45,"36-45", A796&lt;=55,"46-55", A796&lt;=64,"56-64")</f>
        <v>36-45</v>
      </c>
      <c r="C796" t="s">
        <v>7</v>
      </c>
      <c r="D796">
        <v>31.92</v>
      </c>
      <c r="E796">
        <v>2</v>
      </c>
      <c r="F796" t="s">
        <v>11</v>
      </c>
      <c r="G796" t="s">
        <v>54</v>
      </c>
      <c r="H796" s="2">
        <v>7209.4917999999998</v>
      </c>
      <c r="I796" s="2">
        <f t="shared" si="84"/>
        <v>2403.1639333333333</v>
      </c>
      <c r="J796" t="str">
        <f t="shared" si="85"/>
        <v>Low</v>
      </c>
      <c r="K796" s="1">
        <f t="shared" si="86"/>
        <v>0.38800000000000001</v>
      </c>
      <c r="L796" t="str">
        <f t="shared" si="87"/>
        <v>Obese</v>
      </c>
      <c r="M796" t="str">
        <f t="shared" si="88"/>
        <v>Standard</v>
      </c>
      <c r="N796" t="str">
        <f t="shared" si="89"/>
        <v>Tier 4</v>
      </c>
      <c r="O796">
        <f t="shared" si="90"/>
        <v>2</v>
      </c>
    </row>
    <row r="797" spans="1:15" x14ac:dyDescent="0.2">
      <c r="A797">
        <v>27</v>
      </c>
      <c r="B797" t="str" cm="1">
        <f t="array" ref="B797">_xlfn.IFS(A797&lt;=25,"18-25", A797&lt;=35,"26-35", A797&lt;=45,"36-45", A797&lt;=55,"46-55", A797&lt;=64,"56-64")</f>
        <v>26-35</v>
      </c>
      <c r="C797" t="s">
        <v>10</v>
      </c>
      <c r="D797">
        <v>28.5</v>
      </c>
      <c r="E797">
        <v>0</v>
      </c>
      <c r="F797" t="s">
        <v>8</v>
      </c>
      <c r="G797" t="s">
        <v>54</v>
      </c>
      <c r="H797" s="2">
        <v>18310.741999999998</v>
      </c>
      <c r="I797" s="2">
        <f t="shared" si="84"/>
        <v>18310.741999999998</v>
      </c>
      <c r="J797" t="str">
        <f t="shared" si="85"/>
        <v>High</v>
      </c>
      <c r="K797" s="1">
        <f t="shared" si="86"/>
        <v>0.77100000000000002</v>
      </c>
      <c r="L797" t="str">
        <f t="shared" si="87"/>
        <v>Overweight</v>
      </c>
      <c r="M797" t="str">
        <f t="shared" si="88"/>
        <v>High Risk</v>
      </c>
      <c r="N797" t="str">
        <f t="shared" si="89"/>
        <v>Tier 4</v>
      </c>
      <c r="O797">
        <f t="shared" si="90"/>
        <v>4</v>
      </c>
    </row>
    <row r="798" spans="1:15" x14ac:dyDescent="0.2">
      <c r="A798">
        <v>30</v>
      </c>
      <c r="B798" t="str" cm="1">
        <f t="array" ref="B798">_xlfn.IFS(A798&lt;=25,"18-25", A798&lt;=35,"26-35", A798&lt;=45,"36-45", A798&lt;=55,"46-55", A798&lt;=64,"56-64")</f>
        <v>26-35</v>
      </c>
      <c r="C798" t="s">
        <v>10</v>
      </c>
      <c r="D798">
        <v>44.22</v>
      </c>
      <c r="E798">
        <v>2</v>
      </c>
      <c r="F798" t="s">
        <v>11</v>
      </c>
      <c r="G798" t="s">
        <v>51</v>
      </c>
      <c r="H798" s="2">
        <v>4266.1657999999998</v>
      </c>
      <c r="I798" s="2">
        <f t="shared" si="84"/>
        <v>1422.0552666666665</v>
      </c>
      <c r="J798" t="str">
        <f t="shared" si="85"/>
        <v>Low</v>
      </c>
      <c r="K798" s="1">
        <f t="shared" si="86"/>
        <v>0.215</v>
      </c>
      <c r="L798" t="str">
        <f t="shared" si="87"/>
        <v>Obese</v>
      </c>
      <c r="M798" t="str">
        <f t="shared" si="88"/>
        <v>Standard</v>
      </c>
      <c r="N798" t="str">
        <f t="shared" si="89"/>
        <v>Tier 1</v>
      </c>
      <c r="O798">
        <f t="shared" si="90"/>
        <v>3</v>
      </c>
    </row>
    <row r="799" spans="1:15" x14ac:dyDescent="0.2">
      <c r="A799">
        <v>30</v>
      </c>
      <c r="B799" t="str" cm="1">
        <f t="array" ref="B799">_xlfn.IFS(A799&lt;=25,"18-25", A799&lt;=35,"26-35", A799&lt;=45,"36-45", A799&lt;=55,"46-55", A799&lt;=64,"56-64")</f>
        <v>26-35</v>
      </c>
      <c r="C799" t="s">
        <v>7</v>
      </c>
      <c r="D799">
        <v>22.895</v>
      </c>
      <c r="E799">
        <v>1</v>
      </c>
      <c r="F799" t="s">
        <v>11</v>
      </c>
      <c r="G799" t="s">
        <v>53</v>
      </c>
      <c r="H799" s="2">
        <v>4719.52405</v>
      </c>
      <c r="I799" s="2">
        <f t="shared" si="84"/>
        <v>2359.762025</v>
      </c>
      <c r="J799" t="str">
        <f t="shared" si="85"/>
        <v>Low</v>
      </c>
      <c r="K799" s="1">
        <f t="shared" si="86"/>
        <v>0.248</v>
      </c>
      <c r="L799" t="str">
        <f t="shared" si="87"/>
        <v>Normal</v>
      </c>
      <c r="M799" t="str">
        <f t="shared" si="88"/>
        <v>Standard</v>
      </c>
      <c r="N799" t="str">
        <f t="shared" si="89"/>
        <v>Tier 2</v>
      </c>
      <c r="O799">
        <f t="shared" si="90"/>
        <v>0</v>
      </c>
    </row>
    <row r="800" spans="1:15" x14ac:dyDescent="0.2">
      <c r="A800">
        <v>58</v>
      </c>
      <c r="B800" t="str" cm="1">
        <f t="array" ref="B800">_xlfn.IFS(A800&lt;=25,"18-25", A800&lt;=35,"26-35", A800&lt;=45,"36-45", A800&lt;=55,"46-55", A800&lt;=64,"56-64")</f>
        <v>56-64</v>
      </c>
      <c r="C800" t="s">
        <v>7</v>
      </c>
      <c r="D800">
        <v>33.1</v>
      </c>
      <c r="E800">
        <v>0</v>
      </c>
      <c r="F800" t="s">
        <v>11</v>
      </c>
      <c r="G800" t="s">
        <v>52</v>
      </c>
      <c r="H800" s="2">
        <v>11848.141</v>
      </c>
      <c r="I800" s="2">
        <f t="shared" si="84"/>
        <v>11848.141</v>
      </c>
      <c r="J800" t="str">
        <f t="shared" si="85"/>
        <v>Low</v>
      </c>
      <c r="K800" s="1">
        <f t="shared" si="86"/>
        <v>0.623</v>
      </c>
      <c r="L800" t="str">
        <f t="shared" si="87"/>
        <v>Obese</v>
      </c>
      <c r="M800" t="str">
        <f t="shared" si="88"/>
        <v>Standard</v>
      </c>
      <c r="N800" t="str">
        <f t="shared" si="89"/>
        <v>Tier 3</v>
      </c>
      <c r="O800">
        <f t="shared" si="90"/>
        <v>2</v>
      </c>
    </row>
    <row r="801" spans="1:15" x14ac:dyDescent="0.2">
      <c r="A801">
        <v>33</v>
      </c>
      <c r="B801" t="str" cm="1">
        <f t="array" ref="B801">_xlfn.IFS(A801&lt;=25,"18-25", A801&lt;=35,"26-35", A801&lt;=45,"36-45", A801&lt;=55,"46-55", A801&lt;=64,"56-64")</f>
        <v>26-35</v>
      </c>
      <c r="C801" t="s">
        <v>10</v>
      </c>
      <c r="D801">
        <v>24.795000000000002</v>
      </c>
      <c r="E801">
        <v>0</v>
      </c>
      <c r="F801" t="s">
        <v>8</v>
      </c>
      <c r="G801" t="s">
        <v>53</v>
      </c>
      <c r="H801" s="2">
        <v>17904.527050000001</v>
      </c>
      <c r="I801" s="2">
        <f t="shared" si="84"/>
        <v>17904.527050000001</v>
      </c>
      <c r="J801" t="str">
        <f t="shared" si="85"/>
        <v>High</v>
      </c>
      <c r="K801" s="1">
        <f t="shared" si="86"/>
        <v>0.76400000000000001</v>
      </c>
      <c r="L801" t="str">
        <f t="shared" si="87"/>
        <v>Normal</v>
      </c>
      <c r="M801" t="str">
        <f t="shared" si="88"/>
        <v>High Risk</v>
      </c>
      <c r="N801" t="str">
        <f t="shared" si="89"/>
        <v>Tier 2</v>
      </c>
      <c r="O801">
        <f t="shared" si="90"/>
        <v>3</v>
      </c>
    </row>
    <row r="802" spans="1:15" x14ac:dyDescent="0.2">
      <c r="A802">
        <v>42</v>
      </c>
      <c r="B802" t="str" cm="1">
        <f t="array" ref="B802">_xlfn.IFS(A802&lt;=25,"18-25", A802&lt;=35,"26-35", A802&lt;=45,"36-45", A802&lt;=55,"46-55", A802&lt;=64,"56-64")</f>
        <v>36-45</v>
      </c>
      <c r="C802" t="s">
        <v>7</v>
      </c>
      <c r="D802">
        <v>26.18</v>
      </c>
      <c r="E802">
        <v>1</v>
      </c>
      <c r="F802" t="s">
        <v>11</v>
      </c>
      <c r="G802" t="s">
        <v>51</v>
      </c>
      <c r="H802" s="2">
        <v>7046.7222000000002</v>
      </c>
      <c r="I802" s="2">
        <f t="shared" si="84"/>
        <v>3523.3611000000001</v>
      </c>
      <c r="J802" t="str">
        <f t="shared" si="85"/>
        <v>Low</v>
      </c>
      <c r="K802" s="1">
        <f t="shared" si="86"/>
        <v>0.376</v>
      </c>
      <c r="L802" t="str">
        <f t="shared" si="87"/>
        <v>Overweight</v>
      </c>
      <c r="M802" t="str">
        <f t="shared" si="88"/>
        <v>Standard</v>
      </c>
      <c r="N802" t="str">
        <f t="shared" si="89"/>
        <v>Tier 1</v>
      </c>
      <c r="O802">
        <f t="shared" si="90"/>
        <v>2</v>
      </c>
    </row>
    <row r="803" spans="1:15" x14ac:dyDescent="0.2">
      <c r="A803">
        <v>64</v>
      </c>
      <c r="B803" t="str" cm="1">
        <f t="array" ref="B803">_xlfn.IFS(A803&lt;=25,"18-25", A803&lt;=35,"26-35", A803&lt;=45,"36-45", A803&lt;=55,"46-55", A803&lt;=64,"56-64")</f>
        <v>56-64</v>
      </c>
      <c r="C803" t="s">
        <v>7</v>
      </c>
      <c r="D803">
        <v>35.97</v>
      </c>
      <c r="E803">
        <v>0</v>
      </c>
      <c r="F803" t="s">
        <v>11</v>
      </c>
      <c r="G803" t="s">
        <v>51</v>
      </c>
      <c r="H803" s="2">
        <v>14313.846299999999</v>
      </c>
      <c r="I803" s="2">
        <f t="shared" si="84"/>
        <v>14313.846299999999</v>
      </c>
      <c r="J803" t="str">
        <f t="shared" si="85"/>
        <v>High</v>
      </c>
      <c r="K803" s="1">
        <f t="shared" si="86"/>
        <v>0.71699999999999997</v>
      </c>
      <c r="L803" t="str">
        <f t="shared" si="87"/>
        <v>Obese</v>
      </c>
      <c r="M803" t="str">
        <f t="shared" si="88"/>
        <v>Standard</v>
      </c>
      <c r="N803" t="str">
        <f t="shared" si="89"/>
        <v>Tier 1</v>
      </c>
      <c r="O803">
        <f t="shared" si="90"/>
        <v>3</v>
      </c>
    </row>
    <row r="804" spans="1:15" x14ac:dyDescent="0.2">
      <c r="A804">
        <v>21</v>
      </c>
      <c r="B804" t="str" cm="1">
        <f t="array" ref="B804">_xlfn.IFS(A804&lt;=25,"18-25", A804&lt;=35,"26-35", A804&lt;=45,"36-45", A804&lt;=55,"46-55", A804&lt;=64,"56-64")</f>
        <v>18-25</v>
      </c>
      <c r="C804" t="s">
        <v>10</v>
      </c>
      <c r="D804">
        <v>22.3</v>
      </c>
      <c r="E804">
        <v>1</v>
      </c>
      <c r="F804" t="s">
        <v>11</v>
      </c>
      <c r="G804" t="s">
        <v>52</v>
      </c>
      <c r="H804" s="2">
        <v>2103.08</v>
      </c>
      <c r="I804" s="2">
        <f t="shared" si="84"/>
        <v>1051.54</v>
      </c>
      <c r="J804" t="str">
        <f t="shared" si="85"/>
        <v>Low</v>
      </c>
      <c r="K804" s="1">
        <f t="shared" si="86"/>
        <v>7.3999999999999996E-2</v>
      </c>
      <c r="L804" t="str">
        <f t="shared" si="87"/>
        <v>Normal</v>
      </c>
      <c r="M804" t="str">
        <f t="shared" si="88"/>
        <v>Standard</v>
      </c>
      <c r="N804" t="str">
        <f t="shared" si="89"/>
        <v>Tier 3</v>
      </c>
      <c r="O804">
        <f t="shared" si="90"/>
        <v>0</v>
      </c>
    </row>
    <row r="805" spans="1:15" x14ac:dyDescent="0.2">
      <c r="A805">
        <v>18</v>
      </c>
      <c r="B805" t="str" cm="1">
        <f t="array" ref="B805">_xlfn.IFS(A805&lt;=25,"18-25", A805&lt;=35,"26-35", A805&lt;=45,"36-45", A805&lt;=55,"46-55", A805&lt;=64,"56-64")</f>
        <v>18-25</v>
      </c>
      <c r="C805" t="s">
        <v>7</v>
      </c>
      <c r="D805">
        <v>42.24</v>
      </c>
      <c r="E805">
        <v>0</v>
      </c>
      <c r="F805" t="s">
        <v>8</v>
      </c>
      <c r="G805" t="s">
        <v>51</v>
      </c>
      <c r="H805" s="2">
        <v>38792.685599999997</v>
      </c>
      <c r="I805" s="2">
        <f t="shared" si="84"/>
        <v>38792.685599999997</v>
      </c>
      <c r="J805" t="str">
        <f t="shared" si="85"/>
        <v>High</v>
      </c>
      <c r="K805" s="1">
        <f t="shared" si="86"/>
        <v>0.93</v>
      </c>
      <c r="L805" t="str">
        <f t="shared" si="87"/>
        <v>Obese</v>
      </c>
      <c r="M805" t="str">
        <f t="shared" si="88"/>
        <v>High Risk</v>
      </c>
      <c r="N805" t="str">
        <f t="shared" si="89"/>
        <v>Tier 1</v>
      </c>
      <c r="O805">
        <f t="shared" si="90"/>
        <v>6</v>
      </c>
    </row>
    <row r="806" spans="1:15" x14ac:dyDescent="0.2">
      <c r="A806">
        <v>23</v>
      </c>
      <c r="B806" t="str" cm="1">
        <f t="array" ref="B806">_xlfn.IFS(A806&lt;=25,"18-25", A806&lt;=35,"26-35", A806&lt;=45,"36-45", A806&lt;=55,"46-55", A806&lt;=64,"56-64")</f>
        <v>18-25</v>
      </c>
      <c r="C806" t="s">
        <v>10</v>
      </c>
      <c r="D806">
        <v>26.51</v>
      </c>
      <c r="E806">
        <v>0</v>
      </c>
      <c r="F806" t="s">
        <v>11</v>
      </c>
      <c r="G806" t="s">
        <v>51</v>
      </c>
      <c r="H806" s="2">
        <v>1815.8759</v>
      </c>
      <c r="I806" s="2">
        <f t="shared" si="84"/>
        <v>1815.8759</v>
      </c>
      <c r="J806" t="str">
        <f t="shared" si="85"/>
        <v>Low</v>
      </c>
      <c r="K806" s="1">
        <f t="shared" si="86"/>
        <v>5.0999999999999997E-2</v>
      </c>
      <c r="L806" t="str">
        <f t="shared" si="87"/>
        <v>Overweight</v>
      </c>
      <c r="M806" t="str">
        <f t="shared" si="88"/>
        <v>Standard</v>
      </c>
      <c r="N806" t="str">
        <f t="shared" si="89"/>
        <v>Tier 1</v>
      </c>
      <c r="O806">
        <f t="shared" si="90"/>
        <v>2</v>
      </c>
    </row>
    <row r="807" spans="1:15" x14ac:dyDescent="0.2">
      <c r="A807">
        <v>45</v>
      </c>
      <c r="B807" t="str" cm="1">
        <f t="array" ref="B807">_xlfn.IFS(A807&lt;=25,"18-25", A807&lt;=35,"26-35", A807&lt;=45,"36-45", A807&lt;=55,"46-55", A807&lt;=64,"56-64")</f>
        <v>36-45</v>
      </c>
      <c r="C807" t="s">
        <v>7</v>
      </c>
      <c r="D807">
        <v>35.814999999999998</v>
      </c>
      <c r="E807">
        <v>0</v>
      </c>
      <c r="F807" t="s">
        <v>11</v>
      </c>
      <c r="G807" t="s">
        <v>54</v>
      </c>
      <c r="H807" s="2">
        <v>7731.8578500000003</v>
      </c>
      <c r="I807" s="2">
        <f t="shared" si="84"/>
        <v>7731.8578500000003</v>
      </c>
      <c r="J807" t="str">
        <f t="shared" si="85"/>
        <v>Low</v>
      </c>
      <c r="K807" s="1">
        <f t="shared" si="86"/>
        <v>0.41799999999999998</v>
      </c>
      <c r="L807" t="str">
        <f t="shared" si="87"/>
        <v>Obese</v>
      </c>
      <c r="M807" t="str">
        <f t="shared" si="88"/>
        <v>Standard</v>
      </c>
      <c r="N807" t="str">
        <f t="shared" si="89"/>
        <v>Tier 4</v>
      </c>
      <c r="O807">
        <f t="shared" si="90"/>
        <v>2</v>
      </c>
    </row>
    <row r="808" spans="1:15" x14ac:dyDescent="0.2">
      <c r="A808">
        <v>40</v>
      </c>
      <c r="B808" t="str" cm="1">
        <f t="array" ref="B808">_xlfn.IFS(A808&lt;=25,"18-25", A808&lt;=35,"26-35", A808&lt;=45,"36-45", A808&lt;=55,"46-55", A808&lt;=64,"56-64")</f>
        <v>36-45</v>
      </c>
      <c r="C808" t="s">
        <v>7</v>
      </c>
      <c r="D808">
        <v>41.42</v>
      </c>
      <c r="E808">
        <v>1</v>
      </c>
      <c r="F808" t="s">
        <v>11</v>
      </c>
      <c r="G808" t="s">
        <v>54</v>
      </c>
      <c r="H808" s="2">
        <v>28476.734990000001</v>
      </c>
      <c r="I808" s="2">
        <f t="shared" si="84"/>
        <v>14238.367495</v>
      </c>
      <c r="J808" t="str">
        <f t="shared" si="85"/>
        <v>High</v>
      </c>
      <c r="K808" s="1">
        <f t="shared" si="86"/>
        <v>0.873</v>
      </c>
      <c r="L808" t="str">
        <f t="shared" si="87"/>
        <v>Obese</v>
      </c>
      <c r="M808" t="str">
        <f t="shared" si="88"/>
        <v>Standard</v>
      </c>
      <c r="N808" t="str">
        <f t="shared" si="89"/>
        <v>Tier 4</v>
      </c>
      <c r="O808">
        <f t="shared" si="90"/>
        <v>2</v>
      </c>
    </row>
    <row r="809" spans="1:15" x14ac:dyDescent="0.2">
      <c r="A809">
        <v>19</v>
      </c>
      <c r="B809" t="str" cm="1">
        <f t="array" ref="B809">_xlfn.IFS(A809&lt;=25,"18-25", A809&lt;=35,"26-35", A809&lt;=45,"36-45", A809&lt;=55,"46-55", A809&lt;=64,"56-64")</f>
        <v>18-25</v>
      </c>
      <c r="C809" t="s">
        <v>7</v>
      </c>
      <c r="D809">
        <v>36.575000000000003</v>
      </c>
      <c r="E809">
        <v>0</v>
      </c>
      <c r="F809" t="s">
        <v>11</v>
      </c>
      <c r="G809" t="s">
        <v>54</v>
      </c>
      <c r="H809" s="2">
        <v>2136.8822500000001</v>
      </c>
      <c r="I809" s="2">
        <f t="shared" si="84"/>
        <v>2136.8822500000001</v>
      </c>
      <c r="J809" t="str">
        <f t="shared" si="85"/>
        <v>Low</v>
      </c>
      <c r="K809" s="1">
        <f t="shared" si="86"/>
        <v>7.8E-2</v>
      </c>
      <c r="L809" t="str">
        <f t="shared" si="87"/>
        <v>Obese</v>
      </c>
      <c r="M809" t="str">
        <f t="shared" si="88"/>
        <v>Standard</v>
      </c>
      <c r="N809" t="str">
        <f t="shared" si="89"/>
        <v>Tier 4</v>
      </c>
      <c r="O809">
        <f t="shared" si="90"/>
        <v>2</v>
      </c>
    </row>
    <row r="810" spans="1:15" x14ac:dyDescent="0.2">
      <c r="A810">
        <v>18</v>
      </c>
      <c r="B810" t="str" cm="1">
        <f t="array" ref="B810">_xlfn.IFS(A810&lt;=25,"18-25", A810&lt;=35,"26-35", A810&lt;=45,"36-45", A810&lt;=55,"46-55", A810&lt;=64,"56-64")</f>
        <v>18-25</v>
      </c>
      <c r="C810" t="s">
        <v>10</v>
      </c>
      <c r="D810">
        <v>30.14</v>
      </c>
      <c r="E810">
        <v>0</v>
      </c>
      <c r="F810" t="s">
        <v>11</v>
      </c>
      <c r="G810" t="s">
        <v>51</v>
      </c>
      <c r="H810" s="2">
        <v>1131.5065999999999</v>
      </c>
      <c r="I810" s="2">
        <f t="shared" si="84"/>
        <v>1131.5065999999999</v>
      </c>
      <c r="J810" t="str">
        <f t="shared" si="85"/>
        <v>Low</v>
      </c>
      <c r="K810" s="1">
        <f t="shared" si="86"/>
        <v>0</v>
      </c>
      <c r="L810" t="str">
        <f t="shared" si="87"/>
        <v>Obese</v>
      </c>
      <c r="M810" t="str">
        <f t="shared" si="88"/>
        <v>Standard</v>
      </c>
      <c r="N810" t="str">
        <f t="shared" si="89"/>
        <v>Tier 1</v>
      </c>
      <c r="O810">
        <f t="shared" si="90"/>
        <v>3</v>
      </c>
    </row>
    <row r="811" spans="1:15" x14ac:dyDescent="0.2">
      <c r="A811">
        <v>25</v>
      </c>
      <c r="B811" t="str" cm="1">
        <f t="array" ref="B811">_xlfn.IFS(A811&lt;=25,"18-25", A811&lt;=35,"26-35", A811&lt;=45,"36-45", A811&lt;=55,"46-55", A811&lt;=64,"56-64")</f>
        <v>18-25</v>
      </c>
      <c r="C811" t="s">
        <v>10</v>
      </c>
      <c r="D811">
        <v>25.84</v>
      </c>
      <c r="E811">
        <v>1</v>
      </c>
      <c r="F811" t="s">
        <v>11</v>
      </c>
      <c r="G811" t="s">
        <v>53</v>
      </c>
      <c r="H811" s="2">
        <v>3309.7926000000002</v>
      </c>
      <c r="I811" s="2">
        <f t="shared" si="84"/>
        <v>1654.8963000000001</v>
      </c>
      <c r="J811" t="str">
        <f t="shared" si="85"/>
        <v>Low</v>
      </c>
      <c r="K811" s="1">
        <f t="shared" si="86"/>
        <v>0.161</v>
      </c>
      <c r="L811" t="str">
        <f t="shared" si="87"/>
        <v>Overweight</v>
      </c>
      <c r="M811" t="str">
        <f t="shared" si="88"/>
        <v>Standard</v>
      </c>
      <c r="N811" t="str">
        <f t="shared" si="89"/>
        <v>Tier 2</v>
      </c>
      <c r="O811">
        <f t="shared" si="90"/>
        <v>1</v>
      </c>
    </row>
    <row r="812" spans="1:15" x14ac:dyDescent="0.2">
      <c r="A812">
        <v>46</v>
      </c>
      <c r="B812" t="str" cm="1">
        <f t="array" ref="B812">_xlfn.IFS(A812&lt;=25,"18-25", A812&lt;=35,"26-35", A812&lt;=45,"36-45", A812&lt;=55,"46-55", A812&lt;=64,"56-64")</f>
        <v>46-55</v>
      </c>
      <c r="C812" t="s">
        <v>7</v>
      </c>
      <c r="D812">
        <v>30.8</v>
      </c>
      <c r="E812">
        <v>3</v>
      </c>
      <c r="F812" t="s">
        <v>11</v>
      </c>
      <c r="G812" t="s">
        <v>52</v>
      </c>
      <c r="H812" s="2">
        <v>9414.92</v>
      </c>
      <c r="I812" s="2">
        <f t="shared" si="84"/>
        <v>2353.73</v>
      </c>
      <c r="J812" t="str">
        <f t="shared" si="85"/>
        <v>Low</v>
      </c>
      <c r="K812" s="1">
        <f t="shared" si="86"/>
        <v>0.502</v>
      </c>
      <c r="L812" t="str">
        <f t="shared" si="87"/>
        <v>Obese</v>
      </c>
      <c r="M812" t="str">
        <f t="shared" si="88"/>
        <v>Standard</v>
      </c>
      <c r="N812" t="str">
        <f t="shared" si="89"/>
        <v>Tier 3</v>
      </c>
      <c r="O812">
        <f t="shared" si="90"/>
        <v>2</v>
      </c>
    </row>
    <row r="813" spans="1:15" x14ac:dyDescent="0.2">
      <c r="A813">
        <v>33</v>
      </c>
      <c r="B813" t="str" cm="1">
        <f t="array" ref="B813">_xlfn.IFS(A813&lt;=25,"18-25", A813&lt;=35,"26-35", A813&lt;=45,"36-45", A813&lt;=55,"46-55", A813&lt;=64,"56-64")</f>
        <v>26-35</v>
      </c>
      <c r="C813" t="s">
        <v>7</v>
      </c>
      <c r="D813">
        <v>42.94</v>
      </c>
      <c r="E813">
        <v>3</v>
      </c>
      <c r="F813" t="s">
        <v>11</v>
      </c>
      <c r="G813" t="s">
        <v>54</v>
      </c>
      <c r="H813" s="2">
        <v>6360.9935999999998</v>
      </c>
      <c r="I813" s="2">
        <f t="shared" si="84"/>
        <v>1590.2483999999999</v>
      </c>
      <c r="J813" t="str">
        <f t="shared" si="85"/>
        <v>Low</v>
      </c>
      <c r="K813" s="1">
        <f t="shared" si="86"/>
        <v>0.34</v>
      </c>
      <c r="L813" t="str">
        <f t="shared" si="87"/>
        <v>Obese</v>
      </c>
      <c r="M813" t="str">
        <f t="shared" si="88"/>
        <v>Standard</v>
      </c>
      <c r="N813" t="str">
        <f t="shared" si="89"/>
        <v>Tier 4</v>
      </c>
      <c r="O813">
        <f t="shared" si="90"/>
        <v>2</v>
      </c>
    </row>
    <row r="814" spans="1:15" x14ac:dyDescent="0.2">
      <c r="A814">
        <v>54</v>
      </c>
      <c r="B814" t="str" cm="1">
        <f t="array" ref="B814">_xlfn.IFS(A814&lt;=25,"18-25", A814&lt;=35,"26-35", A814&lt;=45,"36-45", A814&lt;=55,"46-55", A814&lt;=64,"56-64")</f>
        <v>46-55</v>
      </c>
      <c r="C814" t="s">
        <v>10</v>
      </c>
      <c r="D814">
        <v>21.01</v>
      </c>
      <c r="E814">
        <v>2</v>
      </c>
      <c r="F814" t="s">
        <v>11</v>
      </c>
      <c r="G814" t="s">
        <v>51</v>
      </c>
      <c r="H814" s="2">
        <v>11013.7119</v>
      </c>
      <c r="I814" s="2">
        <f t="shared" si="84"/>
        <v>3671.2373000000002</v>
      </c>
      <c r="J814" t="str">
        <f t="shared" si="85"/>
        <v>Low</v>
      </c>
      <c r="K814" s="1">
        <f t="shared" si="86"/>
        <v>0.57699999999999996</v>
      </c>
      <c r="L814" t="str">
        <f t="shared" si="87"/>
        <v>Normal</v>
      </c>
      <c r="M814" t="str">
        <f t="shared" si="88"/>
        <v>Standard</v>
      </c>
      <c r="N814" t="str">
        <f t="shared" si="89"/>
        <v>Tier 1</v>
      </c>
      <c r="O814">
        <f t="shared" si="90"/>
        <v>1</v>
      </c>
    </row>
    <row r="815" spans="1:15" x14ac:dyDescent="0.2">
      <c r="A815">
        <v>28</v>
      </c>
      <c r="B815" t="str" cm="1">
        <f t="array" ref="B815">_xlfn.IFS(A815&lt;=25,"18-25", A815&lt;=35,"26-35", A815&lt;=45,"36-45", A815&lt;=55,"46-55", A815&lt;=64,"56-64")</f>
        <v>26-35</v>
      </c>
      <c r="C815" t="s">
        <v>10</v>
      </c>
      <c r="D815">
        <v>22.515000000000001</v>
      </c>
      <c r="E815">
        <v>2</v>
      </c>
      <c r="F815" t="s">
        <v>11</v>
      </c>
      <c r="G815" t="s">
        <v>53</v>
      </c>
      <c r="H815" s="2">
        <v>4428.8878500000001</v>
      </c>
      <c r="I815" s="2">
        <f t="shared" si="84"/>
        <v>1476.2959499999999</v>
      </c>
      <c r="J815" t="str">
        <f t="shared" si="85"/>
        <v>Low</v>
      </c>
      <c r="K815" s="1">
        <f t="shared" si="86"/>
        <v>0.22500000000000001</v>
      </c>
      <c r="L815" t="str">
        <f t="shared" si="87"/>
        <v>Normal</v>
      </c>
      <c r="M815" t="str">
        <f t="shared" si="88"/>
        <v>Standard</v>
      </c>
      <c r="N815" t="str">
        <f t="shared" si="89"/>
        <v>Tier 2</v>
      </c>
      <c r="O815">
        <f t="shared" si="90"/>
        <v>0</v>
      </c>
    </row>
    <row r="816" spans="1:15" x14ac:dyDescent="0.2">
      <c r="A816">
        <v>36</v>
      </c>
      <c r="B816" t="str" cm="1">
        <f t="array" ref="B816">_xlfn.IFS(A816&lt;=25,"18-25", A816&lt;=35,"26-35", A816&lt;=45,"36-45", A816&lt;=55,"46-55", A816&lt;=64,"56-64")</f>
        <v>36-45</v>
      </c>
      <c r="C816" t="s">
        <v>10</v>
      </c>
      <c r="D816">
        <v>34.43</v>
      </c>
      <c r="E816">
        <v>2</v>
      </c>
      <c r="F816" t="s">
        <v>11</v>
      </c>
      <c r="G816" t="s">
        <v>51</v>
      </c>
      <c r="H816" s="2">
        <v>5584.3056999999999</v>
      </c>
      <c r="I816" s="2">
        <f t="shared" si="84"/>
        <v>1861.4352333333334</v>
      </c>
      <c r="J816" t="str">
        <f t="shared" si="85"/>
        <v>Low</v>
      </c>
      <c r="K816" s="1">
        <f t="shared" si="86"/>
        <v>0.30099999999999999</v>
      </c>
      <c r="L816" t="str">
        <f t="shared" si="87"/>
        <v>Obese</v>
      </c>
      <c r="M816" t="str">
        <f t="shared" si="88"/>
        <v>Standard</v>
      </c>
      <c r="N816" t="str">
        <f t="shared" si="89"/>
        <v>Tier 1</v>
      </c>
      <c r="O816">
        <f t="shared" si="90"/>
        <v>3</v>
      </c>
    </row>
    <row r="817" spans="1:15" x14ac:dyDescent="0.2">
      <c r="A817">
        <v>20</v>
      </c>
      <c r="B817" t="str" cm="1">
        <f t="array" ref="B817">_xlfn.IFS(A817&lt;=25,"18-25", A817&lt;=35,"26-35", A817&lt;=45,"36-45", A817&lt;=55,"46-55", A817&lt;=64,"56-64")</f>
        <v>18-25</v>
      </c>
      <c r="C817" t="s">
        <v>7</v>
      </c>
      <c r="D817">
        <v>31.46</v>
      </c>
      <c r="E817">
        <v>0</v>
      </c>
      <c r="F817" t="s">
        <v>11</v>
      </c>
      <c r="G817" t="s">
        <v>51</v>
      </c>
      <c r="H817" s="2">
        <v>1877.9294</v>
      </c>
      <c r="I817" s="2">
        <f t="shared" si="84"/>
        <v>1877.9294</v>
      </c>
      <c r="J817" t="str">
        <f t="shared" si="85"/>
        <v>Low</v>
      </c>
      <c r="K817" s="1">
        <f t="shared" si="86"/>
        <v>5.7000000000000002E-2</v>
      </c>
      <c r="L817" t="str">
        <f t="shared" si="87"/>
        <v>Obese</v>
      </c>
      <c r="M817" t="str">
        <f t="shared" si="88"/>
        <v>Standard</v>
      </c>
      <c r="N817" t="str">
        <f t="shared" si="89"/>
        <v>Tier 1</v>
      </c>
      <c r="O817">
        <f t="shared" si="90"/>
        <v>3</v>
      </c>
    </row>
    <row r="818" spans="1:15" x14ac:dyDescent="0.2">
      <c r="A818">
        <v>24</v>
      </c>
      <c r="B818" t="str" cm="1">
        <f t="array" ref="B818">_xlfn.IFS(A818&lt;=25,"18-25", A818&lt;=35,"26-35", A818&lt;=45,"36-45", A818&lt;=55,"46-55", A818&lt;=64,"56-64")</f>
        <v>18-25</v>
      </c>
      <c r="C818" t="s">
        <v>7</v>
      </c>
      <c r="D818">
        <v>24.225000000000001</v>
      </c>
      <c r="E818">
        <v>0</v>
      </c>
      <c r="F818" t="s">
        <v>11</v>
      </c>
      <c r="G818" t="s">
        <v>54</v>
      </c>
      <c r="H818" s="2">
        <v>2842.7607499999999</v>
      </c>
      <c r="I818" s="2">
        <f t="shared" si="84"/>
        <v>2842.7607499999999</v>
      </c>
      <c r="J818" t="str">
        <f t="shared" si="85"/>
        <v>Low</v>
      </c>
      <c r="K818" s="1">
        <f t="shared" si="86"/>
        <v>0.13300000000000001</v>
      </c>
      <c r="L818" t="str">
        <f t="shared" si="87"/>
        <v>Normal</v>
      </c>
      <c r="M818" t="str">
        <f t="shared" si="88"/>
        <v>Standard</v>
      </c>
      <c r="N818" t="str">
        <f t="shared" si="89"/>
        <v>Tier 4</v>
      </c>
      <c r="O818">
        <f t="shared" si="90"/>
        <v>0</v>
      </c>
    </row>
    <row r="819" spans="1:15" x14ac:dyDescent="0.2">
      <c r="A819">
        <v>23</v>
      </c>
      <c r="B819" t="str" cm="1">
        <f t="array" ref="B819">_xlfn.IFS(A819&lt;=25,"18-25", A819&lt;=35,"26-35", A819&lt;=45,"36-45", A819&lt;=55,"46-55", A819&lt;=64,"56-64")</f>
        <v>18-25</v>
      </c>
      <c r="C819" t="s">
        <v>10</v>
      </c>
      <c r="D819">
        <v>37.1</v>
      </c>
      <c r="E819">
        <v>3</v>
      </c>
      <c r="F819" t="s">
        <v>11</v>
      </c>
      <c r="G819" t="s">
        <v>52</v>
      </c>
      <c r="H819" s="2">
        <v>3597.596</v>
      </c>
      <c r="I819" s="2">
        <f t="shared" si="84"/>
        <v>899.399</v>
      </c>
      <c r="J819" t="str">
        <f t="shared" si="85"/>
        <v>Low</v>
      </c>
      <c r="K819" s="1">
        <f t="shared" si="86"/>
        <v>0.18</v>
      </c>
      <c r="L819" t="str">
        <f t="shared" si="87"/>
        <v>Obese</v>
      </c>
      <c r="M819" t="str">
        <f t="shared" si="88"/>
        <v>Standard</v>
      </c>
      <c r="N819" t="str">
        <f t="shared" si="89"/>
        <v>Tier 3</v>
      </c>
      <c r="O819">
        <f t="shared" si="90"/>
        <v>2</v>
      </c>
    </row>
    <row r="820" spans="1:15" x14ac:dyDescent="0.2">
      <c r="A820">
        <v>47</v>
      </c>
      <c r="B820" t="str" cm="1">
        <f t="array" ref="B820">_xlfn.IFS(A820&lt;=25,"18-25", A820&lt;=35,"26-35", A820&lt;=45,"36-45", A820&lt;=55,"46-55", A820&lt;=64,"56-64")</f>
        <v>46-55</v>
      </c>
      <c r="C820" t="s">
        <v>7</v>
      </c>
      <c r="D820">
        <v>26.125</v>
      </c>
      <c r="E820">
        <v>1</v>
      </c>
      <c r="F820" t="s">
        <v>8</v>
      </c>
      <c r="G820" t="s">
        <v>53</v>
      </c>
      <c r="H820" s="2">
        <v>23401.30575</v>
      </c>
      <c r="I820" s="2">
        <f t="shared" si="84"/>
        <v>11700.652875</v>
      </c>
      <c r="J820" t="str">
        <f t="shared" si="85"/>
        <v>High</v>
      </c>
      <c r="K820" s="1">
        <f t="shared" si="86"/>
        <v>0.83299999999999996</v>
      </c>
      <c r="L820" t="str">
        <f t="shared" si="87"/>
        <v>Overweight</v>
      </c>
      <c r="M820" t="str">
        <f t="shared" si="88"/>
        <v>High Risk</v>
      </c>
      <c r="N820" t="str">
        <f t="shared" si="89"/>
        <v>Tier 2</v>
      </c>
      <c r="O820">
        <f t="shared" si="90"/>
        <v>4</v>
      </c>
    </row>
    <row r="821" spans="1:15" x14ac:dyDescent="0.2">
      <c r="A821">
        <v>33</v>
      </c>
      <c r="B821" t="str" cm="1">
        <f t="array" ref="B821">_xlfn.IFS(A821&lt;=25,"18-25", A821&lt;=35,"26-35", A821&lt;=45,"36-45", A821&lt;=55,"46-55", A821&lt;=64,"56-64")</f>
        <v>26-35</v>
      </c>
      <c r="C821" t="s">
        <v>7</v>
      </c>
      <c r="D821">
        <v>35.53</v>
      </c>
      <c r="E821">
        <v>0</v>
      </c>
      <c r="F821" t="s">
        <v>8</v>
      </c>
      <c r="G821" t="s">
        <v>54</v>
      </c>
      <c r="H821" s="2">
        <v>55135.402090000003</v>
      </c>
      <c r="I821" s="2">
        <f t="shared" si="84"/>
        <v>55135.402090000003</v>
      </c>
      <c r="J821" t="str">
        <f t="shared" si="85"/>
        <v>High</v>
      </c>
      <c r="K821" s="1">
        <f t="shared" si="86"/>
        <v>0.997</v>
      </c>
      <c r="L821" t="str">
        <f t="shared" si="87"/>
        <v>Obese</v>
      </c>
      <c r="M821" t="str">
        <f t="shared" si="88"/>
        <v>High Risk</v>
      </c>
      <c r="N821" t="str">
        <f t="shared" si="89"/>
        <v>Tier 4</v>
      </c>
      <c r="O821">
        <f t="shared" si="90"/>
        <v>5</v>
      </c>
    </row>
    <row r="822" spans="1:15" x14ac:dyDescent="0.2">
      <c r="A822">
        <v>45</v>
      </c>
      <c r="B822" t="str" cm="1">
        <f t="array" ref="B822">_xlfn.IFS(A822&lt;=25,"18-25", A822&lt;=35,"26-35", A822&lt;=45,"36-45", A822&lt;=55,"46-55", A822&lt;=64,"56-64")</f>
        <v>36-45</v>
      </c>
      <c r="C822" t="s">
        <v>10</v>
      </c>
      <c r="D822">
        <v>33.700000000000003</v>
      </c>
      <c r="E822">
        <v>1</v>
      </c>
      <c r="F822" t="s">
        <v>11</v>
      </c>
      <c r="G822" t="s">
        <v>52</v>
      </c>
      <c r="H822" s="2">
        <v>7445.9179999999997</v>
      </c>
      <c r="I822" s="2">
        <f t="shared" si="84"/>
        <v>3722.9589999999998</v>
      </c>
      <c r="J822" t="str">
        <f t="shared" si="85"/>
        <v>Low</v>
      </c>
      <c r="K822" s="1">
        <f t="shared" si="86"/>
        <v>0.40500000000000003</v>
      </c>
      <c r="L822" t="str">
        <f t="shared" si="87"/>
        <v>Obese</v>
      </c>
      <c r="M822" t="str">
        <f t="shared" si="88"/>
        <v>Standard</v>
      </c>
      <c r="N822" t="str">
        <f t="shared" si="89"/>
        <v>Tier 3</v>
      </c>
      <c r="O822">
        <f t="shared" si="90"/>
        <v>2</v>
      </c>
    </row>
    <row r="823" spans="1:15" x14ac:dyDescent="0.2">
      <c r="A823">
        <v>26</v>
      </c>
      <c r="B823" t="str" cm="1">
        <f t="array" ref="B823">_xlfn.IFS(A823&lt;=25,"18-25", A823&lt;=35,"26-35", A823&lt;=45,"36-45", A823&lt;=55,"46-55", A823&lt;=64,"56-64")</f>
        <v>26-35</v>
      </c>
      <c r="C823" t="s">
        <v>10</v>
      </c>
      <c r="D823">
        <v>17.670000000000002</v>
      </c>
      <c r="E823">
        <v>0</v>
      </c>
      <c r="F823" t="s">
        <v>11</v>
      </c>
      <c r="G823" t="s">
        <v>54</v>
      </c>
      <c r="H823" s="2">
        <v>2680.9493000000002</v>
      </c>
      <c r="I823" s="2">
        <f t="shared" si="84"/>
        <v>2680.9493000000002</v>
      </c>
      <c r="J823" t="str">
        <f t="shared" si="85"/>
        <v>Low</v>
      </c>
      <c r="K823" s="1">
        <f t="shared" si="86"/>
        <v>0.12</v>
      </c>
      <c r="L823" t="str">
        <f t="shared" si="87"/>
        <v>Underweight</v>
      </c>
      <c r="M823" t="str">
        <f t="shared" si="88"/>
        <v>Standard</v>
      </c>
      <c r="N823" t="str">
        <f t="shared" si="89"/>
        <v>Tier 4</v>
      </c>
      <c r="O823">
        <f t="shared" si="90"/>
        <v>0</v>
      </c>
    </row>
    <row r="824" spans="1:15" x14ac:dyDescent="0.2">
      <c r="A824">
        <v>18</v>
      </c>
      <c r="B824" t="str" cm="1">
        <f t="array" ref="B824">_xlfn.IFS(A824&lt;=25,"18-25", A824&lt;=35,"26-35", A824&lt;=45,"36-45", A824&lt;=55,"46-55", A824&lt;=64,"56-64")</f>
        <v>18-25</v>
      </c>
      <c r="C824" t="s">
        <v>7</v>
      </c>
      <c r="D824">
        <v>31.13</v>
      </c>
      <c r="E824">
        <v>0</v>
      </c>
      <c r="F824" t="s">
        <v>11</v>
      </c>
      <c r="G824" t="s">
        <v>51</v>
      </c>
      <c r="H824" s="2">
        <v>1621.8827000000001</v>
      </c>
      <c r="I824" s="2">
        <f t="shared" si="84"/>
        <v>1621.8827000000001</v>
      </c>
      <c r="J824" t="str">
        <f t="shared" si="85"/>
        <v>Low</v>
      </c>
      <c r="K824" s="1">
        <f t="shared" si="86"/>
        <v>0.02</v>
      </c>
      <c r="L824" t="str">
        <f t="shared" si="87"/>
        <v>Obese</v>
      </c>
      <c r="M824" t="str">
        <f t="shared" si="88"/>
        <v>Standard</v>
      </c>
      <c r="N824" t="str">
        <f t="shared" si="89"/>
        <v>Tier 1</v>
      </c>
      <c r="O824">
        <f t="shared" si="90"/>
        <v>3</v>
      </c>
    </row>
    <row r="825" spans="1:15" x14ac:dyDescent="0.2">
      <c r="A825">
        <v>44</v>
      </c>
      <c r="B825" t="str" cm="1">
        <f t="array" ref="B825">_xlfn.IFS(A825&lt;=25,"18-25", A825&lt;=35,"26-35", A825&lt;=45,"36-45", A825&lt;=55,"46-55", A825&lt;=64,"56-64")</f>
        <v>36-45</v>
      </c>
      <c r="C825" t="s">
        <v>7</v>
      </c>
      <c r="D825">
        <v>29.81</v>
      </c>
      <c r="E825">
        <v>2</v>
      </c>
      <c r="F825" t="s">
        <v>11</v>
      </c>
      <c r="G825" t="s">
        <v>51</v>
      </c>
      <c r="H825" s="2">
        <v>8219.2039000000004</v>
      </c>
      <c r="I825" s="2">
        <f t="shared" si="84"/>
        <v>2739.7346333333335</v>
      </c>
      <c r="J825" t="str">
        <f t="shared" si="85"/>
        <v>Low</v>
      </c>
      <c r="K825" s="1">
        <f t="shared" si="86"/>
        <v>0.436</v>
      </c>
      <c r="L825" t="str">
        <f t="shared" si="87"/>
        <v>Overweight</v>
      </c>
      <c r="M825" t="str">
        <f t="shared" si="88"/>
        <v>Standard</v>
      </c>
      <c r="N825" t="str">
        <f t="shared" si="89"/>
        <v>Tier 1</v>
      </c>
      <c r="O825">
        <f t="shared" si="90"/>
        <v>2</v>
      </c>
    </row>
    <row r="826" spans="1:15" x14ac:dyDescent="0.2">
      <c r="A826">
        <v>60</v>
      </c>
      <c r="B826" t="str" cm="1">
        <f t="array" ref="B826">_xlfn.IFS(A826&lt;=25,"18-25", A826&lt;=35,"26-35", A826&lt;=45,"36-45", A826&lt;=55,"46-55", A826&lt;=64,"56-64")</f>
        <v>56-64</v>
      </c>
      <c r="C826" t="s">
        <v>10</v>
      </c>
      <c r="D826">
        <v>24.32</v>
      </c>
      <c r="E826">
        <v>0</v>
      </c>
      <c r="F826" t="s">
        <v>11</v>
      </c>
      <c r="G826" t="s">
        <v>54</v>
      </c>
      <c r="H826" s="2">
        <v>12523.604799999999</v>
      </c>
      <c r="I826" s="2">
        <f t="shared" si="84"/>
        <v>12523.604799999999</v>
      </c>
      <c r="J826" t="str">
        <f t="shared" si="85"/>
        <v>Low</v>
      </c>
      <c r="K826" s="1">
        <f t="shared" si="86"/>
        <v>0.65400000000000003</v>
      </c>
      <c r="L826" t="str">
        <f t="shared" si="87"/>
        <v>Normal</v>
      </c>
      <c r="M826" t="str">
        <f t="shared" si="88"/>
        <v>Standard</v>
      </c>
      <c r="N826" t="str">
        <f t="shared" si="89"/>
        <v>Tier 4</v>
      </c>
      <c r="O826">
        <f t="shared" si="90"/>
        <v>0</v>
      </c>
    </row>
    <row r="827" spans="1:15" x14ac:dyDescent="0.2">
      <c r="A827">
        <v>64</v>
      </c>
      <c r="B827" t="str" cm="1">
        <f t="array" ref="B827">_xlfn.IFS(A827&lt;=25,"18-25", A827&lt;=35,"26-35", A827&lt;=45,"36-45", A827&lt;=55,"46-55", A827&lt;=64,"56-64")</f>
        <v>56-64</v>
      </c>
      <c r="C827" t="s">
        <v>7</v>
      </c>
      <c r="D827">
        <v>31.824999999999999</v>
      </c>
      <c r="E827">
        <v>2</v>
      </c>
      <c r="F827" t="s">
        <v>11</v>
      </c>
      <c r="G827" t="s">
        <v>53</v>
      </c>
      <c r="H827" s="2">
        <v>16069.08475</v>
      </c>
      <c r="I827" s="2">
        <f t="shared" si="84"/>
        <v>5356.3615833333333</v>
      </c>
      <c r="J827" t="str">
        <f t="shared" si="85"/>
        <v>High</v>
      </c>
      <c r="K827" s="1">
        <f t="shared" si="86"/>
        <v>0.74099999999999999</v>
      </c>
      <c r="L827" t="str">
        <f t="shared" si="87"/>
        <v>Obese</v>
      </c>
      <c r="M827" t="str">
        <f t="shared" si="88"/>
        <v>Standard</v>
      </c>
      <c r="N827" t="str">
        <f t="shared" si="89"/>
        <v>Tier 2</v>
      </c>
      <c r="O827">
        <f t="shared" si="90"/>
        <v>2</v>
      </c>
    </row>
    <row r="828" spans="1:15" x14ac:dyDescent="0.2">
      <c r="A828">
        <v>56</v>
      </c>
      <c r="B828" t="str" cm="1">
        <f t="array" ref="B828">_xlfn.IFS(A828&lt;=25,"18-25", A828&lt;=35,"26-35", A828&lt;=45,"36-45", A828&lt;=55,"46-55", A828&lt;=64,"56-64")</f>
        <v>56-64</v>
      </c>
      <c r="C828" t="s">
        <v>10</v>
      </c>
      <c r="D828">
        <v>31.79</v>
      </c>
      <c r="E828">
        <v>2</v>
      </c>
      <c r="F828" t="s">
        <v>8</v>
      </c>
      <c r="G828" t="s">
        <v>51</v>
      </c>
      <c r="H828" s="2">
        <v>43813.866099999999</v>
      </c>
      <c r="I828" s="2">
        <f t="shared" si="84"/>
        <v>14604.622033333333</v>
      </c>
      <c r="J828" t="str">
        <f t="shared" si="85"/>
        <v>High</v>
      </c>
      <c r="K828" s="1">
        <f t="shared" si="86"/>
        <v>0.96399999999999997</v>
      </c>
      <c r="L828" t="str">
        <f t="shared" si="87"/>
        <v>Obese</v>
      </c>
      <c r="M828" t="str">
        <f t="shared" si="88"/>
        <v>High Risk</v>
      </c>
      <c r="N828" t="str">
        <f t="shared" si="89"/>
        <v>Tier 1</v>
      </c>
      <c r="O828">
        <f t="shared" si="90"/>
        <v>6</v>
      </c>
    </row>
    <row r="829" spans="1:15" x14ac:dyDescent="0.2">
      <c r="A829">
        <v>36</v>
      </c>
      <c r="B829" t="str" cm="1">
        <f t="array" ref="B829">_xlfn.IFS(A829&lt;=25,"18-25", A829&lt;=35,"26-35", A829&lt;=45,"36-45", A829&lt;=55,"46-55", A829&lt;=64,"56-64")</f>
        <v>36-45</v>
      </c>
      <c r="C829" t="s">
        <v>10</v>
      </c>
      <c r="D829">
        <v>28.024999999999999</v>
      </c>
      <c r="E829">
        <v>1</v>
      </c>
      <c r="F829" t="s">
        <v>8</v>
      </c>
      <c r="G829" t="s">
        <v>53</v>
      </c>
      <c r="H829" s="2">
        <v>20773.62775</v>
      </c>
      <c r="I829" s="2">
        <f t="shared" si="84"/>
        <v>10386.813875</v>
      </c>
      <c r="J829" t="str">
        <f t="shared" si="85"/>
        <v>High</v>
      </c>
      <c r="K829" s="1">
        <f t="shared" si="86"/>
        <v>0.80500000000000005</v>
      </c>
      <c r="L829" t="str">
        <f t="shared" si="87"/>
        <v>Overweight</v>
      </c>
      <c r="M829" t="str">
        <f t="shared" si="88"/>
        <v>High Risk</v>
      </c>
      <c r="N829" t="str">
        <f t="shared" si="89"/>
        <v>Tier 2</v>
      </c>
      <c r="O829">
        <f t="shared" si="90"/>
        <v>4</v>
      </c>
    </row>
    <row r="830" spans="1:15" x14ac:dyDescent="0.2">
      <c r="A830">
        <v>41</v>
      </c>
      <c r="B830" t="str" cm="1">
        <f t="array" ref="B830">_xlfn.IFS(A830&lt;=25,"18-25", A830&lt;=35,"26-35", A830&lt;=45,"36-45", A830&lt;=55,"46-55", A830&lt;=64,"56-64")</f>
        <v>36-45</v>
      </c>
      <c r="C830" t="s">
        <v>10</v>
      </c>
      <c r="D830">
        <v>30.78</v>
      </c>
      <c r="E830">
        <v>3</v>
      </c>
      <c r="F830" t="s">
        <v>8</v>
      </c>
      <c r="G830" t="s">
        <v>53</v>
      </c>
      <c r="H830" s="2">
        <v>39597.407200000001</v>
      </c>
      <c r="I830" s="2">
        <f t="shared" si="84"/>
        <v>9899.3518000000004</v>
      </c>
      <c r="J830" t="str">
        <f t="shared" si="85"/>
        <v>High</v>
      </c>
      <c r="K830" s="1">
        <f t="shared" si="86"/>
        <v>0.93400000000000005</v>
      </c>
      <c r="L830" t="str">
        <f t="shared" si="87"/>
        <v>Obese</v>
      </c>
      <c r="M830" t="str">
        <f t="shared" si="88"/>
        <v>High Risk</v>
      </c>
      <c r="N830" t="str">
        <f t="shared" si="89"/>
        <v>Tier 2</v>
      </c>
      <c r="O830">
        <f t="shared" si="90"/>
        <v>5</v>
      </c>
    </row>
    <row r="831" spans="1:15" x14ac:dyDescent="0.2">
      <c r="A831">
        <v>39</v>
      </c>
      <c r="B831" t="str" cm="1">
        <f t="array" ref="B831">_xlfn.IFS(A831&lt;=25,"18-25", A831&lt;=35,"26-35", A831&lt;=45,"36-45", A831&lt;=55,"46-55", A831&lt;=64,"56-64")</f>
        <v>36-45</v>
      </c>
      <c r="C831" t="s">
        <v>10</v>
      </c>
      <c r="D831">
        <v>21.85</v>
      </c>
      <c r="E831">
        <v>1</v>
      </c>
      <c r="F831" t="s">
        <v>11</v>
      </c>
      <c r="G831" t="s">
        <v>54</v>
      </c>
      <c r="H831" s="2">
        <v>6117.4944999999998</v>
      </c>
      <c r="I831" s="2">
        <f t="shared" si="84"/>
        <v>3058.7472499999999</v>
      </c>
      <c r="J831" t="str">
        <f t="shared" si="85"/>
        <v>Low</v>
      </c>
      <c r="K831" s="1">
        <f t="shared" si="86"/>
        <v>0.32500000000000001</v>
      </c>
      <c r="L831" t="str">
        <f t="shared" si="87"/>
        <v>Normal</v>
      </c>
      <c r="M831" t="str">
        <f t="shared" si="88"/>
        <v>Standard</v>
      </c>
      <c r="N831" t="str">
        <f t="shared" si="89"/>
        <v>Tier 4</v>
      </c>
      <c r="O831">
        <f t="shared" si="90"/>
        <v>0</v>
      </c>
    </row>
    <row r="832" spans="1:15" x14ac:dyDescent="0.2">
      <c r="A832">
        <v>63</v>
      </c>
      <c r="B832" t="str" cm="1">
        <f t="array" ref="B832">_xlfn.IFS(A832&lt;=25,"18-25", A832&lt;=35,"26-35", A832&lt;=45,"36-45", A832&lt;=55,"46-55", A832&lt;=64,"56-64")</f>
        <v>56-64</v>
      </c>
      <c r="C832" t="s">
        <v>10</v>
      </c>
      <c r="D832">
        <v>33.1</v>
      </c>
      <c r="E832">
        <v>0</v>
      </c>
      <c r="F832" t="s">
        <v>11</v>
      </c>
      <c r="G832" t="s">
        <v>52</v>
      </c>
      <c r="H832" s="2">
        <v>13393.755999999999</v>
      </c>
      <c r="I832" s="2">
        <f t="shared" si="84"/>
        <v>13393.755999999999</v>
      </c>
      <c r="J832" t="str">
        <f t="shared" si="85"/>
        <v>High</v>
      </c>
      <c r="K832" s="1">
        <f t="shared" si="86"/>
        <v>0.68799999999999994</v>
      </c>
      <c r="L832" t="str">
        <f t="shared" si="87"/>
        <v>Obese</v>
      </c>
      <c r="M832" t="str">
        <f t="shared" si="88"/>
        <v>Standard</v>
      </c>
      <c r="N832" t="str">
        <f t="shared" si="89"/>
        <v>Tier 3</v>
      </c>
      <c r="O832">
        <f t="shared" si="90"/>
        <v>2</v>
      </c>
    </row>
    <row r="833" spans="1:15" x14ac:dyDescent="0.2">
      <c r="A833">
        <v>36</v>
      </c>
      <c r="B833" t="str" cm="1">
        <f t="array" ref="B833">_xlfn.IFS(A833&lt;=25,"18-25", A833&lt;=35,"26-35", A833&lt;=45,"36-45", A833&lt;=55,"46-55", A833&lt;=64,"56-64")</f>
        <v>36-45</v>
      </c>
      <c r="C833" t="s">
        <v>7</v>
      </c>
      <c r="D833">
        <v>25.84</v>
      </c>
      <c r="E833">
        <v>0</v>
      </c>
      <c r="F833" t="s">
        <v>11</v>
      </c>
      <c r="G833" t="s">
        <v>54</v>
      </c>
      <c r="H833" s="2">
        <v>5266.3656000000001</v>
      </c>
      <c r="I833" s="2">
        <f t="shared" si="84"/>
        <v>5266.3656000000001</v>
      </c>
      <c r="J833" t="str">
        <f t="shared" si="85"/>
        <v>Low</v>
      </c>
      <c r="K833" s="1">
        <f t="shared" si="86"/>
        <v>0.28299999999999997</v>
      </c>
      <c r="L833" t="str">
        <f t="shared" si="87"/>
        <v>Overweight</v>
      </c>
      <c r="M833" t="str">
        <f t="shared" si="88"/>
        <v>Standard</v>
      </c>
      <c r="N833" t="str">
        <f t="shared" si="89"/>
        <v>Tier 4</v>
      </c>
      <c r="O833">
        <f t="shared" si="90"/>
        <v>1</v>
      </c>
    </row>
    <row r="834" spans="1:15" x14ac:dyDescent="0.2">
      <c r="A834">
        <v>28</v>
      </c>
      <c r="B834" t="str" cm="1">
        <f t="array" ref="B834">_xlfn.IFS(A834&lt;=25,"18-25", A834&lt;=35,"26-35", A834&lt;=45,"36-45", A834&lt;=55,"46-55", A834&lt;=64,"56-64")</f>
        <v>26-35</v>
      </c>
      <c r="C834" t="s">
        <v>7</v>
      </c>
      <c r="D834">
        <v>23.844999999999999</v>
      </c>
      <c r="E834">
        <v>2</v>
      </c>
      <c r="F834" t="s">
        <v>11</v>
      </c>
      <c r="G834" t="s">
        <v>54</v>
      </c>
      <c r="H834" s="2">
        <v>4719.7365499999996</v>
      </c>
      <c r="I834" s="2">
        <f t="shared" ref="I834:I897" si="91">H834/(E834+1)</f>
        <v>1573.2455166666666</v>
      </c>
      <c r="J834" t="str">
        <f t="shared" ref="J834:J897" si="92">IF(H834&gt;AVERAGE($H$2:$H$1339),"High","Low")</f>
        <v>Low</v>
      </c>
      <c r="K834" s="1">
        <f t="shared" ref="K834:K897" si="93">PERCENTRANK($H$2:$H$1339,H834)</f>
        <v>0.249</v>
      </c>
      <c r="L834" t="str">
        <f t="shared" ref="L834:L897" si="94">IF(D834&lt;18.5,"Underweight",IF(D834&lt;25,"Normal",IF(D834&lt;30,"Overweight","Obese")))</f>
        <v>Normal</v>
      </c>
      <c r="M834" t="str">
        <f t="shared" ref="M834:M897" si="95">IF(F834="yes","High Risk","Standard")</f>
        <v>Standard</v>
      </c>
      <c r="N834" t="str">
        <f t="shared" ref="N834:N897" si="96">IF(G834="southeast","Tier 1",IF(G834="northeast","Tier 2",IF(G834="southwest","Tier 3","Tier 4")))</f>
        <v>Tier 4</v>
      </c>
      <c r="O834">
        <f t="shared" ref="O834:O897" si="97">IF(F834="yes",3,0)+IF(D834&gt;=30,2,IF(D834&gt;=25,1,0))+IF(G834="southeast",1,0)</f>
        <v>0</v>
      </c>
    </row>
    <row r="835" spans="1:15" x14ac:dyDescent="0.2">
      <c r="A835">
        <v>58</v>
      </c>
      <c r="B835" t="str" cm="1">
        <f t="array" ref="B835">_xlfn.IFS(A835&lt;=25,"18-25", A835&lt;=35,"26-35", A835&lt;=45,"36-45", A835&lt;=55,"46-55", A835&lt;=64,"56-64")</f>
        <v>56-64</v>
      </c>
      <c r="C835" t="s">
        <v>10</v>
      </c>
      <c r="D835">
        <v>34.39</v>
      </c>
      <c r="E835">
        <v>0</v>
      </c>
      <c r="F835" t="s">
        <v>11</v>
      </c>
      <c r="G835" t="s">
        <v>54</v>
      </c>
      <c r="H835" s="2">
        <v>11743.9341</v>
      </c>
      <c r="I835" s="2">
        <f t="shared" si="91"/>
        <v>11743.9341</v>
      </c>
      <c r="J835" t="str">
        <f t="shared" si="92"/>
        <v>Low</v>
      </c>
      <c r="K835" s="1">
        <f t="shared" si="93"/>
        <v>0.61699999999999999</v>
      </c>
      <c r="L835" t="str">
        <f t="shared" si="94"/>
        <v>Obese</v>
      </c>
      <c r="M835" t="str">
        <f t="shared" si="95"/>
        <v>Standard</v>
      </c>
      <c r="N835" t="str">
        <f t="shared" si="96"/>
        <v>Tier 4</v>
      </c>
      <c r="O835">
        <f t="shared" si="97"/>
        <v>2</v>
      </c>
    </row>
    <row r="836" spans="1:15" x14ac:dyDescent="0.2">
      <c r="A836">
        <v>36</v>
      </c>
      <c r="B836" t="str" cm="1">
        <f t="array" ref="B836">_xlfn.IFS(A836&lt;=25,"18-25", A836&lt;=35,"26-35", A836&lt;=45,"36-45", A836&lt;=55,"46-55", A836&lt;=64,"56-64")</f>
        <v>36-45</v>
      </c>
      <c r="C836" t="s">
        <v>10</v>
      </c>
      <c r="D836">
        <v>33.82</v>
      </c>
      <c r="E836">
        <v>1</v>
      </c>
      <c r="F836" t="s">
        <v>11</v>
      </c>
      <c r="G836" t="s">
        <v>54</v>
      </c>
      <c r="H836" s="2">
        <v>5377.4578000000001</v>
      </c>
      <c r="I836" s="2">
        <f t="shared" si="91"/>
        <v>2688.7289000000001</v>
      </c>
      <c r="J836" t="str">
        <f t="shared" si="92"/>
        <v>Low</v>
      </c>
      <c r="K836" s="1">
        <f t="shared" si="93"/>
        <v>0.28999999999999998</v>
      </c>
      <c r="L836" t="str">
        <f t="shared" si="94"/>
        <v>Obese</v>
      </c>
      <c r="M836" t="str">
        <f t="shared" si="95"/>
        <v>Standard</v>
      </c>
      <c r="N836" t="str">
        <f t="shared" si="96"/>
        <v>Tier 4</v>
      </c>
      <c r="O836">
        <f t="shared" si="97"/>
        <v>2</v>
      </c>
    </row>
    <row r="837" spans="1:15" x14ac:dyDescent="0.2">
      <c r="A837">
        <v>42</v>
      </c>
      <c r="B837" t="str" cm="1">
        <f t="array" ref="B837">_xlfn.IFS(A837&lt;=25,"18-25", A837&lt;=35,"26-35", A837&lt;=45,"36-45", A837&lt;=55,"46-55", A837&lt;=64,"56-64")</f>
        <v>36-45</v>
      </c>
      <c r="C837" t="s">
        <v>10</v>
      </c>
      <c r="D837">
        <v>35.97</v>
      </c>
      <c r="E837">
        <v>2</v>
      </c>
      <c r="F837" t="s">
        <v>11</v>
      </c>
      <c r="G837" t="s">
        <v>51</v>
      </c>
      <c r="H837" s="2">
        <v>7160.3302999999996</v>
      </c>
      <c r="I837" s="2">
        <f t="shared" si="91"/>
        <v>2386.7767666666664</v>
      </c>
      <c r="J837" t="str">
        <f t="shared" si="92"/>
        <v>Low</v>
      </c>
      <c r="K837" s="1">
        <f t="shared" si="93"/>
        <v>0.38500000000000001</v>
      </c>
      <c r="L837" t="str">
        <f t="shared" si="94"/>
        <v>Obese</v>
      </c>
      <c r="M837" t="str">
        <f t="shared" si="95"/>
        <v>Standard</v>
      </c>
      <c r="N837" t="str">
        <f t="shared" si="96"/>
        <v>Tier 1</v>
      </c>
      <c r="O837">
        <f t="shared" si="97"/>
        <v>3</v>
      </c>
    </row>
    <row r="838" spans="1:15" x14ac:dyDescent="0.2">
      <c r="A838">
        <v>36</v>
      </c>
      <c r="B838" t="str" cm="1">
        <f t="array" ref="B838">_xlfn.IFS(A838&lt;=25,"18-25", A838&lt;=35,"26-35", A838&lt;=45,"36-45", A838&lt;=55,"46-55", A838&lt;=64,"56-64")</f>
        <v>36-45</v>
      </c>
      <c r="C838" t="s">
        <v>10</v>
      </c>
      <c r="D838">
        <v>31.5</v>
      </c>
      <c r="E838">
        <v>0</v>
      </c>
      <c r="F838" t="s">
        <v>11</v>
      </c>
      <c r="G838" t="s">
        <v>52</v>
      </c>
      <c r="H838" s="2">
        <v>4402.2330000000002</v>
      </c>
      <c r="I838" s="2">
        <f t="shared" si="91"/>
        <v>4402.2330000000002</v>
      </c>
      <c r="J838" t="str">
        <f t="shared" si="92"/>
        <v>Low</v>
      </c>
      <c r="K838" s="1">
        <f t="shared" si="93"/>
        <v>0.223</v>
      </c>
      <c r="L838" t="str">
        <f t="shared" si="94"/>
        <v>Obese</v>
      </c>
      <c r="M838" t="str">
        <f t="shared" si="95"/>
        <v>Standard</v>
      </c>
      <c r="N838" t="str">
        <f t="shared" si="96"/>
        <v>Tier 3</v>
      </c>
      <c r="O838">
        <f t="shared" si="97"/>
        <v>2</v>
      </c>
    </row>
    <row r="839" spans="1:15" x14ac:dyDescent="0.2">
      <c r="A839">
        <v>56</v>
      </c>
      <c r="B839" t="str" cm="1">
        <f t="array" ref="B839">_xlfn.IFS(A839&lt;=25,"18-25", A839&lt;=35,"26-35", A839&lt;=45,"36-45", A839&lt;=55,"46-55", A839&lt;=64,"56-64")</f>
        <v>56-64</v>
      </c>
      <c r="C839" t="s">
        <v>7</v>
      </c>
      <c r="D839">
        <v>28.31</v>
      </c>
      <c r="E839">
        <v>0</v>
      </c>
      <c r="F839" t="s">
        <v>11</v>
      </c>
      <c r="G839" t="s">
        <v>53</v>
      </c>
      <c r="H839" s="2">
        <v>11657.7189</v>
      </c>
      <c r="I839" s="2">
        <f t="shared" si="91"/>
        <v>11657.7189</v>
      </c>
      <c r="J839" t="str">
        <f t="shared" si="92"/>
        <v>Low</v>
      </c>
      <c r="K839" s="1">
        <f t="shared" si="93"/>
        <v>0.61099999999999999</v>
      </c>
      <c r="L839" t="str">
        <f t="shared" si="94"/>
        <v>Overweight</v>
      </c>
      <c r="M839" t="str">
        <f t="shared" si="95"/>
        <v>Standard</v>
      </c>
      <c r="N839" t="str">
        <f t="shared" si="96"/>
        <v>Tier 2</v>
      </c>
      <c r="O839">
        <f t="shared" si="97"/>
        <v>1</v>
      </c>
    </row>
    <row r="840" spans="1:15" x14ac:dyDescent="0.2">
      <c r="A840">
        <v>35</v>
      </c>
      <c r="B840" t="str" cm="1">
        <f t="array" ref="B840">_xlfn.IFS(A840&lt;=25,"18-25", A840&lt;=35,"26-35", A840&lt;=45,"36-45", A840&lt;=55,"46-55", A840&lt;=64,"56-64")</f>
        <v>26-35</v>
      </c>
      <c r="C840" t="s">
        <v>7</v>
      </c>
      <c r="D840">
        <v>23.465</v>
      </c>
      <c r="E840">
        <v>2</v>
      </c>
      <c r="F840" t="s">
        <v>11</v>
      </c>
      <c r="G840" t="s">
        <v>53</v>
      </c>
      <c r="H840" s="2">
        <v>6402.2913500000004</v>
      </c>
      <c r="I840" s="2">
        <f t="shared" si="91"/>
        <v>2134.0971166666668</v>
      </c>
      <c r="J840" t="str">
        <f t="shared" si="92"/>
        <v>Low</v>
      </c>
      <c r="K840" s="1">
        <f t="shared" si="93"/>
        <v>0.34300000000000003</v>
      </c>
      <c r="L840" t="str">
        <f t="shared" si="94"/>
        <v>Normal</v>
      </c>
      <c r="M840" t="str">
        <f t="shared" si="95"/>
        <v>Standard</v>
      </c>
      <c r="N840" t="str">
        <f t="shared" si="96"/>
        <v>Tier 2</v>
      </c>
      <c r="O840">
        <f t="shared" si="97"/>
        <v>0</v>
      </c>
    </row>
    <row r="841" spans="1:15" x14ac:dyDescent="0.2">
      <c r="A841">
        <v>59</v>
      </c>
      <c r="B841" t="str" cm="1">
        <f t="array" ref="B841">_xlfn.IFS(A841&lt;=25,"18-25", A841&lt;=35,"26-35", A841&lt;=45,"36-45", A841&lt;=55,"46-55", A841&lt;=64,"56-64")</f>
        <v>56-64</v>
      </c>
      <c r="C841" t="s">
        <v>7</v>
      </c>
      <c r="D841">
        <v>31.35</v>
      </c>
      <c r="E841">
        <v>0</v>
      </c>
      <c r="F841" t="s">
        <v>11</v>
      </c>
      <c r="G841" t="s">
        <v>54</v>
      </c>
      <c r="H841" s="2">
        <v>12622.1795</v>
      </c>
      <c r="I841" s="2">
        <f t="shared" si="91"/>
        <v>12622.1795</v>
      </c>
      <c r="J841" t="str">
        <f t="shared" si="92"/>
        <v>Low</v>
      </c>
      <c r="K841" s="1">
        <f t="shared" si="93"/>
        <v>0.65800000000000003</v>
      </c>
      <c r="L841" t="str">
        <f t="shared" si="94"/>
        <v>Obese</v>
      </c>
      <c r="M841" t="str">
        <f t="shared" si="95"/>
        <v>Standard</v>
      </c>
      <c r="N841" t="str">
        <f t="shared" si="96"/>
        <v>Tier 4</v>
      </c>
      <c r="O841">
        <f t="shared" si="97"/>
        <v>2</v>
      </c>
    </row>
    <row r="842" spans="1:15" x14ac:dyDescent="0.2">
      <c r="A842">
        <v>21</v>
      </c>
      <c r="B842" t="str" cm="1">
        <f t="array" ref="B842">_xlfn.IFS(A842&lt;=25,"18-25", A842&lt;=35,"26-35", A842&lt;=45,"36-45", A842&lt;=55,"46-55", A842&lt;=64,"56-64")</f>
        <v>18-25</v>
      </c>
      <c r="C842" t="s">
        <v>10</v>
      </c>
      <c r="D842">
        <v>31.1</v>
      </c>
      <c r="E842">
        <v>0</v>
      </c>
      <c r="F842" t="s">
        <v>11</v>
      </c>
      <c r="G842" t="s">
        <v>52</v>
      </c>
      <c r="H842" s="2">
        <v>1526.3119999999999</v>
      </c>
      <c r="I842" s="2">
        <f t="shared" si="91"/>
        <v>1526.3119999999999</v>
      </c>
      <c r="J842" t="str">
        <f t="shared" si="92"/>
        <v>Low</v>
      </c>
      <c r="K842" s="1">
        <f t="shared" si="93"/>
        <v>1.4999999999999999E-2</v>
      </c>
      <c r="L842" t="str">
        <f t="shared" si="94"/>
        <v>Obese</v>
      </c>
      <c r="M842" t="str">
        <f t="shared" si="95"/>
        <v>Standard</v>
      </c>
      <c r="N842" t="str">
        <f t="shared" si="96"/>
        <v>Tier 3</v>
      </c>
      <c r="O842">
        <f t="shared" si="97"/>
        <v>2</v>
      </c>
    </row>
    <row r="843" spans="1:15" x14ac:dyDescent="0.2">
      <c r="A843">
        <v>59</v>
      </c>
      <c r="B843" t="str" cm="1">
        <f t="array" ref="B843">_xlfn.IFS(A843&lt;=25,"18-25", A843&lt;=35,"26-35", A843&lt;=45,"36-45", A843&lt;=55,"46-55", A843&lt;=64,"56-64")</f>
        <v>56-64</v>
      </c>
      <c r="C843" t="s">
        <v>10</v>
      </c>
      <c r="D843">
        <v>24.7</v>
      </c>
      <c r="E843">
        <v>0</v>
      </c>
      <c r="F843" t="s">
        <v>11</v>
      </c>
      <c r="G843" t="s">
        <v>53</v>
      </c>
      <c r="H843" s="2">
        <v>12323.936</v>
      </c>
      <c r="I843" s="2">
        <f t="shared" si="91"/>
        <v>12323.936</v>
      </c>
      <c r="J843" t="str">
        <f t="shared" si="92"/>
        <v>Low</v>
      </c>
      <c r="K843" s="1">
        <f t="shared" si="93"/>
        <v>0.64600000000000002</v>
      </c>
      <c r="L843" t="str">
        <f t="shared" si="94"/>
        <v>Normal</v>
      </c>
      <c r="M843" t="str">
        <f t="shared" si="95"/>
        <v>Standard</v>
      </c>
      <c r="N843" t="str">
        <f t="shared" si="96"/>
        <v>Tier 2</v>
      </c>
      <c r="O843">
        <f t="shared" si="97"/>
        <v>0</v>
      </c>
    </row>
    <row r="844" spans="1:15" x14ac:dyDescent="0.2">
      <c r="A844">
        <v>23</v>
      </c>
      <c r="B844" t="str" cm="1">
        <f t="array" ref="B844">_xlfn.IFS(A844&lt;=25,"18-25", A844&lt;=35,"26-35", A844&lt;=45,"36-45", A844&lt;=55,"46-55", A844&lt;=64,"56-64")</f>
        <v>18-25</v>
      </c>
      <c r="C844" t="s">
        <v>7</v>
      </c>
      <c r="D844">
        <v>32.78</v>
      </c>
      <c r="E844">
        <v>2</v>
      </c>
      <c r="F844" t="s">
        <v>8</v>
      </c>
      <c r="G844" t="s">
        <v>51</v>
      </c>
      <c r="H844" s="2">
        <v>36021.011200000001</v>
      </c>
      <c r="I844" s="2">
        <f t="shared" si="91"/>
        <v>12007.003733333333</v>
      </c>
      <c r="J844" t="str">
        <f t="shared" si="92"/>
        <v>High</v>
      </c>
      <c r="K844" s="1">
        <f t="shared" si="93"/>
        <v>0.90500000000000003</v>
      </c>
      <c r="L844" t="str">
        <f t="shared" si="94"/>
        <v>Obese</v>
      </c>
      <c r="M844" t="str">
        <f t="shared" si="95"/>
        <v>High Risk</v>
      </c>
      <c r="N844" t="str">
        <f t="shared" si="96"/>
        <v>Tier 1</v>
      </c>
      <c r="O844">
        <f t="shared" si="97"/>
        <v>6</v>
      </c>
    </row>
    <row r="845" spans="1:15" x14ac:dyDescent="0.2">
      <c r="A845">
        <v>57</v>
      </c>
      <c r="B845" t="str" cm="1">
        <f t="array" ref="B845">_xlfn.IFS(A845&lt;=25,"18-25", A845&lt;=35,"26-35", A845&lt;=45,"36-45", A845&lt;=55,"46-55", A845&lt;=64,"56-64")</f>
        <v>56-64</v>
      </c>
      <c r="C845" t="s">
        <v>7</v>
      </c>
      <c r="D845">
        <v>29.81</v>
      </c>
      <c r="E845">
        <v>0</v>
      </c>
      <c r="F845" t="s">
        <v>8</v>
      </c>
      <c r="G845" t="s">
        <v>51</v>
      </c>
      <c r="H845" s="2">
        <v>27533.912899999999</v>
      </c>
      <c r="I845" s="2">
        <f t="shared" si="91"/>
        <v>27533.912899999999</v>
      </c>
      <c r="J845" t="str">
        <f t="shared" si="92"/>
        <v>High</v>
      </c>
      <c r="K845" s="1">
        <f t="shared" si="93"/>
        <v>0.86699999999999999</v>
      </c>
      <c r="L845" t="str">
        <f t="shared" si="94"/>
        <v>Overweight</v>
      </c>
      <c r="M845" t="str">
        <f t="shared" si="95"/>
        <v>High Risk</v>
      </c>
      <c r="N845" t="str">
        <f t="shared" si="96"/>
        <v>Tier 1</v>
      </c>
      <c r="O845">
        <f t="shared" si="97"/>
        <v>5</v>
      </c>
    </row>
    <row r="846" spans="1:15" x14ac:dyDescent="0.2">
      <c r="A846">
        <v>53</v>
      </c>
      <c r="B846" t="str" cm="1">
        <f t="array" ref="B846">_xlfn.IFS(A846&lt;=25,"18-25", A846&lt;=35,"26-35", A846&lt;=45,"36-45", A846&lt;=55,"46-55", A846&lt;=64,"56-64")</f>
        <v>46-55</v>
      </c>
      <c r="C846" t="s">
        <v>10</v>
      </c>
      <c r="D846">
        <v>30.495000000000001</v>
      </c>
      <c r="E846">
        <v>0</v>
      </c>
      <c r="F846" t="s">
        <v>11</v>
      </c>
      <c r="G846" t="s">
        <v>53</v>
      </c>
      <c r="H846" s="2">
        <v>10072.055050000001</v>
      </c>
      <c r="I846" s="2">
        <f t="shared" si="91"/>
        <v>10072.055050000001</v>
      </c>
      <c r="J846" t="str">
        <f t="shared" si="92"/>
        <v>Low</v>
      </c>
      <c r="K846" s="1">
        <f t="shared" si="93"/>
        <v>0.53400000000000003</v>
      </c>
      <c r="L846" t="str">
        <f t="shared" si="94"/>
        <v>Obese</v>
      </c>
      <c r="M846" t="str">
        <f t="shared" si="95"/>
        <v>Standard</v>
      </c>
      <c r="N846" t="str">
        <f t="shared" si="96"/>
        <v>Tier 2</v>
      </c>
      <c r="O846">
        <f t="shared" si="97"/>
        <v>2</v>
      </c>
    </row>
    <row r="847" spans="1:15" x14ac:dyDescent="0.2">
      <c r="A847">
        <v>60</v>
      </c>
      <c r="B847" t="str" cm="1">
        <f t="array" ref="B847">_xlfn.IFS(A847&lt;=25,"18-25", A847&lt;=35,"26-35", A847&lt;=45,"36-45", A847&lt;=55,"46-55", A847&lt;=64,"56-64")</f>
        <v>56-64</v>
      </c>
      <c r="C847" t="s">
        <v>7</v>
      </c>
      <c r="D847">
        <v>32.450000000000003</v>
      </c>
      <c r="E847">
        <v>0</v>
      </c>
      <c r="F847" t="s">
        <v>8</v>
      </c>
      <c r="G847" t="s">
        <v>51</v>
      </c>
      <c r="H847" s="2">
        <v>45008.955499999996</v>
      </c>
      <c r="I847" s="2">
        <f t="shared" si="91"/>
        <v>45008.955499999996</v>
      </c>
      <c r="J847" t="str">
        <f t="shared" si="92"/>
        <v>High</v>
      </c>
      <c r="K847" s="1">
        <f t="shared" si="93"/>
        <v>0.97199999999999998</v>
      </c>
      <c r="L847" t="str">
        <f t="shared" si="94"/>
        <v>Obese</v>
      </c>
      <c r="M847" t="str">
        <f t="shared" si="95"/>
        <v>High Risk</v>
      </c>
      <c r="N847" t="str">
        <f t="shared" si="96"/>
        <v>Tier 1</v>
      </c>
      <c r="O847">
        <f t="shared" si="97"/>
        <v>6</v>
      </c>
    </row>
    <row r="848" spans="1:15" x14ac:dyDescent="0.2">
      <c r="A848">
        <v>51</v>
      </c>
      <c r="B848" t="str" cm="1">
        <f t="array" ref="B848">_xlfn.IFS(A848&lt;=25,"18-25", A848&lt;=35,"26-35", A848&lt;=45,"36-45", A848&lt;=55,"46-55", A848&lt;=64,"56-64")</f>
        <v>46-55</v>
      </c>
      <c r="C848" t="s">
        <v>7</v>
      </c>
      <c r="D848">
        <v>34.200000000000003</v>
      </c>
      <c r="E848">
        <v>1</v>
      </c>
      <c r="F848" t="s">
        <v>11</v>
      </c>
      <c r="G848" t="s">
        <v>52</v>
      </c>
      <c r="H848" s="2">
        <v>9872.7009999999991</v>
      </c>
      <c r="I848" s="2">
        <f t="shared" si="91"/>
        <v>4936.3504999999996</v>
      </c>
      <c r="J848" t="str">
        <f t="shared" si="92"/>
        <v>Low</v>
      </c>
      <c r="K848" s="1">
        <f t="shared" si="93"/>
        <v>0.52600000000000002</v>
      </c>
      <c r="L848" t="str">
        <f t="shared" si="94"/>
        <v>Obese</v>
      </c>
      <c r="M848" t="str">
        <f t="shared" si="95"/>
        <v>Standard</v>
      </c>
      <c r="N848" t="str">
        <f t="shared" si="96"/>
        <v>Tier 3</v>
      </c>
      <c r="O848">
        <f t="shared" si="97"/>
        <v>2</v>
      </c>
    </row>
    <row r="849" spans="1:15" x14ac:dyDescent="0.2">
      <c r="A849">
        <v>23</v>
      </c>
      <c r="B849" t="str" cm="1">
        <f t="array" ref="B849">_xlfn.IFS(A849&lt;=25,"18-25", A849&lt;=35,"26-35", A849&lt;=45,"36-45", A849&lt;=55,"46-55", A849&lt;=64,"56-64")</f>
        <v>18-25</v>
      </c>
      <c r="C849" t="s">
        <v>10</v>
      </c>
      <c r="D849">
        <v>50.38</v>
      </c>
      <c r="E849">
        <v>1</v>
      </c>
      <c r="F849" t="s">
        <v>11</v>
      </c>
      <c r="G849" t="s">
        <v>51</v>
      </c>
      <c r="H849" s="2">
        <v>2438.0551999999998</v>
      </c>
      <c r="I849" s="2">
        <f t="shared" si="91"/>
        <v>1219.0275999999999</v>
      </c>
      <c r="J849" t="str">
        <f t="shared" si="92"/>
        <v>Low</v>
      </c>
      <c r="K849" s="1">
        <f t="shared" si="93"/>
        <v>0.104</v>
      </c>
      <c r="L849" t="str">
        <f t="shared" si="94"/>
        <v>Obese</v>
      </c>
      <c r="M849" t="str">
        <f t="shared" si="95"/>
        <v>Standard</v>
      </c>
      <c r="N849" t="str">
        <f t="shared" si="96"/>
        <v>Tier 1</v>
      </c>
      <c r="O849">
        <f t="shared" si="97"/>
        <v>3</v>
      </c>
    </row>
    <row r="850" spans="1:15" x14ac:dyDescent="0.2">
      <c r="A850">
        <v>27</v>
      </c>
      <c r="B850" t="str" cm="1">
        <f t="array" ref="B850">_xlfn.IFS(A850&lt;=25,"18-25", A850&lt;=35,"26-35", A850&lt;=45,"36-45", A850&lt;=55,"46-55", A850&lt;=64,"56-64")</f>
        <v>26-35</v>
      </c>
      <c r="C850" t="s">
        <v>7</v>
      </c>
      <c r="D850">
        <v>24.1</v>
      </c>
      <c r="E850">
        <v>0</v>
      </c>
      <c r="F850" t="s">
        <v>11</v>
      </c>
      <c r="G850" t="s">
        <v>52</v>
      </c>
      <c r="H850" s="2">
        <v>2974.1260000000002</v>
      </c>
      <c r="I850" s="2">
        <f t="shared" si="91"/>
        <v>2974.1260000000002</v>
      </c>
      <c r="J850" t="str">
        <f t="shared" si="92"/>
        <v>Low</v>
      </c>
      <c r="K850" s="1">
        <f t="shared" si="93"/>
        <v>0.14199999999999999</v>
      </c>
      <c r="L850" t="str">
        <f t="shared" si="94"/>
        <v>Normal</v>
      </c>
      <c r="M850" t="str">
        <f t="shared" si="95"/>
        <v>Standard</v>
      </c>
      <c r="N850" t="str">
        <f t="shared" si="96"/>
        <v>Tier 3</v>
      </c>
      <c r="O850">
        <f t="shared" si="97"/>
        <v>0</v>
      </c>
    </row>
    <row r="851" spans="1:15" x14ac:dyDescent="0.2">
      <c r="A851">
        <v>55</v>
      </c>
      <c r="B851" t="str" cm="1">
        <f t="array" ref="B851">_xlfn.IFS(A851&lt;=25,"18-25", A851&lt;=35,"26-35", A851&lt;=45,"36-45", A851&lt;=55,"46-55", A851&lt;=64,"56-64")</f>
        <v>46-55</v>
      </c>
      <c r="C851" t="s">
        <v>10</v>
      </c>
      <c r="D851">
        <v>32.774999999999999</v>
      </c>
      <c r="E851">
        <v>0</v>
      </c>
      <c r="F851" t="s">
        <v>11</v>
      </c>
      <c r="G851" t="s">
        <v>54</v>
      </c>
      <c r="H851" s="2">
        <v>10601.632250000001</v>
      </c>
      <c r="I851" s="2">
        <f t="shared" si="91"/>
        <v>10601.632250000001</v>
      </c>
      <c r="J851" t="str">
        <f t="shared" si="92"/>
        <v>Low</v>
      </c>
      <c r="K851" s="1">
        <f t="shared" si="93"/>
        <v>0.56000000000000005</v>
      </c>
      <c r="L851" t="str">
        <f t="shared" si="94"/>
        <v>Obese</v>
      </c>
      <c r="M851" t="str">
        <f t="shared" si="95"/>
        <v>Standard</v>
      </c>
      <c r="N851" t="str">
        <f t="shared" si="96"/>
        <v>Tier 4</v>
      </c>
      <c r="O851">
        <f t="shared" si="97"/>
        <v>2</v>
      </c>
    </row>
    <row r="852" spans="1:15" x14ac:dyDescent="0.2">
      <c r="A852">
        <v>37</v>
      </c>
      <c r="B852" t="str" cm="1">
        <f t="array" ref="B852">_xlfn.IFS(A852&lt;=25,"18-25", A852&lt;=35,"26-35", A852&lt;=45,"36-45", A852&lt;=55,"46-55", A852&lt;=64,"56-64")</f>
        <v>36-45</v>
      </c>
      <c r="C852" t="s">
        <v>7</v>
      </c>
      <c r="D852">
        <v>30.78</v>
      </c>
      <c r="E852">
        <v>0</v>
      </c>
      <c r="F852" t="s">
        <v>8</v>
      </c>
      <c r="G852" t="s">
        <v>53</v>
      </c>
      <c r="H852" s="2">
        <v>37270.1512</v>
      </c>
      <c r="I852" s="2">
        <f t="shared" si="91"/>
        <v>37270.1512</v>
      </c>
      <c r="J852" t="str">
        <f t="shared" si="92"/>
        <v>High</v>
      </c>
      <c r="K852" s="1">
        <f t="shared" si="93"/>
        <v>0.91800000000000004</v>
      </c>
      <c r="L852" t="str">
        <f t="shared" si="94"/>
        <v>Obese</v>
      </c>
      <c r="M852" t="str">
        <f t="shared" si="95"/>
        <v>High Risk</v>
      </c>
      <c r="N852" t="str">
        <f t="shared" si="96"/>
        <v>Tier 2</v>
      </c>
      <c r="O852">
        <f t="shared" si="97"/>
        <v>5</v>
      </c>
    </row>
    <row r="853" spans="1:15" x14ac:dyDescent="0.2">
      <c r="A853">
        <v>61</v>
      </c>
      <c r="B853" t="str" cm="1">
        <f t="array" ref="B853">_xlfn.IFS(A853&lt;=25,"18-25", A853&lt;=35,"26-35", A853&lt;=45,"36-45", A853&lt;=55,"46-55", A853&lt;=64,"56-64")</f>
        <v>56-64</v>
      </c>
      <c r="C853" t="s">
        <v>10</v>
      </c>
      <c r="D853">
        <v>32.299999999999997</v>
      </c>
      <c r="E853">
        <v>2</v>
      </c>
      <c r="F853" t="s">
        <v>11</v>
      </c>
      <c r="G853" t="s">
        <v>54</v>
      </c>
      <c r="H853" s="2">
        <v>14119.62</v>
      </c>
      <c r="I853" s="2">
        <f t="shared" si="91"/>
        <v>4706.54</v>
      </c>
      <c r="J853" t="str">
        <f t="shared" si="92"/>
        <v>High</v>
      </c>
      <c r="K853" s="1">
        <f t="shared" si="93"/>
        <v>0.71199999999999997</v>
      </c>
      <c r="L853" t="str">
        <f t="shared" si="94"/>
        <v>Obese</v>
      </c>
      <c r="M853" t="str">
        <f t="shared" si="95"/>
        <v>Standard</v>
      </c>
      <c r="N853" t="str">
        <f t="shared" si="96"/>
        <v>Tier 4</v>
      </c>
      <c r="O853">
        <f t="shared" si="97"/>
        <v>2</v>
      </c>
    </row>
    <row r="854" spans="1:15" x14ac:dyDescent="0.2">
      <c r="A854">
        <v>46</v>
      </c>
      <c r="B854" t="str" cm="1">
        <f t="array" ref="B854">_xlfn.IFS(A854&lt;=25,"18-25", A854&lt;=35,"26-35", A854&lt;=45,"36-45", A854&lt;=55,"46-55", A854&lt;=64,"56-64")</f>
        <v>46-55</v>
      </c>
      <c r="C854" t="s">
        <v>7</v>
      </c>
      <c r="D854">
        <v>35.53</v>
      </c>
      <c r="E854">
        <v>0</v>
      </c>
      <c r="F854" t="s">
        <v>8</v>
      </c>
      <c r="G854" t="s">
        <v>53</v>
      </c>
      <c r="H854" s="2">
        <v>42111.664700000001</v>
      </c>
      <c r="I854" s="2">
        <f t="shared" si="91"/>
        <v>42111.664700000001</v>
      </c>
      <c r="J854" t="str">
        <f t="shared" si="92"/>
        <v>High</v>
      </c>
      <c r="K854" s="1">
        <f t="shared" si="93"/>
        <v>0.95399999999999996</v>
      </c>
      <c r="L854" t="str">
        <f t="shared" si="94"/>
        <v>Obese</v>
      </c>
      <c r="M854" t="str">
        <f t="shared" si="95"/>
        <v>High Risk</v>
      </c>
      <c r="N854" t="str">
        <f t="shared" si="96"/>
        <v>Tier 2</v>
      </c>
      <c r="O854">
        <f t="shared" si="97"/>
        <v>5</v>
      </c>
    </row>
    <row r="855" spans="1:15" x14ac:dyDescent="0.2">
      <c r="A855">
        <v>53</v>
      </c>
      <c r="B855" t="str" cm="1">
        <f t="array" ref="B855">_xlfn.IFS(A855&lt;=25,"18-25", A855&lt;=35,"26-35", A855&lt;=45,"36-45", A855&lt;=55,"46-55", A855&lt;=64,"56-64")</f>
        <v>46-55</v>
      </c>
      <c r="C855" t="s">
        <v>7</v>
      </c>
      <c r="D855">
        <v>23.75</v>
      </c>
      <c r="E855">
        <v>2</v>
      </c>
      <c r="F855" t="s">
        <v>11</v>
      </c>
      <c r="G855" t="s">
        <v>53</v>
      </c>
      <c r="H855" s="2">
        <v>11729.6795</v>
      </c>
      <c r="I855" s="2">
        <f t="shared" si="91"/>
        <v>3909.8931666666667</v>
      </c>
      <c r="J855" t="str">
        <f t="shared" si="92"/>
        <v>Low</v>
      </c>
      <c r="K855" s="1">
        <f t="shared" si="93"/>
        <v>0.61399999999999999</v>
      </c>
      <c r="L855" t="str">
        <f t="shared" si="94"/>
        <v>Normal</v>
      </c>
      <c r="M855" t="str">
        <f t="shared" si="95"/>
        <v>Standard</v>
      </c>
      <c r="N855" t="str">
        <f t="shared" si="96"/>
        <v>Tier 2</v>
      </c>
      <c r="O855">
        <f t="shared" si="97"/>
        <v>0</v>
      </c>
    </row>
    <row r="856" spans="1:15" x14ac:dyDescent="0.2">
      <c r="A856">
        <v>49</v>
      </c>
      <c r="B856" t="str" cm="1">
        <f t="array" ref="B856">_xlfn.IFS(A856&lt;=25,"18-25", A856&lt;=35,"26-35", A856&lt;=45,"36-45", A856&lt;=55,"46-55", A856&lt;=64,"56-64")</f>
        <v>46-55</v>
      </c>
      <c r="C856" t="s">
        <v>7</v>
      </c>
      <c r="D856">
        <v>23.844999999999999</v>
      </c>
      <c r="E856">
        <v>3</v>
      </c>
      <c r="F856" t="s">
        <v>8</v>
      </c>
      <c r="G856" t="s">
        <v>53</v>
      </c>
      <c r="H856" s="2">
        <v>24106.912550000001</v>
      </c>
      <c r="I856" s="2">
        <f t="shared" si="91"/>
        <v>6026.7281375000002</v>
      </c>
      <c r="J856" t="str">
        <f t="shared" si="92"/>
        <v>High</v>
      </c>
      <c r="K856" s="1">
        <f t="shared" si="93"/>
        <v>0.83899999999999997</v>
      </c>
      <c r="L856" t="str">
        <f t="shared" si="94"/>
        <v>Normal</v>
      </c>
      <c r="M856" t="str">
        <f t="shared" si="95"/>
        <v>High Risk</v>
      </c>
      <c r="N856" t="str">
        <f t="shared" si="96"/>
        <v>Tier 2</v>
      </c>
      <c r="O856">
        <f t="shared" si="97"/>
        <v>3</v>
      </c>
    </row>
    <row r="857" spans="1:15" x14ac:dyDescent="0.2">
      <c r="A857">
        <v>20</v>
      </c>
      <c r="B857" t="str" cm="1">
        <f t="array" ref="B857">_xlfn.IFS(A857&lt;=25,"18-25", A857&lt;=35,"26-35", A857&lt;=45,"36-45", A857&lt;=55,"46-55", A857&lt;=64,"56-64")</f>
        <v>18-25</v>
      </c>
      <c r="C857" t="s">
        <v>7</v>
      </c>
      <c r="D857">
        <v>29.6</v>
      </c>
      <c r="E857">
        <v>0</v>
      </c>
      <c r="F857" t="s">
        <v>11</v>
      </c>
      <c r="G857" t="s">
        <v>52</v>
      </c>
      <c r="H857" s="2">
        <v>1875.3440000000001</v>
      </c>
      <c r="I857" s="2">
        <f t="shared" si="91"/>
        <v>1875.3440000000001</v>
      </c>
      <c r="J857" t="str">
        <f t="shared" si="92"/>
        <v>Low</v>
      </c>
      <c r="K857" s="1">
        <f t="shared" si="93"/>
        <v>5.6000000000000001E-2</v>
      </c>
      <c r="L857" t="str">
        <f t="shared" si="94"/>
        <v>Overweight</v>
      </c>
      <c r="M857" t="str">
        <f t="shared" si="95"/>
        <v>Standard</v>
      </c>
      <c r="N857" t="str">
        <f t="shared" si="96"/>
        <v>Tier 3</v>
      </c>
      <c r="O857">
        <f t="shared" si="97"/>
        <v>1</v>
      </c>
    </row>
    <row r="858" spans="1:15" x14ac:dyDescent="0.2">
      <c r="A858">
        <v>48</v>
      </c>
      <c r="B858" t="str" cm="1">
        <f t="array" ref="B858">_xlfn.IFS(A858&lt;=25,"18-25", A858&lt;=35,"26-35", A858&lt;=45,"36-45", A858&lt;=55,"46-55", A858&lt;=64,"56-64")</f>
        <v>46-55</v>
      </c>
      <c r="C858" t="s">
        <v>7</v>
      </c>
      <c r="D858">
        <v>33.11</v>
      </c>
      <c r="E858">
        <v>0</v>
      </c>
      <c r="F858" t="s">
        <v>8</v>
      </c>
      <c r="G858" t="s">
        <v>51</v>
      </c>
      <c r="H858" s="2">
        <v>40974.164900000003</v>
      </c>
      <c r="I858" s="2">
        <f t="shared" si="91"/>
        <v>40974.164900000003</v>
      </c>
      <c r="J858" t="str">
        <f t="shared" si="92"/>
        <v>High</v>
      </c>
      <c r="K858" s="1">
        <f t="shared" si="93"/>
        <v>0.94799999999999995</v>
      </c>
      <c r="L858" t="str">
        <f t="shared" si="94"/>
        <v>Obese</v>
      </c>
      <c r="M858" t="str">
        <f t="shared" si="95"/>
        <v>High Risk</v>
      </c>
      <c r="N858" t="str">
        <f t="shared" si="96"/>
        <v>Tier 1</v>
      </c>
      <c r="O858">
        <f t="shared" si="97"/>
        <v>6</v>
      </c>
    </row>
    <row r="859" spans="1:15" x14ac:dyDescent="0.2">
      <c r="A859">
        <v>25</v>
      </c>
      <c r="B859" t="str" cm="1">
        <f t="array" ref="B859">_xlfn.IFS(A859&lt;=25,"18-25", A859&lt;=35,"26-35", A859&lt;=45,"36-45", A859&lt;=55,"46-55", A859&lt;=64,"56-64")</f>
        <v>18-25</v>
      </c>
      <c r="C859" t="s">
        <v>10</v>
      </c>
      <c r="D859">
        <v>24.13</v>
      </c>
      <c r="E859">
        <v>0</v>
      </c>
      <c r="F859" t="s">
        <v>8</v>
      </c>
      <c r="G859" t="s">
        <v>54</v>
      </c>
      <c r="H859" s="2">
        <v>15817.985699999999</v>
      </c>
      <c r="I859" s="2">
        <f t="shared" si="91"/>
        <v>15817.985699999999</v>
      </c>
      <c r="J859" t="str">
        <f t="shared" si="92"/>
        <v>High</v>
      </c>
      <c r="K859" s="1">
        <f t="shared" si="93"/>
        <v>0.73899999999999999</v>
      </c>
      <c r="L859" t="str">
        <f t="shared" si="94"/>
        <v>Normal</v>
      </c>
      <c r="M859" t="str">
        <f t="shared" si="95"/>
        <v>High Risk</v>
      </c>
      <c r="N859" t="str">
        <f t="shared" si="96"/>
        <v>Tier 4</v>
      </c>
      <c r="O859">
        <f t="shared" si="97"/>
        <v>3</v>
      </c>
    </row>
    <row r="860" spans="1:15" x14ac:dyDescent="0.2">
      <c r="A860">
        <v>25</v>
      </c>
      <c r="B860" t="str" cm="1">
        <f t="array" ref="B860">_xlfn.IFS(A860&lt;=25,"18-25", A860&lt;=35,"26-35", A860&lt;=45,"36-45", A860&lt;=55,"46-55", A860&lt;=64,"56-64")</f>
        <v>18-25</v>
      </c>
      <c r="C860" t="s">
        <v>7</v>
      </c>
      <c r="D860">
        <v>32.229999999999997</v>
      </c>
      <c r="E860">
        <v>1</v>
      </c>
      <c r="F860" t="s">
        <v>11</v>
      </c>
      <c r="G860" t="s">
        <v>51</v>
      </c>
      <c r="H860" s="2">
        <v>18218.161390000001</v>
      </c>
      <c r="I860" s="2">
        <f t="shared" si="91"/>
        <v>9109.0806950000006</v>
      </c>
      <c r="J860" t="str">
        <f t="shared" si="92"/>
        <v>High</v>
      </c>
      <c r="K860" s="1">
        <f t="shared" si="93"/>
        <v>0.76800000000000002</v>
      </c>
      <c r="L860" t="str">
        <f t="shared" si="94"/>
        <v>Obese</v>
      </c>
      <c r="M860" t="str">
        <f t="shared" si="95"/>
        <v>Standard</v>
      </c>
      <c r="N860" t="str">
        <f t="shared" si="96"/>
        <v>Tier 1</v>
      </c>
      <c r="O860">
        <f t="shared" si="97"/>
        <v>3</v>
      </c>
    </row>
    <row r="861" spans="1:15" x14ac:dyDescent="0.2">
      <c r="A861">
        <v>57</v>
      </c>
      <c r="B861" t="str" cm="1">
        <f t="array" ref="B861">_xlfn.IFS(A861&lt;=25,"18-25", A861&lt;=35,"26-35", A861&lt;=45,"36-45", A861&lt;=55,"46-55", A861&lt;=64,"56-64")</f>
        <v>56-64</v>
      </c>
      <c r="C861" t="s">
        <v>10</v>
      </c>
      <c r="D861">
        <v>28.1</v>
      </c>
      <c r="E861">
        <v>0</v>
      </c>
      <c r="F861" t="s">
        <v>11</v>
      </c>
      <c r="G861" t="s">
        <v>52</v>
      </c>
      <c r="H861" s="2">
        <v>10965.446</v>
      </c>
      <c r="I861" s="2">
        <f t="shared" si="91"/>
        <v>10965.446</v>
      </c>
      <c r="J861" t="str">
        <f t="shared" si="92"/>
        <v>Low</v>
      </c>
      <c r="K861" s="1">
        <f t="shared" si="93"/>
        <v>0.57399999999999995</v>
      </c>
      <c r="L861" t="str">
        <f t="shared" si="94"/>
        <v>Overweight</v>
      </c>
      <c r="M861" t="str">
        <f t="shared" si="95"/>
        <v>Standard</v>
      </c>
      <c r="N861" t="str">
        <f t="shared" si="96"/>
        <v>Tier 3</v>
      </c>
      <c r="O861">
        <f t="shared" si="97"/>
        <v>1</v>
      </c>
    </row>
    <row r="862" spans="1:15" x14ac:dyDescent="0.2">
      <c r="A862">
        <v>37</v>
      </c>
      <c r="B862" t="str" cm="1">
        <f t="array" ref="B862">_xlfn.IFS(A862&lt;=25,"18-25", A862&lt;=35,"26-35", A862&lt;=45,"36-45", A862&lt;=55,"46-55", A862&lt;=64,"56-64")</f>
        <v>36-45</v>
      </c>
      <c r="C862" t="s">
        <v>7</v>
      </c>
      <c r="D862">
        <v>47.6</v>
      </c>
      <c r="E862">
        <v>2</v>
      </c>
      <c r="F862" t="s">
        <v>8</v>
      </c>
      <c r="G862" t="s">
        <v>52</v>
      </c>
      <c r="H862" s="2">
        <v>46113.510999999999</v>
      </c>
      <c r="I862" s="2">
        <f t="shared" si="91"/>
        <v>15371.170333333333</v>
      </c>
      <c r="J862" t="str">
        <f t="shared" si="92"/>
        <v>High</v>
      </c>
      <c r="K862" s="1">
        <f t="shared" si="93"/>
        <v>0.97499999999999998</v>
      </c>
      <c r="L862" t="str">
        <f t="shared" si="94"/>
        <v>Obese</v>
      </c>
      <c r="M862" t="str">
        <f t="shared" si="95"/>
        <v>High Risk</v>
      </c>
      <c r="N862" t="str">
        <f t="shared" si="96"/>
        <v>Tier 3</v>
      </c>
      <c r="O862">
        <f t="shared" si="97"/>
        <v>5</v>
      </c>
    </row>
    <row r="863" spans="1:15" x14ac:dyDescent="0.2">
      <c r="A863">
        <v>38</v>
      </c>
      <c r="B863" t="str" cm="1">
        <f t="array" ref="B863">_xlfn.IFS(A863&lt;=25,"18-25", A863&lt;=35,"26-35", A863&lt;=45,"36-45", A863&lt;=55,"46-55", A863&lt;=64,"56-64")</f>
        <v>36-45</v>
      </c>
      <c r="C863" t="s">
        <v>7</v>
      </c>
      <c r="D863">
        <v>28</v>
      </c>
      <c r="E863">
        <v>3</v>
      </c>
      <c r="F863" t="s">
        <v>11</v>
      </c>
      <c r="G863" t="s">
        <v>52</v>
      </c>
      <c r="H863" s="2">
        <v>7151.0919999999996</v>
      </c>
      <c r="I863" s="2">
        <f t="shared" si="91"/>
        <v>1787.7729999999999</v>
      </c>
      <c r="J863" t="str">
        <f t="shared" si="92"/>
        <v>Low</v>
      </c>
      <c r="K863" s="1">
        <f t="shared" si="93"/>
        <v>0.38200000000000001</v>
      </c>
      <c r="L863" t="str">
        <f t="shared" si="94"/>
        <v>Overweight</v>
      </c>
      <c r="M863" t="str">
        <f t="shared" si="95"/>
        <v>Standard</v>
      </c>
      <c r="N863" t="str">
        <f t="shared" si="96"/>
        <v>Tier 3</v>
      </c>
      <c r="O863">
        <f t="shared" si="97"/>
        <v>1</v>
      </c>
    </row>
    <row r="864" spans="1:15" x14ac:dyDescent="0.2">
      <c r="A864">
        <v>55</v>
      </c>
      <c r="B864" t="str" cm="1">
        <f t="array" ref="B864">_xlfn.IFS(A864&lt;=25,"18-25", A864&lt;=35,"26-35", A864&lt;=45,"36-45", A864&lt;=55,"46-55", A864&lt;=64,"56-64")</f>
        <v>46-55</v>
      </c>
      <c r="C864" t="s">
        <v>7</v>
      </c>
      <c r="D864">
        <v>33.534999999999997</v>
      </c>
      <c r="E864">
        <v>2</v>
      </c>
      <c r="F864" t="s">
        <v>11</v>
      </c>
      <c r="G864" t="s">
        <v>54</v>
      </c>
      <c r="H864" s="2">
        <v>12269.68865</v>
      </c>
      <c r="I864" s="2">
        <f t="shared" si="91"/>
        <v>4089.8962166666665</v>
      </c>
      <c r="J864" t="str">
        <f t="shared" si="92"/>
        <v>Low</v>
      </c>
      <c r="K864" s="1">
        <f t="shared" si="93"/>
        <v>0.64600000000000002</v>
      </c>
      <c r="L864" t="str">
        <f t="shared" si="94"/>
        <v>Obese</v>
      </c>
      <c r="M864" t="str">
        <f t="shared" si="95"/>
        <v>Standard</v>
      </c>
      <c r="N864" t="str">
        <f t="shared" si="96"/>
        <v>Tier 4</v>
      </c>
      <c r="O864">
        <f t="shared" si="97"/>
        <v>2</v>
      </c>
    </row>
    <row r="865" spans="1:15" x14ac:dyDescent="0.2">
      <c r="A865">
        <v>36</v>
      </c>
      <c r="B865" t="str" cm="1">
        <f t="array" ref="B865">_xlfn.IFS(A865&lt;=25,"18-25", A865&lt;=35,"26-35", A865&lt;=45,"36-45", A865&lt;=55,"46-55", A865&lt;=64,"56-64")</f>
        <v>36-45</v>
      </c>
      <c r="C865" t="s">
        <v>7</v>
      </c>
      <c r="D865">
        <v>19.855</v>
      </c>
      <c r="E865">
        <v>0</v>
      </c>
      <c r="F865" t="s">
        <v>11</v>
      </c>
      <c r="G865" t="s">
        <v>53</v>
      </c>
      <c r="H865" s="2">
        <v>5458.0464499999998</v>
      </c>
      <c r="I865" s="2">
        <f t="shared" si="91"/>
        <v>5458.0464499999998</v>
      </c>
      <c r="J865" t="str">
        <f t="shared" si="92"/>
        <v>Low</v>
      </c>
      <c r="K865" s="1">
        <f t="shared" si="93"/>
        <v>0.29599999999999999</v>
      </c>
      <c r="L865" t="str">
        <f t="shared" si="94"/>
        <v>Normal</v>
      </c>
      <c r="M865" t="str">
        <f t="shared" si="95"/>
        <v>Standard</v>
      </c>
      <c r="N865" t="str">
        <f t="shared" si="96"/>
        <v>Tier 2</v>
      </c>
      <c r="O865">
        <f t="shared" si="97"/>
        <v>0</v>
      </c>
    </row>
    <row r="866" spans="1:15" x14ac:dyDescent="0.2">
      <c r="A866">
        <v>51</v>
      </c>
      <c r="B866" t="str" cm="1">
        <f t="array" ref="B866">_xlfn.IFS(A866&lt;=25,"18-25", A866&lt;=35,"26-35", A866&lt;=45,"36-45", A866&lt;=55,"46-55", A866&lt;=64,"56-64")</f>
        <v>46-55</v>
      </c>
      <c r="C866" t="s">
        <v>10</v>
      </c>
      <c r="D866">
        <v>25.4</v>
      </c>
      <c r="E866">
        <v>0</v>
      </c>
      <c r="F866" t="s">
        <v>11</v>
      </c>
      <c r="G866" t="s">
        <v>52</v>
      </c>
      <c r="H866" s="2">
        <v>8782.4689999999991</v>
      </c>
      <c r="I866" s="2">
        <f t="shared" si="91"/>
        <v>8782.4689999999991</v>
      </c>
      <c r="J866" t="str">
        <f t="shared" si="92"/>
        <v>Low</v>
      </c>
      <c r="K866" s="1">
        <f t="shared" si="93"/>
        <v>0.47099999999999997</v>
      </c>
      <c r="L866" t="str">
        <f t="shared" si="94"/>
        <v>Overweight</v>
      </c>
      <c r="M866" t="str">
        <f t="shared" si="95"/>
        <v>Standard</v>
      </c>
      <c r="N866" t="str">
        <f t="shared" si="96"/>
        <v>Tier 3</v>
      </c>
      <c r="O866">
        <f t="shared" si="97"/>
        <v>1</v>
      </c>
    </row>
    <row r="867" spans="1:15" x14ac:dyDescent="0.2">
      <c r="A867">
        <v>40</v>
      </c>
      <c r="B867" t="str" cm="1">
        <f t="array" ref="B867">_xlfn.IFS(A867&lt;=25,"18-25", A867&lt;=35,"26-35", A867&lt;=45,"36-45", A867&lt;=55,"46-55", A867&lt;=64,"56-64")</f>
        <v>36-45</v>
      </c>
      <c r="C867" t="s">
        <v>10</v>
      </c>
      <c r="D867">
        <v>29.9</v>
      </c>
      <c r="E867">
        <v>2</v>
      </c>
      <c r="F867" t="s">
        <v>11</v>
      </c>
      <c r="G867" t="s">
        <v>52</v>
      </c>
      <c r="H867" s="2">
        <v>6600.3609999999999</v>
      </c>
      <c r="I867" s="2">
        <f t="shared" si="91"/>
        <v>2200.1203333333333</v>
      </c>
      <c r="J867" t="str">
        <f t="shared" si="92"/>
        <v>Low</v>
      </c>
      <c r="K867" s="1">
        <f t="shared" si="93"/>
        <v>0.35499999999999998</v>
      </c>
      <c r="L867" t="str">
        <f t="shared" si="94"/>
        <v>Overweight</v>
      </c>
      <c r="M867" t="str">
        <f t="shared" si="95"/>
        <v>Standard</v>
      </c>
      <c r="N867" t="str">
        <f t="shared" si="96"/>
        <v>Tier 3</v>
      </c>
      <c r="O867">
        <f t="shared" si="97"/>
        <v>1</v>
      </c>
    </row>
    <row r="868" spans="1:15" x14ac:dyDescent="0.2">
      <c r="A868">
        <v>18</v>
      </c>
      <c r="B868" t="str" cm="1">
        <f t="array" ref="B868">_xlfn.IFS(A868&lt;=25,"18-25", A868&lt;=35,"26-35", A868&lt;=45,"36-45", A868&lt;=55,"46-55", A868&lt;=64,"56-64")</f>
        <v>18-25</v>
      </c>
      <c r="C868" t="s">
        <v>10</v>
      </c>
      <c r="D868">
        <v>37.29</v>
      </c>
      <c r="E868">
        <v>0</v>
      </c>
      <c r="F868" t="s">
        <v>11</v>
      </c>
      <c r="G868" t="s">
        <v>51</v>
      </c>
      <c r="H868" s="2">
        <v>1141.4450999999999</v>
      </c>
      <c r="I868" s="2">
        <f t="shared" si="91"/>
        <v>1141.4450999999999</v>
      </c>
      <c r="J868" t="str">
        <f t="shared" si="92"/>
        <v>Low</v>
      </c>
      <c r="K868" s="1">
        <f t="shared" si="93"/>
        <v>4.0000000000000001E-3</v>
      </c>
      <c r="L868" t="str">
        <f t="shared" si="94"/>
        <v>Obese</v>
      </c>
      <c r="M868" t="str">
        <f t="shared" si="95"/>
        <v>Standard</v>
      </c>
      <c r="N868" t="str">
        <f t="shared" si="96"/>
        <v>Tier 1</v>
      </c>
      <c r="O868">
        <f t="shared" si="97"/>
        <v>3</v>
      </c>
    </row>
    <row r="869" spans="1:15" x14ac:dyDescent="0.2">
      <c r="A869">
        <v>57</v>
      </c>
      <c r="B869" t="str" cm="1">
        <f t="array" ref="B869">_xlfn.IFS(A869&lt;=25,"18-25", A869&lt;=35,"26-35", A869&lt;=45,"36-45", A869&lt;=55,"46-55", A869&lt;=64,"56-64")</f>
        <v>56-64</v>
      </c>
      <c r="C869" t="s">
        <v>10</v>
      </c>
      <c r="D869">
        <v>43.7</v>
      </c>
      <c r="E869">
        <v>1</v>
      </c>
      <c r="F869" t="s">
        <v>11</v>
      </c>
      <c r="G869" t="s">
        <v>52</v>
      </c>
      <c r="H869" s="2">
        <v>11576.13</v>
      </c>
      <c r="I869" s="2">
        <f t="shared" si="91"/>
        <v>5788.0649999999996</v>
      </c>
      <c r="J869" t="str">
        <f t="shared" si="92"/>
        <v>Low</v>
      </c>
      <c r="K869" s="1">
        <f t="shared" si="93"/>
        <v>0.61</v>
      </c>
      <c r="L869" t="str">
        <f t="shared" si="94"/>
        <v>Obese</v>
      </c>
      <c r="M869" t="str">
        <f t="shared" si="95"/>
        <v>Standard</v>
      </c>
      <c r="N869" t="str">
        <f t="shared" si="96"/>
        <v>Tier 3</v>
      </c>
      <c r="O869">
        <f t="shared" si="97"/>
        <v>2</v>
      </c>
    </row>
    <row r="870" spans="1:15" x14ac:dyDescent="0.2">
      <c r="A870">
        <v>61</v>
      </c>
      <c r="B870" t="str" cm="1">
        <f t="array" ref="B870">_xlfn.IFS(A870&lt;=25,"18-25", A870&lt;=35,"26-35", A870&lt;=45,"36-45", A870&lt;=55,"46-55", A870&lt;=64,"56-64")</f>
        <v>56-64</v>
      </c>
      <c r="C870" t="s">
        <v>10</v>
      </c>
      <c r="D870">
        <v>23.655000000000001</v>
      </c>
      <c r="E870">
        <v>0</v>
      </c>
      <c r="F870" t="s">
        <v>11</v>
      </c>
      <c r="G870" t="s">
        <v>53</v>
      </c>
      <c r="H870" s="2">
        <v>13129.603450000001</v>
      </c>
      <c r="I870" s="2">
        <f t="shared" si="91"/>
        <v>13129.603450000001</v>
      </c>
      <c r="J870" t="str">
        <f t="shared" si="92"/>
        <v>Low</v>
      </c>
      <c r="K870" s="1">
        <f t="shared" si="93"/>
        <v>0.68</v>
      </c>
      <c r="L870" t="str">
        <f t="shared" si="94"/>
        <v>Normal</v>
      </c>
      <c r="M870" t="str">
        <f t="shared" si="95"/>
        <v>Standard</v>
      </c>
      <c r="N870" t="str">
        <f t="shared" si="96"/>
        <v>Tier 2</v>
      </c>
      <c r="O870">
        <f t="shared" si="97"/>
        <v>0</v>
      </c>
    </row>
    <row r="871" spans="1:15" x14ac:dyDescent="0.2">
      <c r="A871">
        <v>25</v>
      </c>
      <c r="B871" t="str" cm="1">
        <f t="array" ref="B871">_xlfn.IFS(A871&lt;=25,"18-25", A871&lt;=35,"26-35", A871&lt;=45,"36-45", A871&lt;=55,"46-55", A871&lt;=64,"56-64")</f>
        <v>18-25</v>
      </c>
      <c r="C871" t="s">
        <v>7</v>
      </c>
      <c r="D871">
        <v>24.3</v>
      </c>
      <c r="E871">
        <v>3</v>
      </c>
      <c r="F871" t="s">
        <v>11</v>
      </c>
      <c r="G871" t="s">
        <v>52</v>
      </c>
      <c r="H871" s="2">
        <v>4391.652</v>
      </c>
      <c r="I871" s="2">
        <f t="shared" si="91"/>
        <v>1097.913</v>
      </c>
      <c r="J871" t="str">
        <f t="shared" si="92"/>
        <v>Low</v>
      </c>
      <c r="K871" s="1">
        <f t="shared" si="93"/>
        <v>0.222</v>
      </c>
      <c r="L871" t="str">
        <f t="shared" si="94"/>
        <v>Normal</v>
      </c>
      <c r="M871" t="str">
        <f t="shared" si="95"/>
        <v>Standard</v>
      </c>
      <c r="N871" t="str">
        <f t="shared" si="96"/>
        <v>Tier 3</v>
      </c>
      <c r="O871">
        <f t="shared" si="97"/>
        <v>0</v>
      </c>
    </row>
    <row r="872" spans="1:15" x14ac:dyDescent="0.2">
      <c r="A872">
        <v>50</v>
      </c>
      <c r="B872" t="str" cm="1">
        <f t="array" ref="B872">_xlfn.IFS(A872&lt;=25,"18-25", A872&lt;=35,"26-35", A872&lt;=45,"36-45", A872&lt;=55,"46-55", A872&lt;=64,"56-64")</f>
        <v>46-55</v>
      </c>
      <c r="C872" t="s">
        <v>10</v>
      </c>
      <c r="D872">
        <v>36.200000000000003</v>
      </c>
      <c r="E872">
        <v>0</v>
      </c>
      <c r="F872" t="s">
        <v>11</v>
      </c>
      <c r="G872" t="s">
        <v>52</v>
      </c>
      <c r="H872" s="2">
        <v>8457.8179999999993</v>
      </c>
      <c r="I872" s="2">
        <f t="shared" si="91"/>
        <v>8457.8179999999993</v>
      </c>
      <c r="J872" t="str">
        <f t="shared" si="92"/>
        <v>Low</v>
      </c>
      <c r="K872" s="1">
        <f t="shared" si="93"/>
        <v>0.45100000000000001</v>
      </c>
      <c r="L872" t="str">
        <f t="shared" si="94"/>
        <v>Obese</v>
      </c>
      <c r="M872" t="str">
        <f t="shared" si="95"/>
        <v>Standard</v>
      </c>
      <c r="N872" t="str">
        <f t="shared" si="96"/>
        <v>Tier 3</v>
      </c>
      <c r="O872">
        <f t="shared" si="97"/>
        <v>2</v>
      </c>
    </row>
    <row r="873" spans="1:15" x14ac:dyDescent="0.2">
      <c r="A873">
        <v>26</v>
      </c>
      <c r="B873" t="str" cm="1">
        <f t="array" ref="B873">_xlfn.IFS(A873&lt;=25,"18-25", A873&lt;=35,"26-35", A873&lt;=45,"36-45", A873&lt;=55,"46-55", A873&lt;=64,"56-64")</f>
        <v>26-35</v>
      </c>
      <c r="C873" t="s">
        <v>7</v>
      </c>
      <c r="D873">
        <v>29.48</v>
      </c>
      <c r="E873">
        <v>1</v>
      </c>
      <c r="F873" t="s">
        <v>11</v>
      </c>
      <c r="G873" t="s">
        <v>51</v>
      </c>
      <c r="H873" s="2">
        <v>3392.3652000000002</v>
      </c>
      <c r="I873" s="2">
        <f t="shared" si="91"/>
        <v>1696.1826000000001</v>
      </c>
      <c r="J873" t="str">
        <f t="shared" si="92"/>
        <v>Low</v>
      </c>
      <c r="K873" s="1">
        <f t="shared" si="93"/>
        <v>0.16600000000000001</v>
      </c>
      <c r="L873" t="str">
        <f t="shared" si="94"/>
        <v>Overweight</v>
      </c>
      <c r="M873" t="str">
        <f t="shared" si="95"/>
        <v>Standard</v>
      </c>
      <c r="N873" t="str">
        <f t="shared" si="96"/>
        <v>Tier 1</v>
      </c>
      <c r="O873">
        <f t="shared" si="97"/>
        <v>2</v>
      </c>
    </row>
    <row r="874" spans="1:15" x14ac:dyDescent="0.2">
      <c r="A874">
        <v>42</v>
      </c>
      <c r="B874" t="str" cm="1">
        <f t="array" ref="B874">_xlfn.IFS(A874&lt;=25,"18-25", A874&lt;=35,"26-35", A874&lt;=45,"36-45", A874&lt;=55,"46-55", A874&lt;=64,"56-64")</f>
        <v>36-45</v>
      </c>
      <c r="C874" t="s">
        <v>10</v>
      </c>
      <c r="D874">
        <v>24.86</v>
      </c>
      <c r="E874">
        <v>0</v>
      </c>
      <c r="F874" t="s">
        <v>11</v>
      </c>
      <c r="G874" t="s">
        <v>51</v>
      </c>
      <c r="H874" s="2">
        <v>5966.8873999999996</v>
      </c>
      <c r="I874" s="2">
        <f t="shared" si="91"/>
        <v>5966.8873999999996</v>
      </c>
      <c r="J874" t="str">
        <f t="shared" si="92"/>
        <v>Low</v>
      </c>
      <c r="K874" s="1">
        <f t="shared" si="93"/>
        <v>0.315</v>
      </c>
      <c r="L874" t="str">
        <f t="shared" si="94"/>
        <v>Normal</v>
      </c>
      <c r="M874" t="str">
        <f t="shared" si="95"/>
        <v>Standard</v>
      </c>
      <c r="N874" t="str">
        <f t="shared" si="96"/>
        <v>Tier 1</v>
      </c>
      <c r="O874">
        <f t="shared" si="97"/>
        <v>1</v>
      </c>
    </row>
    <row r="875" spans="1:15" x14ac:dyDescent="0.2">
      <c r="A875">
        <v>43</v>
      </c>
      <c r="B875" t="str" cm="1">
        <f t="array" ref="B875">_xlfn.IFS(A875&lt;=25,"18-25", A875&lt;=35,"26-35", A875&lt;=45,"36-45", A875&lt;=55,"46-55", A875&lt;=64,"56-64")</f>
        <v>36-45</v>
      </c>
      <c r="C875" t="s">
        <v>10</v>
      </c>
      <c r="D875">
        <v>30.1</v>
      </c>
      <c r="E875">
        <v>1</v>
      </c>
      <c r="F875" t="s">
        <v>11</v>
      </c>
      <c r="G875" t="s">
        <v>52</v>
      </c>
      <c r="H875" s="2">
        <v>6849.0259999999998</v>
      </c>
      <c r="I875" s="2">
        <f t="shared" si="91"/>
        <v>3424.5129999999999</v>
      </c>
      <c r="J875" t="str">
        <f t="shared" si="92"/>
        <v>Low</v>
      </c>
      <c r="K875" s="1">
        <f t="shared" si="93"/>
        <v>0.36799999999999999</v>
      </c>
      <c r="L875" t="str">
        <f t="shared" si="94"/>
        <v>Obese</v>
      </c>
      <c r="M875" t="str">
        <f t="shared" si="95"/>
        <v>Standard</v>
      </c>
      <c r="N875" t="str">
        <f t="shared" si="96"/>
        <v>Tier 3</v>
      </c>
      <c r="O875">
        <f t="shared" si="97"/>
        <v>2</v>
      </c>
    </row>
    <row r="876" spans="1:15" x14ac:dyDescent="0.2">
      <c r="A876">
        <v>44</v>
      </c>
      <c r="B876" t="str" cm="1">
        <f t="array" ref="B876">_xlfn.IFS(A876&lt;=25,"18-25", A876&lt;=35,"26-35", A876&lt;=45,"36-45", A876&lt;=55,"46-55", A876&lt;=64,"56-64")</f>
        <v>36-45</v>
      </c>
      <c r="C876" t="s">
        <v>10</v>
      </c>
      <c r="D876">
        <v>21.85</v>
      </c>
      <c r="E876">
        <v>3</v>
      </c>
      <c r="F876" t="s">
        <v>11</v>
      </c>
      <c r="G876" t="s">
        <v>53</v>
      </c>
      <c r="H876" s="2">
        <v>8891.1394999999993</v>
      </c>
      <c r="I876" s="2">
        <f t="shared" si="91"/>
        <v>2222.7848749999998</v>
      </c>
      <c r="J876" t="str">
        <f t="shared" si="92"/>
        <v>Low</v>
      </c>
      <c r="K876" s="1">
        <f t="shared" si="93"/>
        <v>0.47699999999999998</v>
      </c>
      <c r="L876" t="str">
        <f t="shared" si="94"/>
        <v>Normal</v>
      </c>
      <c r="M876" t="str">
        <f t="shared" si="95"/>
        <v>Standard</v>
      </c>
      <c r="N876" t="str">
        <f t="shared" si="96"/>
        <v>Tier 2</v>
      </c>
      <c r="O876">
        <f t="shared" si="97"/>
        <v>0</v>
      </c>
    </row>
    <row r="877" spans="1:15" x14ac:dyDescent="0.2">
      <c r="A877">
        <v>23</v>
      </c>
      <c r="B877" t="str" cm="1">
        <f t="array" ref="B877">_xlfn.IFS(A877&lt;=25,"18-25", A877&lt;=35,"26-35", A877&lt;=45,"36-45", A877&lt;=55,"46-55", A877&lt;=64,"56-64")</f>
        <v>18-25</v>
      </c>
      <c r="C877" t="s">
        <v>7</v>
      </c>
      <c r="D877">
        <v>28.12</v>
      </c>
      <c r="E877">
        <v>0</v>
      </c>
      <c r="F877" t="s">
        <v>11</v>
      </c>
      <c r="G877" t="s">
        <v>54</v>
      </c>
      <c r="H877" s="2">
        <v>2690.1138000000001</v>
      </c>
      <c r="I877" s="2">
        <f t="shared" si="91"/>
        <v>2690.1138000000001</v>
      </c>
      <c r="J877" t="str">
        <f t="shared" si="92"/>
        <v>Low</v>
      </c>
      <c r="K877" s="1">
        <f t="shared" si="93"/>
        <v>0.121</v>
      </c>
      <c r="L877" t="str">
        <f t="shared" si="94"/>
        <v>Overweight</v>
      </c>
      <c r="M877" t="str">
        <f t="shared" si="95"/>
        <v>Standard</v>
      </c>
      <c r="N877" t="str">
        <f t="shared" si="96"/>
        <v>Tier 4</v>
      </c>
      <c r="O877">
        <f t="shared" si="97"/>
        <v>1</v>
      </c>
    </row>
    <row r="878" spans="1:15" x14ac:dyDescent="0.2">
      <c r="A878">
        <v>49</v>
      </c>
      <c r="B878" t="str" cm="1">
        <f t="array" ref="B878">_xlfn.IFS(A878&lt;=25,"18-25", A878&lt;=35,"26-35", A878&lt;=45,"36-45", A878&lt;=55,"46-55", A878&lt;=64,"56-64")</f>
        <v>46-55</v>
      </c>
      <c r="C878" t="s">
        <v>7</v>
      </c>
      <c r="D878">
        <v>27.1</v>
      </c>
      <c r="E878">
        <v>1</v>
      </c>
      <c r="F878" t="s">
        <v>11</v>
      </c>
      <c r="G878" t="s">
        <v>52</v>
      </c>
      <c r="H878" s="2">
        <v>26140.3603</v>
      </c>
      <c r="I878" s="2">
        <f t="shared" si="91"/>
        <v>13070.18015</v>
      </c>
      <c r="J878" t="str">
        <f t="shared" si="92"/>
        <v>High</v>
      </c>
      <c r="K878" s="1">
        <f t="shared" si="93"/>
        <v>0.85799999999999998</v>
      </c>
      <c r="L878" t="str">
        <f t="shared" si="94"/>
        <v>Overweight</v>
      </c>
      <c r="M878" t="str">
        <f t="shared" si="95"/>
        <v>Standard</v>
      </c>
      <c r="N878" t="str">
        <f t="shared" si="96"/>
        <v>Tier 3</v>
      </c>
      <c r="O878">
        <f t="shared" si="97"/>
        <v>1</v>
      </c>
    </row>
    <row r="879" spans="1:15" x14ac:dyDescent="0.2">
      <c r="A879">
        <v>33</v>
      </c>
      <c r="B879" t="str" cm="1">
        <f t="array" ref="B879">_xlfn.IFS(A879&lt;=25,"18-25", A879&lt;=35,"26-35", A879&lt;=45,"36-45", A879&lt;=55,"46-55", A879&lt;=64,"56-64")</f>
        <v>26-35</v>
      </c>
      <c r="C879" t="s">
        <v>10</v>
      </c>
      <c r="D879">
        <v>33.44</v>
      </c>
      <c r="E879">
        <v>5</v>
      </c>
      <c r="F879" t="s">
        <v>11</v>
      </c>
      <c r="G879" t="s">
        <v>51</v>
      </c>
      <c r="H879" s="2">
        <v>6653.7885999999999</v>
      </c>
      <c r="I879" s="2">
        <f t="shared" si="91"/>
        <v>1108.9647666666667</v>
      </c>
      <c r="J879" t="str">
        <f t="shared" si="92"/>
        <v>Low</v>
      </c>
      <c r="K879" s="1">
        <f t="shared" si="93"/>
        <v>0.35799999999999998</v>
      </c>
      <c r="L879" t="str">
        <f t="shared" si="94"/>
        <v>Obese</v>
      </c>
      <c r="M879" t="str">
        <f t="shared" si="95"/>
        <v>Standard</v>
      </c>
      <c r="N879" t="str">
        <f t="shared" si="96"/>
        <v>Tier 1</v>
      </c>
      <c r="O879">
        <f t="shared" si="97"/>
        <v>3</v>
      </c>
    </row>
    <row r="880" spans="1:15" x14ac:dyDescent="0.2">
      <c r="A880">
        <v>41</v>
      </c>
      <c r="B880" t="str" cm="1">
        <f t="array" ref="B880">_xlfn.IFS(A880&lt;=25,"18-25", A880&lt;=35,"26-35", A880&lt;=45,"36-45", A880&lt;=55,"46-55", A880&lt;=64,"56-64")</f>
        <v>36-45</v>
      </c>
      <c r="C880" t="s">
        <v>10</v>
      </c>
      <c r="D880">
        <v>28.8</v>
      </c>
      <c r="E880">
        <v>1</v>
      </c>
      <c r="F880" t="s">
        <v>11</v>
      </c>
      <c r="G880" t="s">
        <v>52</v>
      </c>
      <c r="H880" s="2">
        <v>6282.2349999999997</v>
      </c>
      <c r="I880" s="2">
        <f t="shared" si="91"/>
        <v>3141.1174999999998</v>
      </c>
      <c r="J880" t="str">
        <f t="shared" si="92"/>
        <v>Low</v>
      </c>
      <c r="K880" s="1">
        <f t="shared" si="93"/>
        <v>0.33400000000000002</v>
      </c>
      <c r="L880" t="str">
        <f t="shared" si="94"/>
        <v>Overweight</v>
      </c>
      <c r="M880" t="str">
        <f t="shared" si="95"/>
        <v>Standard</v>
      </c>
      <c r="N880" t="str">
        <f t="shared" si="96"/>
        <v>Tier 3</v>
      </c>
      <c r="O880">
        <f t="shared" si="97"/>
        <v>1</v>
      </c>
    </row>
    <row r="881" spans="1:15" x14ac:dyDescent="0.2">
      <c r="A881">
        <v>37</v>
      </c>
      <c r="B881" t="str" cm="1">
        <f t="array" ref="B881">_xlfn.IFS(A881&lt;=25,"18-25", A881&lt;=35,"26-35", A881&lt;=45,"36-45", A881&lt;=55,"46-55", A881&lt;=64,"56-64")</f>
        <v>36-45</v>
      </c>
      <c r="C881" t="s">
        <v>7</v>
      </c>
      <c r="D881">
        <v>29.5</v>
      </c>
      <c r="E881">
        <v>2</v>
      </c>
      <c r="F881" t="s">
        <v>11</v>
      </c>
      <c r="G881" t="s">
        <v>52</v>
      </c>
      <c r="H881" s="2">
        <v>6311.9520000000002</v>
      </c>
      <c r="I881" s="2">
        <f t="shared" si="91"/>
        <v>2103.9839999999999</v>
      </c>
      <c r="J881" t="str">
        <f t="shared" si="92"/>
        <v>Low</v>
      </c>
      <c r="K881" s="1">
        <f t="shared" si="93"/>
        <v>0.33500000000000002</v>
      </c>
      <c r="L881" t="str">
        <f t="shared" si="94"/>
        <v>Overweight</v>
      </c>
      <c r="M881" t="str">
        <f t="shared" si="95"/>
        <v>Standard</v>
      </c>
      <c r="N881" t="str">
        <f t="shared" si="96"/>
        <v>Tier 3</v>
      </c>
      <c r="O881">
        <f t="shared" si="97"/>
        <v>1</v>
      </c>
    </row>
    <row r="882" spans="1:15" x14ac:dyDescent="0.2">
      <c r="A882">
        <v>22</v>
      </c>
      <c r="B882" t="str" cm="1">
        <f t="array" ref="B882">_xlfn.IFS(A882&lt;=25,"18-25", A882&lt;=35,"26-35", A882&lt;=45,"36-45", A882&lt;=55,"46-55", A882&lt;=64,"56-64")</f>
        <v>18-25</v>
      </c>
      <c r="C882" t="s">
        <v>10</v>
      </c>
      <c r="D882">
        <v>34.799999999999997</v>
      </c>
      <c r="E882">
        <v>3</v>
      </c>
      <c r="F882" t="s">
        <v>11</v>
      </c>
      <c r="G882" t="s">
        <v>52</v>
      </c>
      <c r="H882" s="2">
        <v>3443.0639999999999</v>
      </c>
      <c r="I882" s="2">
        <f t="shared" si="91"/>
        <v>860.76599999999996</v>
      </c>
      <c r="J882" t="str">
        <f t="shared" si="92"/>
        <v>Low</v>
      </c>
      <c r="K882" s="1">
        <f t="shared" si="93"/>
        <v>0.16900000000000001</v>
      </c>
      <c r="L882" t="str">
        <f t="shared" si="94"/>
        <v>Obese</v>
      </c>
      <c r="M882" t="str">
        <f t="shared" si="95"/>
        <v>Standard</v>
      </c>
      <c r="N882" t="str">
        <f t="shared" si="96"/>
        <v>Tier 3</v>
      </c>
      <c r="O882">
        <f t="shared" si="97"/>
        <v>2</v>
      </c>
    </row>
    <row r="883" spans="1:15" x14ac:dyDescent="0.2">
      <c r="A883">
        <v>23</v>
      </c>
      <c r="B883" t="str" cm="1">
        <f t="array" ref="B883">_xlfn.IFS(A883&lt;=25,"18-25", A883&lt;=35,"26-35", A883&lt;=45,"36-45", A883&lt;=55,"46-55", A883&lt;=64,"56-64")</f>
        <v>18-25</v>
      </c>
      <c r="C883" t="s">
        <v>10</v>
      </c>
      <c r="D883">
        <v>27.36</v>
      </c>
      <c r="E883">
        <v>1</v>
      </c>
      <c r="F883" t="s">
        <v>11</v>
      </c>
      <c r="G883" t="s">
        <v>54</v>
      </c>
      <c r="H883" s="2">
        <v>2789.0574000000001</v>
      </c>
      <c r="I883" s="2">
        <f t="shared" si="91"/>
        <v>1394.5287000000001</v>
      </c>
      <c r="J883" t="str">
        <f t="shared" si="92"/>
        <v>Low</v>
      </c>
      <c r="K883" s="1">
        <f t="shared" si="93"/>
        <v>0.13100000000000001</v>
      </c>
      <c r="L883" t="str">
        <f t="shared" si="94"/>
        <v>Overweight</v>
      </c>
      <c r="M883" t="str">
        <f t="shared" si="95"/>
        <v>Standard</v>
      </c>
      <c r="N883" t="str">
        <f t="shared" si="96"/>
        <v>Tier 4</v>
      </c>
      <c r="O883">
        <f t="shared" si="97"/>
        <v>1</v>
      </c>
    </row>
    <row r="884" spans="1:15" x14ac:dyDescent="0.2">
      <c r="A884">
        <v>21</v>
      </c>
      <c r="B884" t="str" cm="1">
        <f t="array" ref="B884">_xlfn.IFS(A884&lt;=25,"18-25", A884&lt;=35,"26-35", A884&lt;=45,"36-45", A884&lt;=55,"46-55", A884&lt;=64,"56-64")</f>
        <v>18-25</v>
      </c>
      <c r="C884" t="s">
        <v>7</v>
      </c>
      <c r="D884">
        <v>22.135000000000002</v>
      </c>
      <c r="E884">
        <v>0</v>
      </c>
      <c r="F884" t="s">
        <v>11</v>
      </c>
      <c r="G884" t="s">
        <v>53</v>
      </c>
      <c r="H884" s="2">
        <v>2585.8506499999999</v>
      </c>
      <c r="I884" s="2">
        <f t="shared" si="91"/>
        <v>2585.8506499999999</v>
      </c>
      <c r="J884" t="str">
        <f t="shared" si="92"/>
        <v>Low</v>
      </c>
      <c r="K884" s="1">
        <f t="shared" si="93"/>
        <v>0.11600000000000001</v>
      </c>
      <c r="L884" t="str">
        <f t="shared" si="94"/>
        <v>Normal</v>
      </c>
      <c r="M884" t="str">
        <f t="shared" si="95"/>
        <v>Standard</v>
      </c>
      <c r="N884" t="str">
        <f t="shared" si="96"/>
        <v>Tier 2</v>
      </c>
      <c r="O884">
        <f t="shared" si="97"/>
        <v>0</v>
      </c>
    </row>
    <row r="885" spans="1:15" x14ac:dyDescent="0.2">
      <c r="A885">
        <v>51</v>
      </c>
      <c r="B885" t="str" cm="1">
        <f t="array" ref="B885">_xlfn.IFS(A885&lt;=25,"18-25", A885&lt;=35,"26-35", A885&lt;=45,"36-45", A885&lt;=55,"46-55", A885&lt;=64,"56-64")</f>
        <v>46-55</v>
      </c>
      <c r="C885" t="s">
        <v>7</v>
      </c>
      <c r="D885">
        <v>37.049999999999997</v>
      </c>
      <c r="E885">
        <v>3</v>
      </c>
      <c r="F885" t="s">
        <v>8</v>
      </c>
      <c r="G885" t="s">
        <v>53</v>
      </c>
      <c r="H885" s="2">
        <v>46255.112500000003</v>
      </c>
      <c r="I885" s="2">
        <f t="shared" si="91"/>
        <v>11563.778125000001</v>
      </c>
      <c r="J885" t="str">
        <f t="shared" si="92"/>
        <v>High</v>
      </c>
      <c r="K885" s="1">
        <f t="shared" si="93"/>
        <v>0.97799999999999998</v>
      </c>
      <c r="L885" t="str">
        <f t="shared" si="94"/>
        <v>Obese</v>
      </c>
      <c r="M885" t="str">
        <f t="shared" si="95"/>
        <v>High Risk</v>
      </c>
      <c r="N885" t="str">
        <f t="shared" si="96"/>
        <v>Tier 2</v>
      </c>
      <c r="O885">
        <f t="shared" si="97"/>
        <v>5</v>
      </c>
    </row>
    <row r="886" spans="1:15" x14ac:dyDescent="0.2">
      <c r="A886">
        <v>25</v>
      </c>
      <c r="B886" t="str" cm="1">
        <f t="array" ref="B886">_xlfn.IFS(A886&lt;=25,"18-25", A886&lt;=35,"26-35", A886&lt;=45,"36-45", A886&lt;=55,"46-55", A886&lt;=64,"56-64")</f>
        <v>18-25</v>
      </c>
      <c r="C886" t="s">
        <v>10</v>
      </c>
      <c r="D886">
        <v>26.695</v>
      </c>
      <c r="E886">
        <v>4</v>
      </c>
      <c r="F886" t="s">
        <v>11</v>
      </c>
      <c r="G886" t="s">
        <v>54</v>
      </c>
      <c r="H886" s="2">
        <v>4877.9810500000003</v>
      </c>
      <c r="I886" s="2">
        <f t="shared" si="91"/>
        <v>975.59621000000004</v>
      </c>
      <c r="J886" t="str">
        <f t="shared" si="92"/>
        <v>Low</v>
      </c>
      <c r="K886" s="1">
        <f t="shared" si="93"/>
        <v>0.25900000000000001</v>
      </c>
      <c r="L886" t="str">
        <f t="shared" si="94"/>
        <v>Overweight</v>
      </c>
      <c r="M886" t="str">
        <f t="shared" si="95"/>
        <v>Standard</v>
      </c>
      <c r="N886" t="str">
        <f t="shared" si="96"/>
        <v>Tier 4</v>
      </c>
      <c r="O886">
        <f t="shared" si="97"/>
        <v>1</v>
      </c>
    </row>
    <row r="887" spans="1:15" x14ac:dyDescent="0.2">
      <c r="A887">
        <v>32</v>
      </c>
      <c r="B887" t="str" cm="1">
        <f t="array" ref="B887">_xlfn.IFS(A887&lt;=25,"18-25", A887&lt;=35,"26-35", A887&lt;=45,"36-45", A887&lt;=55,"46-55", A887&lt;=64,"56-64")</f>
        <v>26-35</v>
      </c>
      <c r="C887" t="s">
        <v>10</v>
      </c>
      <c r="D887">
        <v>28.93</v>
      </c>
      <c r="E887">
        <v>1</v>
      </c>
      <c r="F887" t="s">
        <v>8</v>
      </c>
      <c r="G887" t="s">
        <v>51</v>
      </c>
      <c r="H887" s="2">
        <v>19719.6947</v>
      </c>
      <c r="I887" s="2">
        <f t="shared" si="91"/>
        <v>9859.84735</v>
      </c>
      <c r="J887" t="str">
        <f t="shared" si="92"/>
        <v>High</v>
      </c>
      <c r="K887" s="1">
        <f t="shared" si="93"/>
        <v>0.79200000000000004</v>
      </c>
      <c r="L887" t="str">
        <f t="shared" si="94"/>
        <v>Overweight</v>
      </c>
      <c r="M887" t="str">
        <f t="shared" si="95"/>
        <v>High Risk</v>
      </c>
      <c r="N887" t="str">
        <f t="shared" si="96"/>
        <v>Tier 1</v>
      </c>
      <c r="O887">
        <f t="shared" si="97"/>
        <v>5</v>
      </c>
    </row>
    <row r="888" spans="1:15" x14ac:dyDescent="0.2">
      <c r="A888">
        <v>57</v>
      </c>
      <c r="B888" t="str" cm="1">
        <f t="array" ref="B888">_xlfn.IFS(A888&lt;=25,"18-25", A888&lt;=35,"26-35", A888&lt;=45,"36-45", A888&lt;=55,"46-55", A888&lt;=64,"56-64")</f>
        <v>56-64</v>
      </c>
      <c r="C888" t="s">
        <v>10</v>
      </c>
      <c r="D888">
        <v>28.975000000000001</v>
      </c>
      <c r="E888">
        <v>0</v>
      </c>
      <c r="F888" t="s">
        <v>8</v>
      </c>
      <c r="G888" t="s">
        <v>53</v>
      </c>
      <c r="H888" s="2">
        <v>27218.437249999999</v>
      </c>
      <c r="I888" s="2">
        <f t="shared" si="91"/>
        <v>27218.437249999999</v>
      </c>
      <c r="J888" t="str">
        <f t="shared" si="92"/>
        <v>High</v>
      </c>
      <c r="K888" s="1">
        <f t="shared" si="93"/>
        <v>0.86399999999999999</v>
      </c>
      <c r="L888" t="str">
        <f t="shared" si="94"/>
        <v>Overweight</v>
      </c>
      <c r="M888" t="str">
        <f t="shared" si="95"/>
        <v>High Risk</v>
      </c>
      <c r="N888" t="str">
        <f t="shared" si="96"/>
        <v>Tier 2</v>
      </c>
      <c r="O888">
        <f t="shared" si="97"/>
        <v>4</v>
      </c>
    </row>
    <row r="889" spans="1:15" x14ac:dyDescent="0.2">
      <c r="A889">
        <v>36</v>
      </c>
      <c r="B889" t="str" cm="1">
        <f t="array" ref="B889">_xlfn.IFS(A889&lt;=25,"18-25", A889&lt;=35,"26-35", A889&lt;=45,"36-45", A889&lt;=55,"46-55", A889&lt;=64,"56-64")</f>
        <v>36-45</v>
      </c>
      <c r="C889" t="s">
        <v>7</v>
      </c>
      <c r="D889">
        <v>30.02</v>
      </c>
      <c r="E889">
        <v>0</v>
      </c>
      <c r="F889" t="s">
        <v>11</v>
      </c>
      <c r="G889" t="s">
        <v>54</v>
      </c>
      <c r="H889" s="2">
        <v>5272.1758</v>
      </c>
      <c r="I889" s="2">
        <f t="shared" si="91"/>
        <v>5272.1758</v>
      </c>
      <c r="J889" t="str">
        <f t="shared" si="92"/>
        <v>Low</v>
      </c>
      <c r="K889" s="1">
        <f t="shared" si="93"/>
        <v>0.28399999999999997</v>
      </c>
      <c r="L889" t="str">
        <f t="shared" si="94"/>
        <v>Obese</v>
      </c>
      <c r="M889" t="str">
        <f t="shared" si="95"/>
        <v>Standard</v>
      </c>
      <c r="N889" t="str">
        <f t="shared" si="96"/>
        <v>Tier 4</v>
      </c>
      <c r="O889">
        <f t="shared" si="97"/>
        <v>2</v>
      </c>
    </row>
    <row r="890" spans="1:15" x14ac:dyDescent="0.2">
      <c r="A890">
        <v>22</v>
      </c>
      <c r="B890" t="str" cm="1">
        <f t="array" ref="B890">_xlfn.IFS(A890&lt;=25,"18-25", A890&lt;=35,"26-35", A890&lt;=45,"36-45", A890&lt;=55,"46-55", A890&lt;=64,"56-64")</f>
        <v>18-25</v>
      </c>
      <c r="C890" t="s">
        <v>10</v>
      </c>
      <c r="D890">
        <v>39.5</v>
      </c>
      <c r="E890">
        <v>0</v>
      </c>
      <c r="F890" t="s">
        <v>11</v>
      </c>
      <c r="G890" t="s">
        <v>52</v>
      </c>
      <c r="H890" s="2">
        <v>1682.597</v>
      </c>
      <c r="I890" s="2">
        <f t="shared" si="91"/>
        <v>1682.597</v>
      </c>
      <c r="J890" t="str">
        <f t="shared" si="92"/>
        <v>Low</v>
      </c>
      <c r="K890" s="1">
        <f t="shared" si="93"/>
        <v>3.4000000000000002E-2</v>
      </c>
      <c r="L890" t="str">
        <f t="shared" si="94"/>
        <v>Obese</v>
      </c>
      <c r="M890" t="str">
        <f t="shared" si="95"/>
        <v>Standard</v>
      </c>
      <c r="N890" t="str">
        <f t="shared" si="96"/>
        <v>Tier 3</v>
      </c>
      <c r="O890">
        <f t="shared" si="97"/>
        <v>2</v>
      </c>
    </row>
    <row r="891" spans="1:15" x14ac:dyDescent="0.2">
      <c r="A891">
        <v>57</v>
      </c>
      <c r="B891" t="str" cm="1">
        <f t="array" ref="B891">_xlfn.IFS(A891&lt;=25,"18-25", A891&lt;=35,"26-35", A891&lt;=45,"36-45", A891&lt;=55,"46-55", A891&lt;=64,"56-64")</f>
        <v>56-64</v>
      </c>
      <c r="C891" t="s">
        <v>10</v>
      </c>
      <c r="D891">
        <v>33.630000000000003</v>
      </c>
      <c r="E891">
        <v>1</v>
      </c>
      <c r="F891" t="s">
        <v>11</v>
      </c>
      <c r="G891" t="s">
        <v>54</v>
      </c>
      <c r="H891" s="2">
        <v>11945.1327</v>
      </c>
      <c r="I891" s="2">
        <f t="shared" si="91"/>
        <v>5972.5663500000001</v>
      </c>
      <c r="J891" t="str">
        <f t="shared" si="92"/>
        <v>Low</v>
      </c>
      <c r="K891" s="1">
        <f t="shared" si="93"/>
        <v>0.63</v>
      </c>
      <c r="L891" t="str">
        <f t="shared" si="94"/>
        <v>Obese</v>
      </c>
      <c r="M891" t="str">
        <f t="shared" si="95"/>
        <v>Standard</v>
      </c>
      <c r="N891" t="str">
        <f t="shared" si="96"/>
        <v>Tier 4</v>
      </c>
      <c r="O891">
        <f t="shared" si="97"/>
        <v>2</v>
      </c>
    </row>
    <row r="892" spans="1:15" x14ac:dyDescent="0.2">
      <c r="A892">
        <v>64</v>
      </c>
      <c r="B892" t="str" cm="1">
        <f t="array" ref="B892">_xlfn.IFS(A892&lt;=25,"18-25", A892&lt;=35,"26-35", A892&lt;=45,"36-45", A892&lt;=55,"46-55", A892&lt;=64,"56-64")</f>
        <v>56-64</v>
      </c>
      <c r="C892" t="s">
        <v>7</v>
      </c>
      <c r="D892">
        <v>26.885000000000002</v>
      </c>
      <c r="E892">
        <v>0</v>
      </c>
      <c r="F892" t="s">
        <v>8</v>
      </c>
      <c r="G892" t="s">
        <v>54</v>
      </c>
      <c r="H892" s="2">
        <v>29330.98315</v>
      </c>
      <c r="I892" s="2">
        <f t="shared" si="91"/>
        <v>29330.98315</v>
      </c>
      <c r="J892" t="str">
        <f t="shared" si="92"/>
        <v>High</v>
      </c>
      <c r="K892" s="1">
        <f t="shared" si="93"/>
        <v>0.878</v>
      </c>
      <c r="L892" t="str">
        <f t="shared" si="94"/>
        <v>Overweight</v>
      </c>
      <c r="M892" t="str">
        <f t="shared" si="95"/>
        <v>High Risk</v>
      </c>
      <c r="N892" t="str">
        <f t="shared" si="96"/>
        <v>Tier 4</v>
      </c>
      <c r="O892">
        <f t="shared" si="97"/>
        <v>4</v>
      </c>
    </row>
    <row r="893" spans="1:15" x14ac:dyDescent="0.2">
      <c r="A893">
        <v>36</v>
      </c>
      <c r="B893" t="str" cm="1">
        <f t="array" ref="B893">_xlfn.IFS(A893&lt;=25,"18-25", A893&lt;=35,"26-35", A893&lt;=45,"36-45", A893&lt;=55,"46-55", A893&lt;=64,"56-64")</f>
        <v>36-45</v>
      </c>
      <c r="C893" t="s">
        <v>7</v>
      </c>
      <c r="D893">
        <v>29.04</v>
      </c>
      <c r="E893">
        <v>4</v>
      </c>
      <c r="F893" t="s">
        <v>11</v>
      </c>
      <c r="G893" t="s">
        <v>51</v>
      </c>
      <c r="H893" s="2">
        <v>7243.8136000000004</v>
      </c>
      <c r="I893" s="2">
        <f t="shared" si="91"/>
        <v>1448.7627200000002</v>
      </c>
      <c r="J893" t="str">
        <f t="shared" si="92"/>
        <v>Low</v>
      </c>
      <c r="K893" s="1">
        <f t="shared" si="93"/>
        <v>0.39100000000000001</v>
      </c>
      <c r="L893" t="str">
        <f t="shared" si="94"/>
        <v>Overweight</v>
      </c>
      <c r="M893" t="str">
        <f t="shared" si="95"/>
        <v>Standard</v>
      </c>
      <c r="N893" t="str">
        <f t="shared" si="96"/>
        <v>Tier 1</v>
      </c>
      <c r="O893">
        <f t="shared" si="97"/>
        <v>2</v>
      </c>
    </row>
    <row r="894" spans="1:15" x14ac:dyDescent="0.2">
      <c r="A894">
        <v>54</v>
      </c>
      <c r="B894" t="str" cm="1">
        <f t="array" ref="B894">_xlfn.IFS(A894&lt;=25,"18-25", A894&lt;=35,"26-35", A894&lt;=45,"36-45", A894&lt;=55,"46-55", A894&lt;=64,"56-64")</f>
        <v>46-55</v>
      </c>
      <c r="C894" t="s">
        <v>10</v>
      </c>
      <c r="D894">
        <v>24.035</v>
      </c>
      <c r="E894">
        <v>0</v>
      </c>
      <c r="F894" t="s">
        <v>11</v>
      </c>
      <c r="G894" t="s">
        <v>53</v>
      </c>
      <c r="H894" s="2">
        <v>10422.916649999999</v>
      </c>
      <c r="I894" s="2">
        <f t="shared" si="91"/>
        <v>10422.916649999999</v>
      </c>
      <c r="J894" t="str">
        <f t="shared" si="92"/>
        <v>Low</v>
      </c>
      <c r="K894" s="1">
        <f t="shared" si="93"/>
        <v>0.54900000000000004</v>
      </c>
      <c r="L894" t="str">
        <f t="shared" si="94"/>
        <v>Normal</v>
      </c>
      <c r="M894" t="str">
        <f t="shared" si="95"/>
        <v>Standard</v>
      </c>
      <c r="N894" t="str">
        <f t="shared" si="96"/>
        <v>Tier 2</v>
      </c>
      <c r="O894">
        <f t="shared" si="97"/>
        <v>0</v>
      </c>
    </row>
    <row r="895" spans="1:15" x14ac:dyDescent="0.2">
      <c r="A895">
        <v>47</v>
      </c>
      <c r="B895" t="str" cm="1">
        <f t="array" ref="B895">_xlfn.IFS(A895&lt;=25,"18-25", A895&lt;=35,"26-35", A895&lt;=45,"36-45", A895&lt;=55,"46-55", A895&lt;=64,"56-64")</f>
        <v>46-55</v>
      </c>
      <c r="C895" t="s">
        <v>10</v>
      </c>
      <c r="D895">
        <v>38.94</v>
      </c>
      <c r="E895">
        <v>2</v>
      </c>
      <c r="F895" t="s">
        <v>8</v>
      </c>
      <c r="G895" t="s">
        <v>51</v>
      </c>
      <c r="H895" s="2">
        <v>44202.653599999998</v>
      </c>
      <c r="I895" s="2">
        <f t="shared" si="91"/>
        <v>14734.217866666666</v>
      </c>
      <c r="J895" t="str">
        <f t="shared" si="92"/>
        <v>High</v>
      </c>
      <c r="K895" s="1">
        <f t="shared" si="93"/>
        <v>0.96699999999999997</v>
      </c>
      <c r="L895" t="str">
        <f t="shared" si="94"/>
        <v>Obese</v>
      </c>
      <c r="M895" t="str">
        <f t="shared" si="95"/>
        <v>High Risk</v>
      </c>
      <c r="N895" t="str">
        <f t="shared" si="96"/>
        <v>Tier 1</v>
      </c>
      <c r="O895">
        <f t="shared" si="97"/>
        <v>6</v>
      </c>
    </row>
    <row r="896" spans="1:15" x14ac:dyDescent="0.2">
      <c r="A896">
        <v>62</v>
      </c>
      <c r="B896" t="str" cm="1">
        <f t="array" ref="B896">_xlfn.IFS(A896&lt;=25,"18-25", A896&lt;=35,"26-35", A896&lt;=45,"36-45", A896&lt;=55,"46-55", A896&lt;=64,"56-64")</f>
        <v>56-64</v>
      </c>
      <c r="C896" t="s">
        <v>10</v>
      </c>
      <c r="D896">
        <v>32.11</v>
      </c>
      <c r="E896">
        <v>0</v>
      </c>
      <c r="F896" t="s">
        <v>11</v>
      </c>
      <c r="G896" t="s">
        <v>53</v>
      </c>
      <c r="H896" s="2">
        <v>13555.0049</v>
      </c>
      <c r="I896" s="2">
        <f t="shared" si="91"/>
        <v>13555.0049</v>
      </c>
      <c r="J896" t="str">
        <f t="shared" si="92"/>
        <v>High</v>
      </c>
      <c r="K896" s="1">
        <f t="shared" si="93"/>
        <v>0.69499999999999995</v>
      </c>
      <c r="L896" t="str">
        <f t="shared" si="94"/>
        <v>Obese</v>
      </c>
      <c r="M896" t="str">
        <f t="shared" si="95"/>
        <v>Standard</v>
      </c>
      <c r="N896" t="str">
        <f t="shared" si="96"/>
        <v>Tier 2</v>
      </c>
      <c r="O896">
        <f t="shared" si="97"/>
        <v>2</v>
      </c>
    </row>
    <row r="897" spans="1:15" x14ac:dyDescent="0.2">
      <c r="A897">
        <v>61</v>
      </c>
      <c r="B897" t="str" cm="1">
        <f t="array" ref="B897">_xlfn.IFS(A897&lt;=25,"18-25", A897&lt;=35,"26-35", A897&lt;=45,"36-45", A897&lt;=55,"46-55", A897&lt;=64,"56-64")</f>
        <v>56-64</v>
      </c>
      <c r="C897" t="s">
        <v>7</v>
      </c>
      <c r="D897">
        <v>44</v>
      </c>
      <c r="E897">
        <v>0</v>
      </c>
      <c r="F897" t="s">
        <v>11</v>
      </c>
      <c r="G897" t="s">
        <v>52</v>
      </c>
      <c r="H897" s="2">
        <v>13063.883</v>
      </c>
      <c r="I897" s="2">
        <f t="shared" si="91"/>
        <v>13063.883</v>
      </c>
      <c r="J897" t="str">
        <f t="shared" si="92"/>
        <v>Low</v>
      </c>
      <c r="K897" s="1">
        <f t="shared" si="93"/>
        <v>0.67800000000000005</v>
      </c>
      <c r="L897" t="str">
        <f t="shared" si="94"/>
        <v>Obese</v>
      </c>
      <c r="M897" t="str">
        <f t="shared" si="95"/>
        <v>Standard</v>
      </c>
      <c r="N897" t="str">
        <f t="shared" si="96"/>
        <v>Tier 3</v>
      </c>
      <c r="O897">
        <f t="shared" si="97"/>
        <v>2</v>
      </c>
    </row>
    <row r="898" spans="1:15" x14ac:dyDescent="0.2">
      <c r="A898">
        <v>43</v>
      </c>
      <c r="B898" t="str" cm="1">
        <f t="array" ref="B898">_xlfn.IFS(A898&lt;=25,"18-25", A898&lt;=35,"26-35", A898&lt;=45,"36-45", A898&lt;=55,"46-55", A898&lt;=64,"56-64")</f>
        <v>36-45</v>
      </c>
      <c r="C898" t="s">
        <v>7</v>
      </c>
      <c r="D898">
        <v>20.045000000000002</v>
      </c>
      <c r="E898">
        <v>2</v>
      </c>
      <c r="F898" t="s">
        <v>8</v>
      </c>
      <c r="G898" t="s">
        <v>53</v>
      </c>
      <c r="H898" s="2">
        <v>19798.054550000001</v>
      </c>
      <c r="I898" s="2">
        <f t="shared" ref="I898:I961" si="98">H898/(E898+1)</f>
        <v>6599.3515166666666</v>
      </c>
      <c r="J898" t="str">
        <f t="shared" ref="J898:J961" si="99">IF(H898&gt;AVERAGE($H$2:$H$1339),"High","Low")</f>
        <v>High</v>
      </c>
      <c r="K898" s="1">
        <f t="shared" ref="K898:K961" si="100">PERCENTRANK($H$2:$H$1339,H898)</f>
        <v>0.79400000000000004</v>
      </c>
      <c r="L898" t="str">
        <f t="shared" ref="L898:L961" si="101">IF(D898&lt;18.5,"Underweight",IF(D898&lt;25,"Normal",IF(D898&lt;30,"Overweight","Obese")))</f>
        <v>Normal</v>
      </c>
      <c r="M898" t="str">
        <f t="shared" ref="M898:M961" si="102">IF(F898="yes","High Risk","Standard")</f>
        <v>High Risk</v>
      </c>
      <c r="N898" t="str">
        <f t="shared" ref="N898:N961" si="103">IF(G898="southeast","Tier 1",IF(G898="northeast","Tier 2",IF(G898="southwest","Tier 3","Tier 4")))</f>
        <v>Tier 2</v>
      </c>
      <c r="O898">
        <f t="shared" ref="O898:O961" si="104">IF(F898="yes",3,0)+IF(D898&gt;=30,2,IF(D898&gt;=25,1,0))+IF(G898="southeast",1,0)</f>
        <v>3</v>
      </c>
    </row>
    <row r="899" spans="1:15" x14ac:dyDescent="0.2">
      <c r="A899">
        <v>19</v>
      </c>
      <c r="B899" t="str" cm="1">
        <f t="array" ref="B899">_xlfn.IFS(A899&lt;=25,"18-25", A899&lt;=35,"26-35", A899&lt;=45,"36-45", A899&lt;=55,"46-55", A899&lt;=64,"56-64")</f>
        <v>18-25</v>
      </c>
      <c r="C899" t="s">
        <v>10</v>
      </c>
      <c r="D899">
        <v>25.555</v>
      </c>
      <c r="E899">
        <v>1</v>
      </c>
      <c r="F899" t="s">
        <v>11</v>
      </c>
      <c r="G899" t="s">
        <v>54</v>
      </c>
      <c r="H899" s="2">
        <v>2221.5644499999999</v>
      </c>
      <c r="I899" s="2">
        <f t="shared" si="98"/>
        <v>1110.7822249999999</v>
      </c>
      <c r="J899" t="str">
        <f t="shared" si="99"/>
        <v>Low</v>
      </c>
      <c r="K899" s="1">
        <f t="shared" si="100"/>
        <v>9.2999999999999999E-2</v>
      </c>
      <c r="L899" t="str">
        <f t="shared" si="101"/>
        <v>Overweight</v>
      </c>
      <c r="M899" t="str">
        <f t="shared" si="102"/>
        <v>Standard</v>
      </c>
      <c r="N899" t="str">
        <f t="shared" si="103"/>
        <v>Tier 4</v>
      </c>
      <c r="O899">
        <f t="shared" si="104"/>
        <v>1</v>
      </c>
    </row>
    <row r="900" spans="1:15" x14ac:dyDescent="0.2">
      <c r="A900">
        <v>18</v>
      </c>
      <c r="B900" t="str" cm="1">
        <f t="array" ref="B900">_xlfn.IFS(A900&lt;=25,"18-25", A900&lt;=35,"26-35", A900&lt;=45,"36-45", A900&lt;=55,"46-55", A900&lt;=64,"56-64")</f>
        <v>18-25</v>
      </c>
      <c r="C900" t="s">
        <v>7</v>
      </c>
      <c r="D900">
        <v>40.26</v>
      </c>
      <c r="E900">
        <v>0</v>
      </c>
      <c r="F900" t="s">
        <v>11</v>
      </c>
      <c r="G900" t="s">
        <v>51</v>
      </c>
      <c r="H900" s="2">
        <v>1634.5734</v>
      </c>
      <c r="I900" s="2">
        <f t="shared" si="98"/>
        <v>1634.5734</v>
      </c>
      <c r="J900" t="str">
        <f t="shared" si="99"/>
        <v>Low</v>
      </c>
      <c r="K900" s="1">
        <f t="shared" si="100"/>
        <v>2.9000000000000001E-2</v>
      </c>
      <c r="L900" t="str">
        <f t="shared" si="101"/>
        <v>Obese</v>
      </c>
      <c r="M900" t="str">
        <f t="shared" si="102"/>
        <v>Standard</v>
      </c>
      <c r="N900" t="str">
        <f t="shared" si="103"/>
        <v>Tier 1</v>
      </c>
      <c r="O900">
        <f t="shared" si="104"/>
        <v>3</v>
      </c>
    </row>
    <row r="901" spans="1:15" x14ac:dyDescent="0.2">
      <c r="A901">
        <v>19</v>
      </c>
      <c r="B901" t="str" cm="1">
        <f t="array" ref="B901">_xlfn.IFS(A901&lt;=25,"18-25", A901&lt;=35,"26-35", A901&lt;=45,"36-45", A901&lt;=55,"46-55", A901&lt;=64,"56-64")</f>
        <v>18-25</v>
      </c>
      <c r="C901" t="s">
        <v>7</v>
      </c>
      <c r="D901">
        <v>22.515000000000001</v>
      </c>
      <c r="E901">
        <v>0</v>
      </c>
      <c r="F901" t="s">
        <v>11</v>
      </c>
      <c r="G901" t="s">
        <v>54</v>
      </c>
      <c r="H901" s="2">
        <v>2117.3388500000001</v>
      </c>
      <c r="I901" s="2">
        <f t="shared" si="98"/>
        <v>2117.3388500000001</v>
      </c>
      <c r="J901" t="str">
        <f t="shared" si="99"/>
        <v>Low</v>
      </c>
      <c r="K901" s="1">
        <f t="shared" si="100"/>
        <v>7.4999999999999997E-2</v>
      </c>
      <c r="L901" t="str">
        <f t="shared" si="101"/>
        <v>Normal</v>
      </c>
      <c r="M901" t="str">
        <f t="shared" si="102"/>
        <v>Standard</v>
      </c>
      <c r="N901" t="str">
        <f t="shared" si="103"/>
        <v>Tier 4</v>
      </c>
      <c r="O901">
        <f t="shared" si="104"/>
        <v>0</v>
      </c>
    </row>
    <row r="902" spans="1:15" x14ac:dyDescent="0.2">
      <c r="A902">
        <v>49</v>
      </c>
      <c r="B902" t="str" cm="1">
        <f t="array" ref="B902">_xlfn.IFS(A902&lt;=25,"18-25", A902&lt;=35,"26-35", A902&lt;=45,"36-45", A902&lt;=55,"46-55", A902&lt;=64,"56-64")</f>
        <v>46-55</v>
      </c>
      <c r="C902" t="s">
        <v>10</v>
      </c>
      <c r="D902">
        <v>22.515000000000001</v>
      </c>
      <c r="E902">
        <v>0</v>
      </c>
      <c r="F902" t="s">
        <v>11</v>
      </c>
      <c r="G902" t="s">
        <v>53</v>
      </c>
      <c r="H902" s="2">
        <v>8688.8588500000005</v>
      </c>
      <c r="I902" s="2">
        <f t="shared" si="98"/>
        <v>8688.8588500000005</v>
      </c>
      <c r="J902" t="str">
        <f t="shared" si="99"/>
        <v>Low</v>
      </c>
      <c r="K902" s="1">
        <f t="shared" si="100"/>
        <v>0.46800000000000003</v>
      </c>
      <c r="L902" t="str">
        <f t="shared" si="101"/>
        <v>Normal</v>
      </c>
      <c r="M902" t="str">
        <f t="shared" si="102"/>
        <v>Standard</v>
      </c>
      <c r="N902" t="str">
        <f t="shared" si="103"/>
        <v>Tier 2</v>
      </c>
      <c r="O902">
        <f t="shared" si="104"/>
        <v>0</v>
      </c>
    </row>
    <row r="903" spans="1:15" x14ac:dyDescent="0.2">
      <c r="A903">
        <v>60</v>
      </c>
      <c r="B903" t="str" cm="1">
        <f t="array" ref="B903">_xlfn.IFS(A903&lt;=25,"18-25", A903&lt;=35,"26-35", A903&lt;=45,"36-45", A903&lt;=55,"46-55", A903&lt;=64,"56-64")</f>
        <v>56-64</v>
      </c>
      <c r="C903" t="s">
        <v>10</v>
      </c>
      <c r="D903">
        <v>40.92</v>
      </c>
      <c r="E903">
        <v>0</v>
      </c>
      <c r="F903" t="s">
        <v>8</v>
      </c>
      <c r="G903" t="s">
        <v>51</v>
      </c>
      <c r="H903" s="2">
        <v>48673.558799999999</v>
      </c>
      <c r="I903" s="2">
        <f t="shared" si="98"/>
        <v>48673.558799999999</v>
      </c>
      <c r="J903" t="str">
        <f t="shared" si="99"/>
        <v>High</v>
      </c>
      <c r="K903" s="1">
        <f t="shared" si="100"/>
        <v>0.99099999999999999</v>
      </c>
      <c r="L903" t="str">
        <f t="shared" si="101"/>
        <v>Obese</v>
      </c>
      <c r="M903" t="str">
        <f t="shared" si="102"/>
        <v>High Risk</v>
      </c>
      <c r="N903" t="str">
        <f t="shared" si="103"/>
        <v>Tier 1</v>
      </c>
      <c r="O903">
        <f t="shared" si="104"/>
        <v>6</v>
      </c>
    </row>
    <row r="904" spans="1:15" x14ac:dyDescent="0.2">
      <c r="A904">
        <v>26</v>
      </c>
      <c r="B904" t="str" cm="1">
        <f t="array" ref="B904">_xlfn.IFS(A904&lt;=25,"18-25", A904&lt;=35,"26-35", A904&lt;=45,"36-45", A904&lt;=55,"46-55", A904&lt;=64,"56-64")</f>
        <v>26-35</v>
      </c>
      <c r="C904" t="s">
        <v>10</v>
      </c>
      <c r="D904">
        <v>27.265000000000001</v>
      </c>
      <c r="E904">
        <v>3</v>
      </c>
      <c r="F904" t="s">
        <v>11</v>
      </c>
      <c r="G904" t="s">
        <v>53</v>
      </c>
      <c r="H904" s="2">
        <v>4661.2863500000003</v>
      </c>
      <c r="I904" s="2">
        <f t="shared" si="98"/>
        <v>1165.3215875000001</v>
      </c>
      <c r="J904" t="str">
        <f t="shared" si="99"/>
        <v>Low</v>
      </c>
      <c r="K904" s="1">
        <f t="shared" si="100"/>
        <v>0.24299999999999999</v>
      </c>
      <c r="L904" t="str">
        <f t="shared" si="101"/>
        <v>Overweight</v>
      </c>
      <c r="M904" t="str">
        <f t="shared" si="102"/>
        <v>Standard</v>
      </c>
      <c r="N904" t="str">
        <f t="shared" si="103"/>
        <v>Tier 2</v>
      </c>
      <c r="O904">
        <f t="shared" si="104"/>
        <v>1</v>
      </c>
    </row>
    <row r="905" spans="1:15" x14ac:dyDescent="0.2">
      <c r="A905">
        <v>49</v>
      </c>
      <c r="B905" t="str" cm="1">
        <f t="array" ref="B905">_xlfn.IFS(A905&lt;=25,"18-25", A905&lt;=35,"26-35", A905&lt;=45,"36-45", A905&lt;=55,"46-55", A905&lt;=64,"56-64")</f>
        <v>46-55</v>
      </c>
      <c r="C905" t="s">
        <v>10</v>
      </c>
      <c r="D905">
        <v>36.85</v>
      </c>
      <c r="E905">
        <v>0</v>
      </c>
      <c r="F905" t="s">
        <v>11</v>
      </c>
      <c r="G905" t="s">
        <v>51</v>
      </c>
      <c r="H905" s="2">
        <v>8125.7844999999998</v>
      </c>
      <c r="I905" s="2">
        <f t="shared" si="98"/>
        <v>8125.7844999999998</v>
      </c>
      <c r="J905" t="str">
        <f t="shared" si="99"/>
        <v>Low</v>
      </c>
      <c r="K905" s="1">
        <f t="shared" si="100"/>
        <v>0.434</v>
      </c>
      <c r="L905" t="str">
        <f t="shared" si="101"/>
        <v>Obese</v>
      </c>
      <c r="M905" t="str">
        <f t="shared" si="102"/>
        <v>Standard</v>
      </c>
      <c r="N905" t="str">
        <f t="shared" si="103"/>
        <v>Tier 1</v>
      </c>
      <c r="O905">
        <f t="shared" si="104"/>
        <v>3</v>
      </c>
    </row>
    <row r="906" spans="1:15" x14ac:dyDescent="0.2">
      <c r="A906">
        <v>60</v>
      </c>
      <c r="B906" t="str" cm="1">
        <f t="array" ref="B906">_xlfn.IFS(A906&lt;=25,"18-25", A906&lt;=35,"26-35", A906&lt;=45,"36-45", A906&lt;=55,"46-55", A906&lt;=64,"56-64")</f>
        <v>56-64</v>
      </c>
      <c r="C906" t="s">
        <v>7</v>
      </c>
      <c r="D906">
        <v>35.1</v>
      </c>
      <c r="E906">
        <v>0</v>
      </c>
      <c r="F906" t="s">
        <v>11</v>
      </c>
      <c r="G906" t="s">
        <v>52</v>
      </c>
      <c r="H906" s="2">
        <v>12644.589</v>
      </c>
      <c r="I906" s="2">
        <f t="shared" si="98"/>
        <v>12644.589</v>
      </c>
      <c r="J906" t="str">
        <f t="shared" si="99"/>
        <v>Low</v>
      </c>
      <c r="K906" s="1">
        <f t="shared" si="100"/>
        <v>0.66100000000000003</v>
      </c>
      <c r="L906" t="str">
        <f t="shared" si="101"/>
        <v>Obese</v>
      </c>
      <c r="M906" t="str">
        <f t="shared" si="102"/>
        <v>Standard</v>
      </c>
      <c r="N906" t="str">
        <f t="shared" si="103"/>
        <v>Tier 3</v>
      </c>
      <c r="O906">
        <f t="shared" si="104"/>
        <v>2</v>
      </c>
    </row>
    <row r="907" spans="1:15" x14ac:dyDescent="0.2">
      <c r="A907">
        <v>26</v>
      </c>
      <c r="B907" t="str" cm="1">
        <f t="array" ref="B907">_xlfn.IFS(A907&lt;=25,"18-25", A907&lt;=35,"26-35", A907&lt;=45,"36-45", A907&lt;=55,"46-55", A907&lt;=64,"56-64")</f>
        <v>26-35</v>
      </c>
      <c r="C907" t="s">
        <v>7</v>
      </c>
      <c r="D907">
        <v>29.355</v>
      </c>
      <c r="E907">
        <v>2</v>
      </c>
      <c r="F907" t="s">
        <v>11</v>
      </c>
      <c r="G907" t="s">
        <v>53</v>
      </c>
      <c r="H907" s="2">
        <v>4564.1914500000003</v>
      </c>
      <c r="I907" s="2">
        <f t="shared" si="98"/>
        <v>1521.39715</v>
      </c>
      <c r="J907" t="str">
        <f t="shared" si="99"/>
        <v>Low</v>
      </c>
      <c r="K907" s="1">
        <f t="shared" si="100"/>
        <v>0.24</v>
      </c>
      <c r="L907" t="str">
        <f t="shared" si="101"/>
        <v>Overweight</v>
      </c>
      <c r="M907" t="str">
        <f t="shared" si="102"/>
        <v>Standard</v>
      </c>
      <c r="N907" t="str">
        <f t="shared" si="103"/>
        <v>Tier 2</v>
      </c>
      <c r="O907">
        <f t="shared" si="104"/>
        <v>1</v>
      </c>
    </row>
    <row r="908" spans="1:15" x14ac:dyDescent="0.2">
      <c r="A908">
        <v>27</v>
      </c>
      <c r="B908" t="str" cm="1">
        <f t="array" ref="B908">_xlfn.IFS(A908&lt;=25,"18-25", A908&lt;=35,"26-35", A908&lt;=45,"36-45", A908&lt;=55,"46-55", A908&lt;=64,"56-64")</f>
        <v>26-35</v>
      </c>
      <c r="C908" t="s">
        <v>10</v>
      </c>
      <c r="D908">
        <v>32.585000000000001</v>
      </c>
      <c r="E908">
        <v>3</v>
      </c>
      <c r="F908" t="s">
        <v>11</v>
      </c>
      <c r="G908" t="s">
        <v>53</v>
      </c>
      <c r="H908" s="2">
        <v>4846.9201499999999</v>
      </c>
      <c r="I908" s="2">
        <f t="shared" si="98"/>
        <v>1211.7300375</v>
      </c>
      <c r="J908" t="str">
        <f t="shared" si="99"/>
        <v>Low</v>
      </c>
      <c r="K908" s="1">
        <f t="shared" si="100"/>
        <v>0.25800000000000001</v>
      </c>
      <c r="L908" t="str">
        <f t="shared" si="101"/>
        <v>Obese</v>
      </c>
      <c r="M908" t="str">
        <f t="shared" si="102"/>
        <v>Standard</v>
      </c>
      <c r="N908" t="str">
        <f t="shared" si="103"/>
        <v>Tier 2</v>
      </c>
      <c r="O908">
        <f t="shared" si="104"/>
        <v>2</v>
      </c>
    </row>
    <row r="909" spans="1:15" x14ac:dyDescent="0.2">
      <c r="A909">
        <v>44</v>
      </c>
      <c r="B909" t="str" cm="1">
        <f t="array" ref="B909">_xlfn.IFS(A909&lt;=25,"18-25", A909&lt;=35,"26-35", A909&lt;=45,"36-45", A909&lt;=55,"46-55", A909&lt;=64,"56-64")</f>
        <v>36-45</v>
      </c>
      <c r="C909" t="s">
        <v>7</v>
      </c>
      <c r="D909">
        <v>32.340000000000003</v>
      </c>
      <c r="E909">
        <v>1</v>
      </c>
      <c r="F909" t="s">
        <v>11</v>
      </c>
      <c r="G909" t="s">
        <v>51</v>
      </c>
      <c r="H909" s="2">
        <v>7633.7205999999996</v>
      </c>
      <c r="I909" s="2">
        <f t="shared" si="98"/>
        <v>3816.8602999999998</v>
      </c>
      <c r="J909" t="str">
        <f t="shared" si="99"/>
        <v>Low</v>
      </c>
      <c r="K909" s="1">
        <f t="shared" si="100"/>
        <v>0.41199999999999998</v>
      </c>
      <c r="L909" t="str">
        <f t="shared" si="101"/>
        <v>Obese</v>
      </c>
      <c r="M909" t="str">
        <f t="shared" si="102"/>
        <v>Standard</v>
      </c>
      <c r="N909" t="str">
        <f t="shared" si="103"/>
        <v>Tier 1</v>
      </c>
      <c r="O909">
        <f t="shared" si="104"/>
        <v>3</v>
      </c>
    </row>
    <row r="910" spans="1:15" x14ac:dyDescent="0.2">
      <c r="A910">
        <v>63</v>
      </c>
      <c r="B910" t="str" cm="1">
        <f t="array" ref="B910">_xlfn.IFS(A910&lt;=25,"18-25", A910&lt;=35,"26-35", A910&lt;=45,"36-45", A910&lt;=55,"46-55", A910&lt;=64,"56-64")</f>
        <v>56-64</v>
      </c>
      <c r="C910" t="s">
        <v>10</v>
      </c>
      <c r="D910">
        <v>39.799999999999997</v>
      </c>
      <c r="E910">
        <v>3</v>
      </c>
      <c r="F910" t="s">
        <v>11</v>
      </c>
      <c r="G910" t="s">
        <v>52</v>
      </c>
      <c r="H910" s="2">
        <v>15170.069</v>
      </c>
      <c r="I910" s="2">
        <f t="shared" si="98"/>
        <v>3792.5172499999999</v>
      </c>
      <c r="J910" t="str">
        <f t="shared" si="99"/>
        <v>High</v>
      </c>
      <c r="K910" s="1">
        <f t="shared" si="100"/>
        <v>0.73499999999999999</v>
      </c>
      <c r="L910" t="str">
        <f t="shared" si="101"/>
        <v>Obese</v>
      </c>
      <c r="M910" t="str">
        <f t="shared" si="102"/>
        <v>Standard</v>
      </c>
      <c r="N910" t="str">
        <f t="shared" si="103"/>
        <v>Tier 3</v>
      </c>
      <c r="O910">
        <f t="shared" si="104"/>
        <v>2</v>
      </c>
    </row>
    <row r="911" spans="1:15" x14ac:dyDescent="0.2">
      <c r="A911">
        <v>32</v>
      </c>
      <c r="B911" t="str" cm="1">
        <f t="array" ref="B911">_xlfn.IFS(A911&lt;=25,"18-25", A911&lt;=35,"26-35", A911&lt;=45,"36-45", A911&lt;=55,"46-55", A911&lt;=64,"56-64")</f>
        <v>26-35</v>
      </c>
      <c r="C911" t="s">
        <v>7</v>
      </c>
      <c r="D911">
        <v>24.6</v>
      </c>
      <c r="E911">
        <v>0</v>
      </c>
      <c r="F911" t="s">
        <v>8</v>
      </c>
      <c r="G911" t="s">
        <v>52</v>
      </c>
      <c r="H911" s="2">
        <v>17496.306</v>
      </c>
      <c r="I911" s="2">
        <f t="shared" si="98"/>
        <v>17496.306</v>
      </c>
      <c r="J911" t="str">
        <f t="shared" si="99"/>
        <v>High</v>
      </c>
      <c r="K911" s="1">
        <f t="shared" si="100"/>
        <v>0.75900000000000001</v>
      </c>
      <c r="L911" t="str">
        <f t="shared" si="101"/>
        <v>Normal</v>
      </c>
      <c r="M911" t="str">
        <f t="shared" si="102"/>
        <v>High Risk</v>
      </c>
      <c r="N911" t="str">
        <f t="shared" si="103"/>
        <v>Tier 3</v>
      </c>
      <c r="O911">
        <f t="shared" si="104"/>
        <v>3</v>
      </c>
    </row>
    <row r="912" spans="1:15" x14ac:dyDescent="0.2">
      <c r="A912">
        <v>22</v>
      </c>
      <c r="B912" t="str" cm="1">
        <f t="array" ref="B912">_xlfn.IFS(A912&lt;=25,"18-25", A912&lt;=35,"26-35", A912&lt;=45,"36-45", A912&lt;=55,"46-55", A912&lt;=64,"56-64")</f>
        <v>18-25</v>
      </c>
      <c r="C912" t="s">
        <v>10</v>
      </c>
      <c r="D912">
        <v>28.31</v>
      </c>
      <c r="E912">
        <v>1</v>
      </c>
      <c r="F912" t="s">
        <v>11</v>
      </c>
      <c r="G912" t="s">
        <v>54</v>
      </c>
      <c r="H912" s="2">
        <v>2639.0428999999999</v>
      </c>
      <c r="I912" s="2">
        <f t="shared" si="98"/>
        <v>1319.52145</v>
      </c>
      <c r="J912" t="str">
        <f t="shared" si="99"/>
        <v>Low</v>
      </c>
      <c r="K912" s="1">
        <f t="shared" si="100"/>
        <v>0.11799999999999999</v>
      </c>
      <c r="L912" t="str">
        <f t="shared" si="101"/>
        <v>Overweight</v>
      </c>
      <c r="M912" t="str">
        <f t="shared" si="102"/>
        <v>Standard</v>
      </c>
      <c r="N912" t="str">
        <f t="shared" si="103"/>
        <v>Tier 4</v>
      </c>
      <c r="O912">
        <f t="shared" si="104"/>
        <v>1</v>
      </c>
    </row>
    <row r="913" spans="1:15" x14ac:dyDescent="0.2">
      <c r="A913">
        <v>18</v>
      </c>
      <c r="B913" t="str" cm="1">
        <f t="array" ref="B913">_xlfn.IFS(A913&lt;=25,"18-25", A913&lt;=35,"26-35", A913&lt;=45,"36-45", A913&lt;=55,"46-55", A913&lt;=64,"56-64")</f>
        <v>18-25</v>
      </c>
      <c r="C913" t="s">
        <v>10</v>
      </c>
      <c r="D913">
        <v>31.73</v>
      </c>
      <c r="E913">
        <v>0</v>
      </c>
      <c r="F913" t="s">
        <v>8</v>
      </c>
      <c r="G913" t="s">
        <v>53</v>
      </c>
      <c r="H913" s="2">
        <v>33732.686699999998</v>
      </c>
      <c r="I913" s="2">
        <f t="shared" si="98"/>
        <v>33732.686699999998</v>
      </c>
      <c r="J913" t="str">
        <f t="shared" si="99"/>
        <v>High</v>
      </c>
      <c r="K913" s="1">
        <f t="shared" si="100"/>
        <v>0.89</v>
      </c>
      <c r="L913" t="str">
        <f t="shared" si="101"/>
        <v>Obese</v>
      </c>
      <c r="M913" t="str">
        <f t="shared" si="102"/>
        <v>High Risk</v>
      </c>
      <c r="N913" t="str">
        <f t="shared" si="103"/>
        <v>Tier 2</v>
      </c>
      <c r="O913">
        <f t="shared" si="104"/>
        <v>5</v>
      </c>
    </row>
    <row r="914" spans="1:15" x14ac:dyDescent="0.2">
      <c r="A914">
        <v>59</v>
      </c>
      <c r="B914" t="str" cm="1">
        <f t="array" ref="B914">_xlfn.IFS(A914&lt;=25,"18-25", A914&lt;=35,"26-35", A914&lt;=45,"36-45", A914&lt;=55,"46-55", A914&lt;=64,"56-64")</f>
        <v>56-64</v>
      </c>
      <c r="C914" t="s">
        <v>7</v>
      </c>
      <c r="D914">
        <v>26.695</v>
      </c>
      <c r="E914">
        <v>3</v>
      </c>
      <c r="F914" t="s">
        <v>11</v>
      </c>
      <c r="G914" t="s">
        <v>54</v>
      </c>
      <c r="H914" s="2">
        <v>14382.709049999999</v>
      </c>
      <c r="I914" s="2">
        <f t="shared" si="98"/>
        <v>3595.6772624999999</v>
      </c>
      <c r="J914" t="str">
        <f t="shared" si="99"/>
        <v>High</v>
      </c>
      <c r="K914" s="1">
        <f t="shared" si="100"/>
        <v>0.72</v>
      </c>
      <c r="L914" t="str">
        <f t="shared" si="101"/>
        <v>Overweight</v>
      </c>
      <c r="M914" t="str">
        <f t="shared" si="102"/>
        <v>Standard</v>
      </c>
      <c r="N914" t="str">
        <f t="shared" si="103"/>
        <v>Tier 4</v>
      </c>
      <c r="O914">
        <f t="shared" si="104"/>
        <v>1</v>
      </c>
    </row>
    <row r="915" spans="1:15" x14ac:dyDescent="0.2">
      <c r="A915">
        <v>44</v>
      </c>
      <c r="B915" t="str" cm="1">
        <f t="array" ref="B915">_xlfn.IFS(A915&lt;=25,"18-25", A915&lt;=35,"26-35", A915&lt;=45,"36-45", A915&lt;=55,"46-55", A915&lt;=64,"56-64")</f>
        <v>36-45</v>
      </c>
      <c r="C915" t="s">
        <v>7</v>
      </c>
      <c r="D915">
        <v>27.5</v>
      </c>
      <c r="E915">
        <v>1</v>
      </c>
      <c r="F915" t="s">
        <v>11</v>
      </c>
      <c r="G915" t="s">
        <v>52</v>
      </c>
      <c r="H915" s="2">
        <v>7626.9930000000004</v>
      </c>
      <c r="I915" s="2">
        <f t="shared" si="98"/>
        <v>3813.4965000000002</v>
      </c>
      <c r="J915" t="str">
        <f t="shared" si="99"/>
        <v>Low</v>
      </c>
      <c r="K915" s="1">
        <f t="shared" si="100"/>
        <v>0.41099999999999998</v>
      </c>
      <c r="L915" t="str">
        <f t="shared" si="101"/>
        <v>Overweight</v>
      </c>
      <c r="M915" t="str">
        <f t="shared" si="102"/>
        <v>Standard</v>
      </c>
      <c r="N915" t="str">
        <f t="shared" si="103"/>
        <v>Tier 3</v>
      </c>
      <c r="O915">
        <f t="shared" si="104"/>
        <v>1</v>
      </c>
    </row>
    <row r="916" spans="1:15" x14ac:dyDescent="0.2">
      <c r="A916">
        <v>33</v>
      </c>
      <c r="B916" t="str" cm="1">
        <f t="array" ref="B916">_xlfn.IFS(A916&lt;=25,"18-25", A916&lt;=35,"26-35", A916&lt;=45,"36-45", A916&lt;=55,"46-55", A916&lt;=64,"56-64")</f>
        <v>26-35</v>
      </c>
      <c r="C916" t="s">
        <v>10</v>
      </c>
      <c r="D916">
        <v>24.605</v>
      </c>
      <c r="E916">
        <v>2</v>
      </c>
      <c r="F916" t="s">
        <v>11</v>
      </c>
      <c r="G916" t="s">
        <v>54</v>
      </c>
      <c r="H916" s="2">
        <v>5257.5079500000002</v>
      </c>
      <c r="I916" s="2">
        <f t="shared" si="98"/>
        <v>1752.5026500000001</v>
      </c>
      <c r="J916" t="str">
        <f t="shared" si="99"/>
        <v>Low</v>
      </c>
      <c r="K916" s="1">
        <f t="shared" si="100"/>
        <v>0.28100000000000003</v>
      </c>
      <c r="L916" t="str">
        <f t="shared" si="101"/>
        <v>Normal</v>
      </c>
      <c r="M916" t="str">
        <f t="shared" si="102"/>
        <v>Standard</v>
      </c>
      <c r="N916" t="str">
        <f t="shared" si="103"/>
        <v>Tier 4</v>
      </c>
      <c r="O916">
        <f t="shared" si="104"/>
        <v>0</v>
      </c>
    </row>
    <row r="917" spans="1:15" x14ac:dyDescent="0.2">
      <c r="A917">
        <v>24</v>
      </c>
      <c r="B917" t="str" cm="1">
        <f t="array" ref="B917">_xlfn.IFS(A917&lt;=25,"18-25", A917&lt;=35,"26-35", A917&lt;=45,"36-45", A917&lt;=55,"46-55", A917&lt;=64,"56-64")</f>
        <v>18-25</v>
      </c>
      <c r="C917" t="s">
        <v>7</v>
      </c>
      <c r="D917">
        <v>33.99</v>
      </c>
      <c r="E917">
        <v>0</v>
      </c>
      <c r="F917" t="s">
        <v>11</v>
      </c>
      <c r="G917" t="s">
        <v>51</v>
      </c>
      <c r="H917" s="2">
        <v>2473.3341</v>
      </c>
      <c r="I917" s="2">
        <f t="shared" si="98"/>
        <v>2473.3341</v>
      </c>
      <c r="J917" t="str">
        <f t="shared" si="99"/>
        <v>Low</v>
      </c>
      <c r="K917" s="1">
        <f t="shared" si="100"/>
        <v>0.108</v>
      </c>
      <c r="L917" t="str">
        <f t="shared" si="101"/>
        <v>Obese</v>
      </c>
      <c r="M917" t="str">
        <f t="shared" si="102"/>
        <v>Standard</v>
      </c>
      <c r="N917" t="str">
        <f t="shared" si="103"/>
        <v>Tier 1</v>
      </c>
      <c r="O917">
        <f t="shared" si="104"/>
        <v>3</v>
      </c>
    </row>
    <row r="918" spans="1:15" x14ac:dyDescent="0.2">
      <c r="A918">
        <v>43</v>
      </c>
      <c r="B918" t="str" cm="1">
        <f t="array" ref="B918">_xlfn.IFS(A918&lt;=25,"18-25", A918&lt;=35,"26-35", A918&lt;=45,"36-45", A918&lt;=55,"46-55", A918&lt;=64,"56-64")</f>
        <v>36-45</v>
      </c>
      <c r="C918" t="s">
        <v>7</v>
      </c>
      <c r="D918">
        <v>26.885000000000002</v>
      </c>
      <c r="E918">
        <v>0</v>
      </c>
      <c r="F918" t="s">
        <v>8</v>
      </c>
      <c r="G918" t="s">
        <v>54</v>
      </c>
      <c r="H918" s="2">
        <v>21774.32215</v>
      </c>
      <c r="I918" s="2">
        <f t="shared" si="98"/>
        <v>21774.32215</v>
      </c>
      <c r="J918" t="str">
        <f t="shared" si="99"/>
        <v>High</v>
      </c>
      <c r="K918" s="1">
        <f t="shared" si="100"/>
        <v>0.81799999999999995</v>
      </c>
      <c r="L918" t="str">
        <f t="shared" si="101"/>
        <v>Overweight</v>
      </c>
      <c r="M918" t="str">
        <f t="shared" si="102"/>
        <v>High Risk</v>
      </c>
      <c r="N918" t="str">
        <f t="shared" si="103"/>
        <v>Tier 4</v>
      </c>
      <c r="O918">
        <f t="shared" si="104"/>
        <v>4</v>
      </c>
    </row>
    <row r="919" spans="1:15" x14ac:dyDescent="0.2">
      <c r="A919">
        <v>45</v>
      </c>
      <c r="B919" t="str" cm="1">
        <f t="array" ref="B919">_xlfn.IFS(A919&lt;=25,"18-25", A919&lt;=35,"26-35", A919&lt;=45,"36-45", A919&lt;=55,"46-55", A919&lt;=64,"56-64")</f>
        <v>36-45</v>
      </c>
      <c r="C919" t="s">
        <v>10</v>
      </c>
      <c r="D919">
        <v>22.895</v>
      </c>
      <c r="E919">
        <v>0</v>
      </c>
      <c r="F919" t="s">
        <v>8</v>
      </c>
      <c r="G919" t="s">
        <v>53</v>
      </c>
      <c r="H919" s="2">
        <v>35069.374519999998</v>
      </c>
      <c r="I919" s="2">
        <f t="shared" si="98"/>
        <v>35069.374519999998</v>
      </c>
      <c r="J919" t="str">
        <f t="shared" si="99"/>
        <v>High</v>
      </c>
      <c r="K919" s="1">
        <f t="shared" si="100"/>
        <v>0.90100000000000002</v>
      </c>
      <c r="L919" t="str">
        <f t="shared" si="101"/>
        <v>Normal</v>
      </c>
      <c r="M919" t="str">
        <f t="shared" si="102"/>
        <v>High Risk</v>
      </c>
      <c r="N919" t="str">
        <f t="shared" si="103"/>
        <v>Tier 2</v>
      </c>
      <c r="O919">
        <f t="shared" si="104"/>
        <v>3</v>
      </c>
    </row>
    <row r="920" spans="1:15" x14ac:dyDescent="0.2">
      <c r="A920">
        <v>61</v>
      </c>
      <c r="B920" t="str" cm="1">
        <f t="array" ref="B920">_xlfn.IFS(A920&lt;=25,"18-25", A920&lt;=35,"26-35", A920&lt;=45,"36-45", A920&lt;=55,"46-55", A920&lt;=64,"56-64")</f>
        <v>56-64</v>
      </c>
      <c r="C920" t="s">
        <v>7</v>
      </c>
      <c r="D920">
        <v>28.2</v>
      </c>
      <c r="E920">
        <v>0</v>
      </c>
      <c r="F920" t="s">
        <v>11</v>
      </c>
      <c r="G920" t="s">
        <v>52</v>
      </c>
      <c r="H920" s="2">
        <v>13041.921</v>
      </c>
      <c r="I920" s="2">
        <f t="shared" si="98"/>
        <v>13041.921</v>
      </c>
      <c r="J920" t="str">
        <f t="shared" si="99"/>
        <v>Low</v>
      </c>
      <c r="K920" s="1">
        <f t="shared" si="100"/>
        <v>0.67600000000000005</v>
      </c>
      <c r="L920" t="str">
        <f t="shared" si="101"/>
        <v>Overweight</v>
      </c>
      <c r="M920" t="str">
        <f t="shared" si="102"/>
        <v>Standard</v>
      </c>
      <c r="N920" t="str">
        <f t="shared" si="103"/>
        <v>Tier 3</v>
      </c>
      <c r="O920">
        <f t="shared" si="104"/>
        <v>1</v>
      </c>
    </row>
    <row r="921" spans="1:15" x14ac:dyDescent="0.2">
      <c r="A921">
        <v>35</v>
      </c>
      <c r="B921" t="str" cm="1">
        <f t="array" ref="B921">_xlfn.IFS(A921&lt;=25,"18-25", A921&lt;=35,"26-35", A921&lt;=45,"36-45", A921&lt;=55,"46-55", A921&lt;=64,"56-64")</f>
        <v>26-35</v>
      </c>
      <c r="C921" t="s">
        <v>7</v>
      </c>
      <c r="D921">
        <v>34.21</v>
      </c>
      <c r="E921">
        <v>1</v>
      </c>
      <c r="F921" t="s">
        <v>11</v>
      </c>
      <c r="G921" t="s">
        <v>51</v>
      </c>
      <c r="H921" s="2">
        <v>5245.2268999999997</v>
      </c>
      <c r="I921" s="2">
        <f t="shared" si="98"/>
        <v>2622.6134499999998</v>
      </c>
      <c r="J921" t="str">
        <f t="shared" si="99"/>
        <v>Low</v>
      </c>
      <c r="K921" s="1">
        <f t="shared" si="100"/>
        <v>0.27900000000000003</v>
      </c>
      <c r="L921" t="str">
        <f t="shared" si="101"/>
        <v>Obese</v>
      </c>
      <c r="M921" t="str">
        <f t="shared" si="102"/>
        <v>Standard</v>
      </c>
      <c r="N921" t="str">
        <f t="shared" si="103"/>
        <v>Tier 1</v>
      </c>
      <c r="O921">
        <f t="shared" si="104"/>
        <v>3</v>
      </c>
    </row>
    <row r="922" spans="1:15" x14ac:dyDescent="0.2">
      <c r="A922">
        <v>62</v>
      </c>
      <c r="B922" t="str" cm="1">
        <f t="array" ref="B922">_xlfn.IFS(A922&lt;=25,"18-25", A922&lt;=35,"26-35", A922&lt;=45,"36-45", A922&lt;=55,"46-55", A922&lt;=64,"56-64")</f>
        <v>56-64</v>
      </c>
      <c r="C922" t="s">
        <v>7</v>
      </c>
      <c r="D922">
        <v>25</v>
      </c>
      <c r="E922">
        <v>0</v>
      </c>
      <c r="F922" t="s">
        <v>11</v>
      </c>
      <c r="G922" t="s">
        <v>52</v>
      </c>
      <c r="H922" s="2">
        <v>13451.121999999999</v>
      </c>
      <c r="I922" s="2">
        <f t="shared" si="98"/>
        <v>13451.121999999999</v>
      </c>
      <c r="J922" t="str">
        <f t="shared" si="99"/>
        <v>High</v>
      </c>
      <c r="K922" s="1">
        <f t="shared" si="100"/>
        <v>0.69099999999999995</v>
      </c>
      <c r="L922" t="str">
        <f t="shared" si="101"/>
        <v>Overweight</v>
      </c>
      <c r="M922" t="str">
        <f t="shared" si="102"/>
        <v>Standard</v>
      </c>
      <c r="N922" t="str">
        <f t="shared" si="103"/>
        <v>Tier 3</v>
      </c>
      <c r="O922">
        <f t="shared" si="104"/>
        <v>1</v>
      </c>
    </row>
    <row r="923" spans="1:15" x14ac:dyDescent="0.2">
      <c r="A923">
        <v>62</v>
      </c>
      <c r="B923" t="str" cm="1">
        <f t="array" ref="B923">_xlfn.IFS(A923&lt;=25,"18-25", A923&lt;=35,"26-35", A923&lt;=45,"36-45", A923&lt;=55,"46-55", A923&lt;=64,"56-64")</f>
        <v>56-64</v>
      </c>
      <c r="C923" t="s">
        <v>7</v>
      </c>
      <c r="D923">
        <v>33.200000000000003</v>
      </c>
      <c r="E923">
        <v>0</v>
      </c>
      <c r="F923" t="s">
        <v>11</v>
      </c>
      <c r="G923" t="s">
        <v>52</v>
      </c>
      <c r="H923" s="2">
        <v>13462.52</v>
      </c>
      <c r="I923" s="2">
        <f t="shared" si="98"/>
        <v>13462.52</v>
      </c>
      <c r="J923" t="str">
        <f t="shared" si="99"/>
        <v>High</v>
      </c>
      <c r="K923" s="1">
        <f t="shared" si="100"/>
        <v>0.69299999999999995</v>
      </c>
      <c r="L923" t="str">
        <f t="shared" si="101"/>
        <v>Obese</v>
      </c>
      <c r="M923" t="str">
        <f t="shared" si="102"/>
        <v>Standard</v>
      </c>
      <c r="N923" t="str">
        <f t="shared" si="103"/>
        <v>Tier 3</v>
      </c>
      <c r="O923">
        <f t="shared" si="104"/>
        <v>2</v>
      </c>
    </row>
    <row r="924" spans="1:15" x14ac:dyDescent="0.2">
      <c r="A924">
        <v>38</v>
      </c>
      <c r="B924" t="str" cm="1">
        <f t="array" ref="B924">_xlfn.IFS(A924&lt;=25,"18-25", A924&lt;=35,"26-35", A924&lt;=45,"36-45", A924&lt;=55,"46-55", A924&lt;=64,"56-64")</f>
        <v>36-45</v>
      </c>
      <c r="C924" t="s">
        <v>10</v>
      </c>
      <c r="D924">
        <v>31</v>
      </c>
      <c r="E924">
        <v>1</v>
      </c>
      <c r="F924" t="s">
        <v>11</v>
      </c>
      <c r="G924" t="s">
        <v>52</v>
      </c>
      <c r="H924" s="2">
        <v>5488.2619999999997</v>
      </c>
      <c r="I924" s="2">
        <f t="shared" si="98"/>
        <v>2744.1309999999999</v>
      </c>
      <c r="J924" t="str">
        <f t="shared" si="99"/>
        <v>Low</v>
      </c>
      <c r="K924" s="1">
        <f t="shared" si="100"/>
        <v>0.3</v>
      </c>
      <c r="L924" t="str">
        <f t="shared" si="101"/>
        <v>Obese</v>
      </c>
      <c r="M924" t="str">
        <f t="shared" si="102"/>
        <v>Standard</v>
      </c>
      <c r="N924" t="str">
        <f t="shared" si="103"/>
        <v>Tier 3</v>
      </c>
      <c r="O924">
        <f t="shared" si="104"/>
        <v>2</v>
      </c>
    </row>
    <row r="925" spans="1:15" x14ac:dyDescent="0.2">
      <c r="A925">
        <v>34</v>
      </c>
      <c r="B925" t="str" cm="1">
        <f t="array" ref="B925">_xlfn.IFS(A925&lt;=25,"18-25", A925&lt;=35,"26-35", A925&lt;=45,"36-45", A925&lt;=55,"46-55", A925&lt;=64,"56-64")</f>
        <v>26-35</v>
      </c>
      <c r="C925" t="s">
        <v>10</v>
      </c>
      <c r="D925">
        <v>35.814999999999998</v>
      </c>
      <c r="E925">
        <v>0</v>
      </c>
      <c r="F925" t="s">
        <v>11</v>
      </c>
      <c r="G925" t="s">
        <v>54</v>
      </c>
      <c r="H925" s="2">
        <v>4320.4108500000002</v>
      </c>
      <c r="I925" s="2">
        <f t="shared" si="98"/>
        <v>4320.4108500000002</v>
      </c>
      <c r="J925" t="str">
        <f t="shared" si="99"/>
        <v>Low</v>
      </c>
      <c r="K925" s="1">
        <f t="shared" si="100"/>
        <v>0.216</v>
      </c>
      <c r="L925" t="str">
        <f t="shared" si="101"/>
        <v>Obese</v>
      </c>
      <c r="M925" t="str">
        <f t="shared" si="102"/>
        <v>Standard</v>
      </c>
      <c r="N925" t="str">
        <f t="shared" si="103"/>
        <v>Tier 4</v>
      </c>
      <c r="O925">
        <f t="shared" si="104"/>
        <v>2</v>
      </c>
    </row>
    <row r="926" spans="1:15" x14ac:dyDescent="0.2">
      <c r="A926">
        <v>43</v>
      </c>
      <c r="B926" t="str" cm="1">
        <f t="array" ref="B926">_xlfn.IFS(A926&lt;=25,"18-25", A926&lt;=35,"26-35", A926&lt;=45,"36-45", A926&lt;=55,"46-55", A926&lt;=64,"56-64")</f>
        <v>36-45</v>
      </c>
      <c r="C926" t="s">
        <v>10</v>
      </c>
      <c r="D926">
        <v>23.2</v>
      </c>
      <c r="E926">
        <v>0</v>
      </c>
      <c r="F926" t="s">
        <v>11</v>
      </c>
      <c r="G926" t="s">
        <v>52</v>
      </c>
      <c r="H926" s="2">
        <v>6250.4350000000004</v>
      </c>
      <c r="I926" s="2">
        <f t="shared" si="98"/>
        <v>6250.4350000000004</v>
      </c>
      <c r="J926" t="str">
        <f t="shared" si="99"/>
        <v>Low</v>
      </c>
      <c r="K926" s="1">
        <f t="shared" si="100"/>
        <v>0.33200000000000002</v>
      </c>
      <c r="L926" t="str">
        <f t="shared" si="101"/>
        <v>Normal</v>
      </c>
      <c r="M926" t="str">
        <f t="shared" si="102"/>
        <v>Standard</v>
      </c>
      <c r="N926" t="str">
        <f t="shared" si="103"/>
        <v>Tier 3</v>
      </c>
      <c r="O926">
        <f t="shared" si="104"/>
        <v>0</v>
      </c>
    </row>
    <row r="927" spans="1:15" x14ac:dyDescent="0.2">
      <c r="A927">
        <v>50</v>
      </c>
      <c r="B927" t="str" cm="1">
        <f t="array" ref="B927">_xlfn.IFS(A927&lt;=25,"18-25", A927&lt;=35,"26-35", A927&lt;=45,"36-45", A927&lt;=55,"46-55", A927&lt;=64,"56-64")</f>
        <v>46-55</v>
      </c>
      <c r="C927" t="s">
        <v>10</v>
      </c>
      <c r="D927">
        <v>32.11</v>
      </c>
      <c r="E927">
        <v>2</v>
      </c>
      <c r="F927" t="s">
        <v>11</v>
      </c>
      <c r="G927" t="s">
        <v>53</v>
      </c>
      <c r="H927" s="2">
        <v>25333.332839999999</v>
      </c>
      <c r="I927" s="2">
        <f t="shared" si="98"/>
        <v>8444.4442799999997</v>
      </c>
      <c r="J927" t="str">
        <f t="shared" si="99"/>
        <v>High</v>
      </c>
      <c r="K927" s="1">
        <f t="shared" si="100"/>
        <v>0.85099999999999998</v>
      </c>
      <c r="L927" t="str">
        <f t="shared" si="101"/>
        <v>Obese</v>
      </c>
      <c r="M927" t="str">
        <f t="shared" si="102"/>
        <v>Standard</v>
      </c>
      <c r="N927" t="str">
        <f t="shared" si="103"/>
        <v>Tier 2</v>
      </c>
      <c r="O927">
        <f t="shared" si="104"/>
        <v>2</v>
      </c>
    </row>
    <row r="928" spans="1:15" x14ac:dyDescent="0.2">
      <c r="A928">
        <v>19</v>
      </c>
      <c r="B928" t="str" cm="1">
        <f t="array" ref="B928">_xlfn.IFS(A928&lt;=25,"18-25", A928&lt;=35,"26-35", A928&lt;=45,"36-45", A928&lt;=55,"46-55", A928&lt;=64,"56-64")</f>
        <v>18-25</v>
      </c>
      <c r="C928" t="s">
        <v>7</v>
      </c>
      <c r="D928">
        <v>23.4</v>
      </c>
      <c r="E928">
        <v>2</v>
      </c>
      <c r="F928" t="s">
        <v>11</v>
      </c>
      <c r="G928" t="s">
        <v>52</v>
      </c>
      <c r="H928" s="2">
        <v>2913.569</v>
      </c>
      <c r="I928" s="2">
        <f t="shared" si="98"/>
        <v>971.18966666666665</v>
      </c>
      <c r="J928" t="str">
        <f t="shared" si="99"/>
        <v>Low</v>
      </c>
      <c r="K928" s="1">
        <f t="shared" si="100"/>
        <v>0.14000000000000001</v>
      </c>
      <c r="L928" t="str">
        <f t="shared" si="101"/>
        <v>Normal</v>
      </c>
      <c r="M928" t="str">
        <f t="shared" si="102"/>
        <v>Standard</v>
      </c>
      <c r="N928" t="str">
        <f t="shared" si="103"/>
        <v>Tier 3</v>
      </c>
      <c r="O928">
        <f t="shared" si="104"/>
        <v>0</v>
      </c>
    </row>
    <row r="929" spans="1:15" x14ac:dyDescent="0.2">
      <c r="A929">
        <v>57</v>
      </c>
      <c r="B929" t="str" cm="1">
        <f t="array" ref="B929">_xlfn.IFS(A929&lt;=25,"18-25", A929&lt;=35,"26-35", A929&lt;=45,"36-45", A929&lt;=55,"46-55", A929&lt;=64,"56-64")</f>
        <v>56-64</v>
      </c>
      <c r="C929" t="s">
        <v>7</v>
      </c>
      <c r="D929">
        <v>20.100000000000001</v>
      </c>
      <c r="E929">
        <v>1</v>
      </c>
      <c r="F929" t="s">
        <v>11</v>
      </c>
      <c r="G929" t="s">
        <v>52</v>
      </c>
      <c r="H929" s="2">
        <v>12032.325999999999</v>
      </c>
      <c r="I929" s="2">
        <f t="shared" si="98"/>
        <v>6016.1629999999996</v>
      </c>
      <c r="J929" t="str">
        <f t="shared" si="99"/>
        <v>Low</v>
      </c>
      <c r="K929" s="1">
        <f t="shared" si="100"/>
        <v>0.63300000000000001</v>
      </c>
      <c r="L929" t="str">
        <f t="shared" si="101"/>
        <v>Normal</v>
      </c>
      <c r="M929" t="str">
        <f t="shared" si="102"/>
        <v>Standard</v>
      </c>
      <c r="N929" t="str">
        <f t="shared" si="103"/>
        <v>Tier 3</v>
      </c>
      <c r="O929">
        <f t="shared" si="104"/>
        <v>0</v>
      </c>
    </row>
    <row r="930" spans="1:15" x14ac:dyDescent="0.2">
      <c r="A930">
        <v>62</v>
      </c>
      <c r="B930" t="str" cm="1">
        <f t="array" ref="B930">_xlfn.IFS(A930&lt;=25,"18-25", A930&lt;=35,"26-35", A930&lt;=45,"36-45", A930&lt;=55,"46-55", A930&lt;=64,"56-64")</f>
        <v>56-64</v>
      </c>
      <c r="C930" t="s">
        <v>7</v>
      </c>
      <c r="D930">
        <v>39.159999999999997</v>
      </c>
      <c r="E930">
        <v>0</v>
      </c>
      <c r="F930" t="s">
        <v>11</v>
      </c>
      <c r="G930" t="s">
        <v>51</v>
      </c>
      <c r="H930" s="2">
        <v>13470.804400000001</v>
      </c>
      <c r="I930" s="2">
        <f t="shared" si="98"/>
        <v>13470.804400000001</v>
      </c>
      <c r="J930" t="str">
        <f t="shared" si="99"/>
        <v>High</v>
      </c>
      <c r="K930" s="1">
        <f t="shared" si="100"/>
        <v>0.69399999999999995</v>
      </c>
      <c r="L930" t="str">
        <f t="shared" si="101"/>
        <v>Obese</v>
      </c>
      <c r="M930" t="str">
        <f t="shared" si="102"/>
        <v>Standard</v>
      </c>
      <c r="N930" t="str">
        <f t="shared" si="103"/>
        <v>Tier 1</v>
      </c>
      <c r="O930">
        <f t="shared" si="104"/>
        <v>3</v>
      </c>
    </row>
    <row r="931" spans="1:15" x14ac:dyDescent="0.2">
      <c r="A931">
        <v>41</v>
      </c>
      <c r="B931" t="str" cm="1">
        <f t="array" ref="B931">_xlfn.IFS(A931&lt;=25,"18-25", A931&lt;=35,"26-35", A931&lt;=45,"36-45", A931&lt;=55,"46-55", A931&lt;=64,"56-64")</f>
        <v>36-45</v>
      </c>
      <c r="C931" t="s">
        <v>10</v>
      </c>
      <c r="D931">
        <v>34.21</v>
      </c>
      <c r="E931">
        <v>1</v>
      </c>
      <c r="F931" t="s">
        <v>11</v>
      </c>
      <c r="G931" t="s">
        <v>51</v>
      </c>
      <c r="H931" s="2">
        <v>6289.7548999999999</v>
      </c>
      <c r="I931" s="2">
        <f t="shared" si="98"/>
        <v>3144.87745</v>
      </c>
      <c r="J931" t="str">
        <f t="shared" si="99"/>
        <v>Low</v>
      </c>
      <c r="K931" s="1">
        <f t="shared" si="100"/>
        <v>0.33500000000000002</v>
      </c>
      <c r="L931" t="str">
        <f t="shared" si="101"/>
        <v>Obese</v>
      </c>
      <c r="M931" t="str">
        <f t="shared" si="102"/>
        <v>Standard</v>
      </c>
      <c r="N931" t="str">
        <f t="shared" si="103"/>
        <v>Tier 1</v>
      </c>
      <c r="O931">
        <f t="shared" si="104"/>
        <v>3</v>
      </c>
    </row>
    <row r="932" spans="1:15" x14ac:dyDescent="0.2">
      <c r="A932">
        <v>26</v>
      </c>
      <c r="B932" t="str" cm="1">
        <f t="array" ref="B932">_xlfn.IFS(A932&lt;=25,"18-25", A932&lt;=35,"26-35", A932&lt;=45,"36-45", A932&lt;=55,"46-55", A932&lt;=64,"56-64")</f>
        <v>26-35</v>
      </c>
      <c r="C932" t="s">
        <v>10</v>
      </c>
      <c r="D932">
        <v>46.53</v>
      </c>
      <c r="E932">
        <v>1</v>
      </c>
      <c r="F932" t="s">
        <v>11</v>
      </c>
      <c r="G932" t="s">
        <v>51</v>
      </c>
      <c r="H932" s="2">
        <v>2927.0646999999999</v>
      </c>
      <c r="I932" s="2">
        <f t="shared" si="98"/>
        <v>1463.53235</v>
      </c>
      <c r="J932" t="str">
        <f t="shared" si="99"/>
        <v>Low</v>
      </c>
      <c r="K932" s="1">
        <f t="shared" si="100"/>
        <v>0.14099999999999999</v>
      </c>
      <c r="L932" t="str">
        <f t="shared" si="101"/>
        <v>Obese</v>
      </c>
      <c r="M932" t="str">
        <f t="shared" si="102"/>
        <v>Standard</v>
      </c>
      <c r="N932" t="str">
        <f t="shared" si="103"/>
        <v>Tier 1</v>
      </c>
      <c r="O932">
        <f t="shared" si="104"/>
        <v>3</v>
      </c>
    </row>
    <row r="933" spans="1:15" x14ac:dyDescent="0.2">
      <c r="A933">
        <v>39</v>
      </c>
      <c r="B933" t="str" cm="1">
        <f t="array" ref="B933">_xlfn.IFS(A933&lt;=25,"18-25", A933&lt;=35,"26-35", A933&lt;=45,"36-45", A933&lt;=55,"46-55", A933&lt;=64,"56-64")</f>
        <v>36-45</v>
      </c>
      <c r="C933" t="s">
        <v>7</v>
      </c>
      <c r="D933">
        <v>32.5</v>
      </c>
      <c r="E933">
        <v>1</v>
      </c>
      <c r="F933" t="s">
        <v>11</v>
      </c>
      <c r="G933" t="s">
        <v>52</v>
      </c>
      <c r="H933" s="2">
        <v>6238.2979999999998</v>
      </c>
      <c r="I933" s="2">
        <f t="shared" si="98"/>
        <v>3119.1489999999999</v>
      </c>
      <c r="J933" t="str">
        <f t="shared" si="99"/>
        <v>Low</v>
      </c>
      <c r="K933" s="1">
        <f t="shared" si="100"/>
        <v>0.33200000000000002</v>
      </c>
      <c r="L933" t="str">
        <f t="shared" si="101"/>
        <v>Obese</v>
      </c>
      <c r="M933" t="str">
        <f t="shared" si="102"/>
        <v>Standard</v>
      </c>
      <c r="N933" t="str">
        <f t="shared" si="103"/>
        <v>Tier 3</v>
      </c>
      <c r="O933">
        <f t="shared" si="104"/>
        <v>2</v>
      </c>
    </row>
    <row r="934" spans="1:15" x14ac:dyDescent="0.2">
      <c r="A934">
        <v>46</v>
      </c>
      <c r="B934" t="str" cm="1">
        <f t="array" ref="B934">_xlfn.IFS(A934&lt;=25,"18-25", A934&lt;=35,"26-35", A934&lt;=45,"36-45", A934&lt;=55,"46-55", A934&lt;=64,"56-64")</f>
        <v>46-55</v>
      </c>
      <c r="C934" t="s">
        <v>10</v>
      </c>
      <c r="D934">
        <v>25.8</v>
      </c>
      <c r="E934">
        <v>5</v>
      </c>
      <c r="F934" t="s">
        <v>11</v>
      </c>
      <c r="G934" t="s">
        <v>52</v>
      </c>
      <c r="H934" s="2">
        <v>10096.969999999999</v>
      </c>
      <c r="I934" s="2">
        <f t="shared" si="98"/>
        <v>1682.8283333333331</v>
      </c>
      <c r="J934" t="str">
        <f t="shared" si="99"/>
        <v>Low</v>
      </c>
      <c r="K934" s="1">
        <f t="shared" si="100"/>
        <v>0.53500000000000003</v>
      </c>
      <c r="L934" t="str">
        <f t="shared" si="101"/>
        <v>Overweight</v>
      </c>
      <c r="M934" t="str">
        <f t="shared" si="102"/>
        <v>Standard</v>
      </c>
      <c r="N934" t="str">
        <f t="shared" si="103"/>
        <v>Tier 3</v>
      </c>
      <c r="O934">
        <f t="shared" si="104"/>
        <v>1</v>
      </c>
    </row>
    <row r="935" spans="1:15" x14ac:dyDescent="0.2">
      <c r="A935">
        <v>45</v>
      </c>
      <c r="B935" t="str" cm="1">
        <f t="array" ref="B935">_xlfn.IFS(A935&lt;=25,"18-25", A935&lt;=35,"26-35", A935&lt;=45,"36-45", A935&lt;=55,"46-55", A935&lt;=64,"56-64")</f>
        <v>36-45</v>
      </c>
      <c r="C935" t="s">
        <v>7</v>
      </c>
      <c r="D935">
        <v>35.299999999999997</v>
      </c>
      <c r="E935">
        <v>0</v>
      </c>
      <c r="F935" t="s">
        <v>11</v>
      </c>
      <c r="G935" t="s">
        <v>52</v>
      </c>
      <c r="H935" s="2">
        <v>7348.1419999999998</v>
      </c>
      <c r="I935" s="2">
        <f t="shared" si="98"/>
        <v>7348.1419999999998</v>
      </c>
      <c r="J935" t="str">
        <f t="shared" si="99"/>
        <v>Low</v>
      </c>
      <c r="K935" s="1">
        <f t="shared" si="100"/>
        <v>0.39800000000000002</v>
      </c>
      <c r="L935" t="str">
        <f t="shared" si="101"/>
        <v>Obese</v>
      </c>
      <c r="M935" t="str">
        <f t="shared" si="102"/>
        <v>Standard</v>
      </c>
      <c r="N935" t="str">
        <f t="shared" si="103"/>
        <v>Tier 3</v>
      </c>
      <c r="O935">
        <f t="shared" si="104"/>
        <v>2</v>
      </c>
    </row>
    <row r="936" spans="1:15" x14ac:dyDescent="0.2">
      <c r="A936">
        <v>32</v>
      </c>
      <c r="B936" t="str" cm="1">
        <f t="array" ref="B936">_xlfn.IFS(A936&lt;=25,"18-25", A936&lt;=35,"26-35", A936&lt;=45,"36-45", A936&lt;=55,"46-55", A936&lt;=64,"56-64")</f>
        <v>26-35</v>
      </c>
      <c r="C936" t="s">
        <v>10</v>
      </c>
      <c r="D936">
        <v>37.18</v>
      </c>
      <c r="E936">
        <v>2</v>
      </c>
      <c r="F936" t="s">
        <v>11</v>
      </c>
      <c r="G936" t="s">
        <v>51</v>
      </c>
      <c r="H936" s="2">
        <v>4673.3922000000002</v>
      </c>
      <c r="I936" s="2">
        <f t="shared" si="98"/>
        <v>1557.7974000000002</v>
      </c>
      <c r="J936" t="str">
        <f t="shared" si="99"/>
        <v>Low</v>
      </c>
      <c r="K936" s="1">
        <f t="shared" si="100"/>
        <v>0.245</v>
      </c>
      <c r="L936" t="str">
        <f t="shared" si="101"/>
        <v>Obese</v>
      </c>
      <c r="M936" t="str">
        <f t="shared" si="102"/>
        <v>Standard</v>
      </c>
      <c r="N936" t="str">
        <f t="shared" si="103"/>
        <v>Tier 1</v>
      </c>
      <c r="O936">
        <f t="shared" si="104"/>
        <v>3</v>
      </c>
    </row>
    <row r="937" spans="1:15" x14ac:dyDescent="0.2">
      <c r="A937">
        <v>59</v>
      </c>
      <c r="B937" t="str" cm="1">
        <f t="array" ref="B937">_xlfn.IFS(A937&lt;=25,"18-25", A937&lt;=35,"26-35", A937&lt;=45,"36-45", A937&lt;=55,"46-55", A937&lt;=64,"56-64")</f>
        <v>56-64</v>
      </c>
      <c r="C937" t="s">
        <v>7</v>
      </c>
      <c r="D937">
        <v>27.5</v>
      </c>
      <c r="E937">
        <v>0</v>
      </c>
      <c r="F937" t="s">
        <v>11</v>
      </c>
      <c r="G937" t="s">
        <v>52</v>
      </c>
      <c r="H937" s="2">
        <v>12233.828</v>
      </c>
      <c r="I937" s="2">
        <f t="shared" si="98"/>
        <v>12233.828</v>
      </c>
      <c r="J937" t="str">
        <f t="shared" si="99"/>
        <v>Low</v>
      </c>
      <c r="K937" s="1">
        <f t="shared" si="100"/>
        <v>0.64200000000000002</v>
      </c>
      <c r="L937" t="str">
        <f t="shared" si="101"/>
        <v>Overweight</v>
      </c>
      <c r="M937" t="str">
        <f t="shared" si="102"/>
        <v>Standard</v>
      </c>
      <c r="N937" t="str">
        <f t="shared" si="103"/>
        <v>Tier 3</v>
      </c>
      <c r="O937">
        <f t="shared" si="104"/>
        <v>1</v>
      </c>
    </row>
    <row r="938" spans="1:15" x14ac:dyDescent="0.2">
      <c r="A938">
        <v>44</v>
      </c>
      <c r="B938" t="str" cm="1">
        <f t="array" ref="B938">_xlfn.IFS(A938&lt;=25,"18-25", A938&lt;=35,"26-35", A938&lt;=45,"36-45", A938&lt;=55,"46-55", A938&lt;=64,"56-64")</f>
        <v>36-45</v>
      </c>
      <c r="C938" t="s">
        <v>10</v>
      </c>
      <c r="D938">
        <v>29.734999999999999</v>
      </c>
      <c r="E938">
        <v>2</v>
      </c>
      <c r="F938" t="s">
        <v>11</v>
      </c>
      <c r="G938" t="s">
        <v>53</v>
      </c>
      <c r="H938" s="2">
        <v>32108.662820000001</v>
      </c>
      <c r="I938" s="2">
        <f t="shared" si="98"/>
        <v>10702.887606666667</v>
      </c>
      <c r="J938" t="str">
        <f t="shared" si="99"/>
        <v>High</v>
      </c>
      <c r="K938" s="1">
        <f t="shared" si="100"/>
        <v>0.88400000000000001</v>
      </c>
      <c r="L938" t="str">
        <f t="shared" si="101"/>
        <v>Overweight</v>
      </c>
      <c r="M938" t="str">
        <f t="shared" si="102"/>
        <v>Standard</v>
      </c>
      <c r="N938" t="str">
        <f t="shared" si="103"/>
        <v>Tier 2</v>
      </c>
      <c r="O938">
        <f t="shared" si="104"/>
        <v>1</v>
      </c>
    </row>
    <row r="939" spans="1:15" x14ac:dyDescent="0.2">
      <c r="A939">
        <v>39</v>
      </c>
      <c r="B939" t="str" cm="1">
        <f t="array" ref="B939">_xlfn.IFS(A939&lt;=25,"18-25", A939&lt;=35,"26-35", A939&lt;=45,"36-45", A939&lt;=55,"46-55", A939&lt;=64,"56-64")</f>
        <v>36-45</v>
      </c>
      <c r="C939" t="s">
        <v>7</v>
      </c>
      <c r="D939">
        <v>24.225000000000001</v>
      </c>
      <c r="E939">
        <v>5</v>
      </c>
      <c r="F939" t="s">
        <v>11</v>
      </c>
      <c r="G939" t="s">
        <v>54</v>
      </c>
      <c r="H939" s="2">
        <v>8965.7957499999993</v>
      </c>
      <c r="I939" s="2">
        <f t="shared" si="98"/>
        <v>1494.2992916666665</v>
      </c>
      <c r="J939" t="str">
        <f t="shared" si="99"/>
        <v>Low</v>
      </c>
      <c r="K939" s="1">
        <f t="shared" si="100"/>
        <v>0.48099999999999998</v>
      </c>
      <c r="L939" t="str">
        <f t="shared" si="101"/>
        <v>Normal</v>
      </c>
      <c r="M939" t="str">
        <f t="shared" si="102"/>
        <v>Standard</v>
      </c>
      <c r="N939" t="str">
        <f t="shared" si="103"/>
        <v>Tier 4</v>
      </c>
      <c r="O939">
        <f t="shared" si="104"/>
        <v>0</v>
      </c>
    </row>
    <row r="940" spans="1:15" x14ac:dyDescent="0.2">
      <c r="A940">
        <v>18</v>
      </c>
      <c r="B940" t="str" cm="1">
        <f t="array" ref="B940">_xlfn.IFS(A940&lt;=25,"18-25", A940&lt;=35,"26-35", A940&lt;=45,"36-45", A940&lt;=55,"46-55", A940&lt;=64,"56-64")</f>
        <v>18-25</v>
      </c>
      <c r="C940" t="s">
        <v>10</v>
      </c>
      <c r="D940">
        <v>26.18</v>
      </c>
      <c r="E940">
        <v>2</v>
      </c>
      <c r="F940" t="s">
        <v>11</v>
      </c>
      <c r="G940" t="s">
        <v>51</v>
      </c>
      <c r="H940" s="2">
        <v>2304.0021999999999</v>
      </c>
      <c r="I940" s="2">
        <f t="shared" si="98"/>
        <v>768.0007333333333</v>
      </c>
      <c r="J940" t="str">
        <f t="shared" si="99"/>
        <v>Low</v>
      </c>
      <c r="K940" s="1">
        <f t="shared" si="100"/>
        <v>9.7000000000000003E-2</v>
      </c>
      <c r="L940" t="str">
        <f t="shared" si="101"/>
        <v>Overweight</v>
      </c>
      <c r="M940" t="str">
        <f t="shared" si="102"/>
        <v>Standard</v>
      </c>
      <c r="N940" t="str">
        <f t="shared" si="103"/>
        <v>Tier 1</v>
      </c>
      <c r="O940">
        <f t="shared" si="104"/>
        <v>2</v>
      </c>
    </row>
    <row r="941" spans="1:15" x14ac:dyDescent="0.2">
      <c r="A941">
        <v>53</v>
      </c>
      <c r="B941" t="str" cm="1">
        <f t="array" ref="B941">_xlfn.IFS(A941&lt;=25,"18-25", A941&lt;=35,"26-35", A941&lt;=45,"36-45", A941&lt;=55,"46-55", A941&lt;=64,"56-64")</f>
        <v>46-55</v>
      </c>
      <c r="C941" t="s">
        <v>10</v>
      </c>
      <c r="D941">
        <v>29.48</v>
      </c>
      <c r="E941">
        <v>0</v>
      </c>
      <c r="F941" t="s">
        <v>11</v>
      </c>
      <c r="G941" t="s">
        <v>51</v>
      </c>
      <c r="H941" s="2">
        <v>9487.6442000000006</v>
      </c>
      <c r="I941" s="2">
        <f t="shared" si="98"/>
        <v>9487.6442000000006</v>
      </c>
      <c r="J941" t="str">
        <f t="shared" si="99"/>
        <v>Low</v>
      </c>
      <c r="K941" s="1">
        <f t="shared" si="100"/>
        <v>0.505</v>
      </c>
      <c r="L941" t="str">
        <f t="shared" si="101"/>
        <v>Overweight</v>
      </c>
      <c r="M941" t="str">
        <f t="shared" si="102"/>
        <v>Standard</v>
      </c>
      <c r="N941" t="str">
        <f t="shared" si="103"/>
        <v>Tier 1</v>
      </c>
      <c r="O941">
        <f t="shared" si="104"/>
        <v>2</v>
      </c>
    </row>
    <row r="942" spans="1:15" x14ac:dyDescent="0.2">
      <c r="A942">
        <v>18</v>
      </c>
      <c r="B942" t="str" cm="1">
        <f t="array" ref="B942">_xlfn.IFS(A942&lt;=25,"18-25", A942&lt;=35,"26-35", A942&lt;=45,"36-45", A942&lt;=55,"46-55", A942&lt;=64,"56-64")</f>
        <v>18-25</v>
      </c>
      <c r="C942" t="s">
        <v>10</v>
      </c>
      <c r="D942">
        <v>23.21</v>
      </c>
      <c r="E942">
        <v>0</v>
      </c>
      <c r="F942" t="s">
        <v>11</v>
      </c>
      <c r="G942" t="s">
        <v>51</v>
      </c>
      <c r="H942" s="2">
        <v>1121.8739</v>
      </c>
      <c r="I942" s="2">
        <f t="shared" si="98"/>
        <v>1121.8739</v>
      </c>
      <c r="J942" t="str">
        <f t="shared" si="99"/>
        <v>Low</v>
      </c>
      <c r="K942" s="1">
        <f t="shared" si="100"/>
        <v>0</v>
      </c>
      <c r="L942" t="str">
        <f t="shared" si="101"/>
        <v>Normal</v>
      </c>
      <c r="M942" t="str">
        <f t="shared" si="102"/>
        <v>Standard</v>
      </c>
      <c r="N942" t="str">
        <f t="shared" si="103"/>
        <v>Tier 1</v>
      </c>
      <c r="O942">
        <f t="shared" si="104"/>
        <v>1</v>
      </c>
    </row>
    <row r="943" spans="1:15" x14ac:dyDescent="0.2">
      <c r="A943">
        <v>50</v>
      </c>
      <c r="B943" t="str" cm="1">
        <f t="array" ref="B943">_xlfn.IFS(A943&lt;=25,"18-25", A943&lt;=35,"26-35", A943&lt;=45,"36-45", A943&lt;=55,"46-55", A943&lt;=64,"56-64")</f>
        <v>46-55</v>
      </c>
      <c r="C943" t="s">
        <v>7</v>
      </c>
      <c r="D943">
        <v>46.09</v>
      </c>
      <c r="E943">
        <v>1</v>
      </c>
      <c r="F943" t="s">
        <v>11</v>
      </c>
      <c r="G943" t="s">
        <v>51</v>
      </c>
      <c r="H943" s="2">
        <v>9549.5650999999998</v>
      </c>
      <c r="I943" s="2">
        <f t="shared" si="98"/>
        <v>4774.7825499999999</v>
      </c>
      <c r="J943" t="str">
        <f t="shared" si="99"/>
        <v>Low</v>
      </c>
      <c r="K943" s="1">
        <f t="shared" si="100"/>
        <v>0.50800000000000001</v>
      </c>
      <c r="L943" t="str">
        <f t="shared" si="101"/>
        <v>Obese</v>
      </c>
      <c r="M943" t="str">
        <f t="shared" si="102"/>
        <v>Standard</v>
      </c>
      <c r="N943" t="str">
        <f t="shared" si="103"/>
        <v>Tier 1</v>
      </c>
      <c r="O943">
        <f t="shared" si="104"/>
        <v>3</v>
      </c>
    </row>
    <row r="944" spans="1:15" x14ac:dyDescent="0.2">
      <c r="A944">
        <v>18</v>
      </c>
      <c r="B944" t="str" cm="1">
        <f t="array" ref="B944">_xlfn.IFS(A944&lt;=25,"18-25", A944&lt;=35,"26-35", A944&lt;=45,"36-45", A944&lt;=55,"46-55", A944&lt;=64,"56-64")</f>
        <v>18-25</v>
      </c>
      <c r="C944" t="s">
        <v>7</v>
      </c>
      <c r="D944">
        <v>40.185000000000002</v>
      </c>
      <c r="E944">
        <v>0</v>
      </c>
      <c r="F944" t="s">
        <v>11</v>
      </c>
      <c r="G944" t="s">
        <v>53</v>
      </c>
      <c r="H944" s="2">
        <v>2217.4691499999999</v>
      </c>
      <c r="I944" s="2">
        <f t="shared" si="98"/>
        <v>2217.4691499999999</v>
      </c>
      <c r="J944" t="str">
        <f t="shared" si="99"/>
        <v>Low</v>
      </c>
      <c r="K944" s="1">
        <f t="shared" si="100"/>
        <v>9.0999999999999998E-2</v>
      </c>
      <c r="L944" t="str">
        <f t="shared" si="101"/>
        <v>Obese</v>
      </c>
      <c r="M944" t="str">
        <f t="shared" si="102"/>
        <v>Standard</v>
      </c>
      <c r="N944" t="str">
        <f t="shared" si="103"/>
        <v>Tier 2</v>
      </c>
      <c r="O944">
        <f t="shared" si="104"/>
        <v>2</v>
      </c>
    </row>
    <row r="945" spans="1:15" x14ac:dyDescent="0.2">
      <c r="A945">
        <v>19</v>
      </c>
      <c r="B945" t="str" cm="1">
        <f t="array" ref="B945">_xlfn.IFS(A945&lt;=25,"18-25", A945&lt;=35,"26-35", A945&lt;=45,"36-45", A945&lt;=55,"46-55", A945&lt;=64,"56-64")</f>
        <v>18-25</v>
      </c>
      <c r="C945" t="s">
        <v>10</v>
      </c>
      <c r="D945">
        <v>22.61</v>
      </c>
      <c r="E945">
        <v>0</v>
      </c>
      <c r="F945" t="s">
        <v>11</v>
      </c>
      <c r="G945" t="s">
        <v>54</v>
      </c>
      <c r="H945" s="2">
        <v>1628.4709</v>
      </c>
      <c r="I945" s="2">
        <f t="shared" si="98"/>
        <v>1628.4709</v>
      </c>
      <c r="J945" t="str">
        <f t="shared" si="99"/>
        <v>Low</v>
      </c>
      <c r="K945" s="1">
        <f t="shared" si="100"/>
        <v>2.3E-2</v>
      </c>
      <c r="L945" t="str">
        <f t="shared" si="101"/>
        <v>Normal</v>
      </c>
      <c r="M945" t="str">
        <f t="shared" si="102"/>
        <v>Standard</v>
      </c>
      <c r="N945" t="str">
        <f t="shared" si="103"/>
        <v>Tier 4</v>
      </c>
      <c r="O945">
        <f t="shared" si="104"/>
        <v>0</v>
      </c>
    </row>
    <row r="946" spans="1:15" x14ac:dyDescent="0.2">
      <c r="A946">
        <v>62</v>
      </c>
      <c r="B946" t="str" cm="1">
        <f t="array" ref="B946">_xlfn.IFS(A946&lt;=25,"18-25", A946&lt;=35,"26-35", A946&lt;=45,"36-45", A946&lt;=55,"46-55", A946&lt;=64,"56-64")</f>
        <v>56-64</v>
      </c>
      <c r="C946" t="s">
        <v>10</v>
      </c>
      <c r="D946">
        <v>39.93</v>
      </c>
      <c r="E946">
        <v>0</v>
      </c>
      <c r="F946" t="s">
        <v>11</v>
      </c>
      <c r="G946" t="s">
        <v>51</v>
      </c>
      <c r="H946" s="2">
        <v>12982.8747</v>
      </c>
      <c r="I946" s="2">
        <f t="shared" si="98"/>
        <v>12982.8747</v>
      </c>
      <c r="J946" t="str">
        <f t="shared" si="99"/>
        <v>Low</v>
      </c>
      <c r="K946" s="1">
        <f t="shared" si="100"/>
        <v>0.67400000000000004</v>
      </c>
      <c r="L946" t="str">
        <f t="shared" si="101"/>
        <v>Obese</v>
      </c>
      <c r="M946" t="str">
        <f t="shared" si="102"/>
        <v>Standard</v>
      </c>
      <c r="N946" t="str">
        <f t="shared" si="103"/>
        <v>Tier 1</v>
      </c>
      <c r="O946">
        <f t="shared" si="104"/>
        <v>3</v>
      </c>
    </row>
    <row r="947" spans="1:15" x14ac:dyDescent="0.2">
      <c r="A947">
        <v>56</v>
      </c>
      <c r="B947" t="str" cm="1">
        <f t="array" ref="B947">_xlfn.IFS(A947&lt;=25,"18-25", A947&lt;=35,"26-35", A947&lt;=45,"36-45", A947&lt;=55,"46-55", A947&lt;=64,"56-64")</f>
        <v>56-64</v>
      </c>
      <c r="C947" t="s">
        <v>7</v>
      </c>
      <c r="D947">
        <v>35.799999999999997</v>
      </c>
      <c r="E947">
        <v>1</v>
      </c>
      <c r="F947" t="s">
        <v>11</v>
      </c>
      <c r="G947" t="s">
        <v>52</v>
      </c>
      <c r="H947" s="2">
        <v>11674.13</v>
      </c>
      <c r="I947" s="2">
        <f t="shared" si="98"/>
        <v>5837.0649999999996</v>
      </c>
      <c r="J947" t="str">
        <f t="shared" si="99"/>
        <v>Low</v>
      </c>
      <c r="K947" s="1">
        <f t="shared" si="100"/>
        <v>0.61299999999999999</v>
      </c>
      <c r="L947" t="str">
        <f t="shared" si="101"/>
        <v>Obese</v>
      </c>
      <c r="M947" t="str">
        <f t="shared" si="102"/>
        <v>Standard</v>
      </c>
      <c r="N947" t="str">
        <f t="shared" si="103"/>
        <v>Tier 3</v>
      </c>
      <c r="O947">
        <f t="shared" si="104"/>
        <v>2</v>
      </c>
    </row>
    <row r="948" spans="1:15" x14ac:dyDescent="0.2">
      <c r="A948">
        <v>42</v>
      </c>
      <c r="B948" t="str" cm="1">
        <f t="array" ref="B948">_xlfn.IFS(A948&lt;=25,"18-25", A948&lt;=35,"26-35", A948&lt;=45,"36-45", A948&lt;=55,"46-55", A948&lt;=64,"56-64")</f>
        <v>36-45</v>
      </c>
      <c r="C948" t="s">
        <v>10</v>
      </c>
      <c r="D948">
        <v>35.799999999999997</v>
      </c>
      <c r="E948">
        <v>2</v>
      </c>
      <c r="F948" t="s">
        <v>11</v>
      </c>
      <c r="G948" t="s">
        <v>52</v>
      </c>
      <c r="H948" s="2">
        <v>7160.0940000000001</v>
      </c>
      <c r="I948" s="2">
        <f t="shared" si="98"/>
        <v>2386.6979999999999</v>
      </c>
      <c r="J948" t="str">
        <f t="shared" si="99"/>
        <v>Low</v>
      </c>
      <c r="K948" s="1">
        <f t="shared" si="100"/>
        <v>0.38400000000000001</v>
      </c>
      <c r="L948" t="str">
        <f t="shared" si="101"/>
        <v>Obese</v>
      </c>
      <c r="M948" t="str">
        <f t="shared" si="102"/>
        <v>Standard</v>
      </c>
      <c r="N948" t="str">
        <f t="shared" si="103"/>
        <v>Tier 3</v>
      </c>
      <c r="O948">
        <f t="shared" si="104"/>
        <v>2</v>
      </c>
    </row>
    <row r="949" spans="1:15" x14ac:dyDescent="0.2">
      <c r="A949">
        <v>37</v>
      </c>
      <c r="B949" t="str" cm="1">
        <f t="array" ref="B949">_xlfn.IFS(A949&lt;=25,"18-25", A949&lt;=35,"26-35", A949&lt;=45,"36-45", A949&lt;=55,"46-55", A949&lt;=64,"56-64")</f>
        <v>36-45</v>
      </c>
      <c r="C949" t="s">
        <v>10</v>
      </c>
      <c r="D949">
        <v>34.200000000000003</v>
      </c>
      <c r="E949">
        <v>1</v>
      </c>
      <c r="F949" t="s">
        <v>8</v>
      </c>
      <c r="G949" t="s">
        <v>53</v>
      </c>
      <c r="H949" s="2">
        <v>39047.285000000003</v>
      </c>
      <c r="I949" s="2">
        <f t="shared" si="98"/>
        <v>19523.642500000002</v>
      </c>
      <c r="J949" t="str">
        <f t="shared" si="99"/>
        <v>High</v>
      </c>
      <c r="K949" s="1">
        <f t="shared" si="100"/>
        <v>0.93100000000000005</v>
      </c>
      <c r="L949" t="str">
        <f t="shared" si="101"/>
        <v>Obese</v>
      </c>
      <c r="M949" t="str">
        <f t="shared" si="102"/>
        <v>High Risk</v>
      </c>
      <c r="N949" t="str">
        <f t="shared" si="103"/>
        <v>Tier 2</v>
      </c>
      <c r="O949">
        <f t="shared" si="104"/>
        <v>5</v>
      </c>
    </row>
    <row r="950" spans="1:15" x14ac:dyDescent="0.2">
      <c r="A950">
        <v>42</v>
      </c>
      <c r="B950" t="str" cm="1">
        <f t="array" ref="B950">_xlfn.IFS(A950&lt;=25,"18-25", A950&lt;=35,"26-35", A950&lt;=45,"36-45", A950&lt;=55,"46-55", A950&lt;=64,"56-64")</f>
        <v>36-45</v>
      </c>
      <c r="C950" t="s">
        <v>10</v>
      </c>
      <c r="D950">
        <v>31.254999999999999</v>
      </c>
      <c r="E950">
        <v>0</v>
      </c>
      <c r="F950" t="s">
        <v>11</v>
      </c>
      <c r="G950" t="s">
        <v>54</v>
      </c>
      <c r="H950" s="2">
        <v>6358.7764500000003</v>
      </c>
      <c r="I950" s="2">
        <f t="shared" si="98"/>
        <v>6358.7764500000003</v>
      </c>
      <c r="J950" t="str">
        <f t="shared" si="99"/>
        <v>Low</v>
      </c>
      <c r="K950" s="1">
        <f t="shared" si="100"/>
        <v>0.33900000000000002</v>
      </c>
      <c r="L950" t="str">
        <f t="shared" si="101"/>
        <v>Obese</v>
      </c>
      <c r="M950" t="str">
        <f t="shared" si="102"/>
        <v>Standard</v>
      </c>
      <c r="N950" t="str">
        <f t="shared" si="103"/>
        <v>Tier 4</v>
      </c>
      <c r="O950">
        <f t="shared" si="104"/>
        <v>2</v>
      </c>
    </row>
    <row r="951" spans="1:15" x14ac:dyDescent="0.2">
      <c r="A951">
        <v>25</v>
      </c>
      <c r="B951" t="str" cm="1">
        <f t="array" ref="B951">_xlfn.IFS(A951&lt;=25,"18-25", A951&lt;=35,"26-35", A951&lt;=45,"36-45", A951&lt;=55,"46-55", A951&lt;=64,"56-64")</f>
        <v>18-25</v>
      </c>
      <c r="C951" t="s">
        <v>10</v>
      </c>
      <c r="D951">
        <v>29.7</v>
      </c>
      <c r="E951">
        <v>3</v>
      </c>
      <c r="F951" t="s">
        <v>8</v>
      </c>
      <c r="G951" t="s">
        <v>52</v>
      </c>
      <c r="H951" s="2">
        <v>19933.457999999999</v>
      </c>
      <c r="I951" s="2">
        <f t="shared" si="98"/>
        <v>4983.3644999999997</v>
      </c>
      <c r="J951" t="str">
        <f t="shared" si="99"/>
        <v>High</v>
      </c>
      <c r="K951" s="1">
        <f t="shared" si="100"/>
        <v>0.79500000000000004</v>
      </c>
      <c r="L951" t="str">
        <f t="shared" si="101"/>
        <v>Overweight</v>
      </c>
      <c r="M951" t="str">
        <f t="shared" si="102"/>
        <v>High Risk</v>
      </c>
      <c r="N951" t="str">
        <f t="shared" si="103"/>
        <v>Tier 3</v>
      </c>
      <c r="O951">
        <f t="shared" si="104"/>
        <v>4</v>
      </c>
    </row>
    <row r="952" spans="1:15" x14ac:dyDescent="0.2">
      <c r="A952">
        <v>57</v>
      </c>
      <c r="B952" t="str" cm="1">
        <f t="array" ref="B952">_xlfn.IFS(A952&lt;=25,"18-25", A952&lt;=35,"26-35", A952&lt;=45,"36-45", A952&lt;=55,"46-55", A952&lt;=64,"56-64")</f>
        <v>56-64</v>
      </c>
      <c r="C952" t="s">
        <v>10</v>
      </c>
      <c r="D952">
        <v>18.335000000000001</v>
      </c>
      <c r="E952">
        <v>0</v>
      </c>
      <c r="F952" t="s">
        <v>11</v>
      </c>
      <c r="G952" t="s">
        <v>53</v>
      </c>
      <c r="H952" s="2">
        <v>11534.872649999999</v>
      </c>
      <c r="I952" s="2">
        <f t="shared" si="98"/>
        <v>11534.872649999999</v>
      </c>
      <c r="J952" t="str">
        <f t="shared" si="99"/>
        <v>Low</v>
      </c>
      <c r="K952" s="1">
        <f t="shared" si="100"/>
        <v>0.60599999999999998</v>
      </c>
      <c r="L952" t="str">
        <f t="shared" si="101"/>
        <v>Underweight</v>
      </c>
      <c r="M952" t="str">
        <f t="shared" si="102"/>
        <v>Standard</v>
      </c>
      <c r="N952" t="str">
        <f t="shared" si="103"/>
        <v>Tier 2</v>
      </c>
      <c r="O952">
        <f t="shared" si="104"/>
        <v>0</v>
      </c>
    </row>
    <row r="953" spans="1:15" x14ac:dyDescent="0.2">
      <c r="A953">
        <v>51</v>
      </c>
      <c r="B953" t="str" cm="1">
        <f t="array" ref="B953">_xlfn.IFS(A953&lt;=25,"18-25", A953&lt;=35,"26-35", A953&lt;=45,"36-45", A953&lt;=55,"46-55", A953&lt;=64,"56-64")</f>
        <v>46-55</v>
      </c>
      <c r="C953" t="s">
        <v>10</v>
      </c>
      <c r="D953">
        <v>42.9</v>
      </c>
      <c r="E953">
        <v>2</v>
      </c>
      <c r="F953" t="s">
        <v>8</v>
      </c>
      <c r="G953" t="s">
        <v>51</v>
      </c>
      <c r="H953" s="2">
        <v>47462.894</v>
      </c>
      <c r="I953" s="2">
        <f t="shared" si="98"/>
        <v>15820.964666666667</v>
      </c>
      <c r="J953" t="str">
        <f t="shared" si="99"/>
        <v>High</v>
      </c>
      <c r="K953" s="1">
        <f t="shared" si="100"/>
        <v>0.98499999999999999</v>
      </c>
      <c r="L953" t="str">
        <f t="shared" si="101"/>
        <v>Obese</v>
      </c>
      <c r="M953" t="str">
        <f t="shared" si="102"/>
        <v>High Risk</v>
      </c>
      <c r="N953" t="str">
        <f t="shared" si="103"/>
        <v>Tier 1</v>
      </c>
      <c r="O953">
        <f t="shared" si="104"/>
        <v>6</v>
      </c>
    </row>
    <row r="954" spans="1:15" x14ac:dyDescent="0.2">
      <c r="A954">
        <v>30</v>
      </c>
      <c r="B954" t="str" cm="1">
        <f t="array" ref="B954">_xlfn.IFS(A954&lt;=25,"18-25", A954&lt;=35,"26-35", A954&lt;=45,"36-45", A954&lt;=55,"46-55", A954&lt;=64,"56-64")</f>
        <v>26-35</v>
      </c>
      <c r="C954" t="s">
        <v>7</v>
      </c>
      <c r="D954">
        <v>28.405000000000001</v>
      </c>
      <c r="E954">
        <v>1</v>
      </c>
      <c r="F954" t="s">
        <v>11</v>
      </c>
      <c r="G954" t="s">
        <v>54</v>
      </c>
      <c r="H954" s="2">
        <v>4527.1829500000003</v>
      </c>
      <c r="I954" s="2">
        <f t="shared" si="98"/>
        <v>2263.5914750000002</v>
      </c>
      <c r="J954" t="str">
        <f t="shared" si="99"/>
        <v>Low</v>
      </c>
      <c r="K954" s="1">
        <f t="shared" si="100"/>
        <v>0.23499999999999999</v>
      </c>
      <c r="L954" t="str">
        <f t="shared" si="101"/>
        <v>Overweight</v>
      </c>
      <c r="M954" t="str">
        <f t="shared" si="102"/>
        <v>Standard</v>
      </c>
      <c r="N954" t="str">
        <f t="shared" si="103"/>
        <v>Tier 4</v>
      </c>
      <c r="O954">
        <f t="shared" si="104"/>
        <v>1</v>
      </c>
    </row>
    <row r="955" spans="1:15" x14ac:dyDescent="0.2">
      <c r="A955">
        <v>44</v>
      </c>
      <c r="B955" t="str" cm="1">
        <f t="array" ref="B955">_xlfn.IFS(A955&lt;=25,"18-25", A955&lt;=35,"26-35", A955&lt;=45,"36-45", A955&lt;=55,"46-55", A955&lt;=64,"56-64")</f>
        <v>36-45</v>
      </c>
      <c r="C955" t="s">
        <v>10</v>
      </c>
      <c r="D955">
        <v>30.2</v>
      </c>
      <c r="E955">
        <v>2</v>
      </c>
      <c r="F955" t="s">
        <v>8</v>
      </c>
      <c r="G955" t="s">
        <v>52</v>
      </c>
      <c r="H955" s="2">
        <v>38998.546000000002</v>
      </c>
      <c r="I955" s="2">
        <f t="shared" si="98"/>
        <v>12999.515333333335</v>
      </c>
      <c r="J955" t="str">
        <f t="shared" si="99"/>
        <v>High</v>
      </c>
      <c r="K955" s="1">
        <f t="shared" si="100"/>
        <v>0.93100000000000005</v>
      </c>
      <c r="L955" t="str">
        <f t="shared" si="101"/>
        <v>Obese</v>
      </c>
      <c r="M955" t="str">
        <f t="shared" si="102"/>
        <v>High Risk</v>
      </c>
      <c r="N955" t="str">
        <f t="shared" si="103"/>
        <v>Tier 3</v>
      </c>
      <c r="O955">
        <f t="shared" si="104"/>
        <v>5</v>
      </c>
    </row>
    <row r="956" spans="1:15" x14ac:dyDescent="0.2">
      <c r="A956">
        <v>34</v>
      </c>
      <c r="B956" t="str" cm="1">
        <f t="array" ref="B956">_xlfn.IFS(A956&lt;=25,"18-25", A956&lt;=35,"26-35", A956&lt;=45,"36-45", A956&lt;=55,"46-55", A956&lt;=64,"56-64")</f>
        <v>26-35</v>
      </c>
      <c r="C956" t="s">
        <v>10</v>
      </c>
      <c r="D956">
        <v>27.835000000000001</v>
      </c>
      <c r="E956">
        <v>1</v>
      </c>
      <c r="F956" t="s">
        <v>8</v>
      </c>
      <c r="G956" t="s">
        <v>54</v>
      </c>
      <c r="H956" s="2">
        <v>20009.63365</v>
      </c>
      <c r="I956" s="2">
        <f t="shared" si="98"/>
        <v>10004.816825</v>
      </c>
      <c r="J956" t="str">
        <f t="shared" si="99"/>
        <v>High</v>
      </c>
      <c r="K956" s="1">
        <f t="shared" si="100"/>
        <v>0.79600000000000004</v>
      </c>
      <c r="L956" t="str">
        <f t="shared" si="101"/>
        <v>Overweight</v>
      </c>
      <c r="M956" t="str">
        <f t="shared" si="102"/>
        <v>High Risk</v>
      </c>
      <c r="N956" t="str">
        <f t="shared" si="103"/>
        <v>Tier 4</v>
      </c>
      <c r="O956">
        <f t="shared" si="104"/>
        <v>4</v>
      </c>
    </row>
    <row r="957" spans="1:15" x14ac:dyDescent="0.2">
      <c r="A957">
        <v>31</v>
      </c>
      <c r="B957" t="str" cm="1">
        <f t="array" ref="B957">_xlfn.IFS(A957&lt;=25,"18-25", A957&lt;=35,"26-35", A957&lt;=45,"36-45", A957&lt;=55,"46-55", A957&lt;=64,"56-64")</f>
        <v>26-35</v>
      </c>
      <c r="C957" t="s">
        <v>10</v>
      </c>
      <c r="D957">
        <v>39.49</v>
      </c>
      <c r="E957">
        <v>1</v>
      </c>
      <c r="F957" t="s">
        <v>11</v>
      </c>
      <c r="G957" t="s">
        <v>51</v>
      </c>
      <c r="H957" s="2">
        <v>3875.7341000000001</v>
      </c>
      <c r="I957" s="2">
        <f t="shared" si="98"/>
        <v>1937.8670500000001</v>
      </c>
      <c r="J957" t="str">
        <f t="shared" si="99"/>
        <v>Low</v>
      </c>
      <c r="K957" s="1">
        <f t="shared" si="100"/>
        <v>0.191</v>
      </c>
      <c r="L957" t="str">
        <f t="shared" si="101"/>
        <v>Obese</v>
      </c>
      <c r="M957" t="str">
        <f t="shared" si="102"/>
        <v>Standard</v>
      </c>
      <c r="N957" t="str">
        <f t="shared" si="103"/>
        <v>Tier 1</v>
      </c>
      <c r="O957">
        <f t="shared" si="104"/>
        <v>3</v>
      </c>
    </row>
    <row r="958" spans="1:15" x14ac:dyDescent="0.2">
      <c r="A958">
        <v>54</v>
      </c>
      <c r="B958" t="str" cm="1">
        <f t="array" ref="B958">_xlfn.IFS(A958&lt;=25,"18-25", A958&lt;=35,"26-35", A958&lt;=45,"36-45", A958&lt;=55,"46-55", A958&lt;=64,"56-64")</f>
        <v>46-55</v>
      </c>
      <c r="C958" t="s">
        <v>10</v>
      </c>
      <c r="D958">
        <v>30.8</v>
      </c>
      <c r="E958">
        <v>1</v>
      </c>
      <c r="F958" t="s">
        <v>8</v>
      </c>
      <c r="G958" t="s">
        <v>51</v>
      </c>
      <c r="H958" s="2">
        <v>41999.519999999997</v>
      </c>
      <c r="I958" s="2">
        <f t="shared" si="98"/>
        <v>20999.759999999998</v>
      </c>
      <c r="J958" t="str">
        <f t="shared" si="99"/>
        <v>High</v>
      </c>
      <c r="K958" s="1">
        <f t="shared" si="100"/>
        <v>0.95299999999999996</v>
      </c>
      <c r="L958" t="str">
        <f t="shared" si="101"/>
        <v>Obese</v>
      </c>
      <c r="M958" t="str">
        <f t="shared" si="102"/>
        <v>High Risk</v>
      </c>
      <c r="N958" t="str">
        <f t="shared" si="103"/>
        <v>Tier 1</v>
      </c>
      <c r="O958">
        <f t="shared" si="104"/>
        <v>6</v>
      </c>
    </row>
    <row r="959" spans="1:15" x14ac:dyDescent="0.2">
      <c r="A959">
        <v>24</v>
      </c>
      <c r="B959" t="str" cm="1">
        <f t="array" ref="B959">_xlfn.IFS(A959&lt;=25,"18-25", A959&lt;=35,"26-35", A959&lt;=45,"36-45", A959&lt;=55,"46-55", A959&lt;=64,"56-64")</f>
        <v>18-25</v>
      </c>
      <c r="C959" t="s">
        <v>10</v>
      </c>
      <c r="D959">
        <v>26.79</v>
      </c>
      <c r="E959">
        <v>1</v>
      </c>
      <c r="F959" t="s">
        <v>11</v>
      </c>
      <c r="G959" t="s">
        <v>54</v>
      </c>
      <c r="H959" s="2">
        <v>12609.88702</v>
      </c>
      <c r="I959" s="2">
        <f t="shared" si="98"/>
        <v>6304.9435100000001</v>
      </c>
      <c r="J959" t="str">
        <f t="shared" si="99"/>
        <v>Low</v>
      </c>
      <c r="K959" s="1">
        <f t="shared" si="100"/>
        <v>0.65700000000000003</v>
      </c>
      <c r="L959" t="str">
        <f t="shared" si="101"/>
        <v>Overweight</v>
      </c>
      <c r="M959" t="str">
        <f t="shared" si="102"/>
        <v>Standard</v>
      </c>
      <c r="N959" t="str">
        <f t="shared" si="103"/>
        <v>Tier 4</v>
      </c>
      <c r="O959">
        <f t="shared" si="104"/>
        <v>1</v>
      </c>
    </row>
    <row r="960" spans="1:15" x14ac:dyDescent="0.2">
      <c r="A960">
        <v>43</v>
      </c>
      <c r="B960" t="str" cm="1">
        <f t="array" ref="B960">_xlfn.IFS(A960&lt;=25,"18-25", A960&lt;=35,"26-35", A960&lt;=45,"36-45", A960&lt;=55,"46-55", A960&lt;=64,"56-64")</f>
        <v>36-45</v>
      </c>
      <c r="C960" t="s">
        <v>10</v>
      </c>
      <c r="D960">
        <v>34.96</v>
      </c>
      <c r="E960">
        <v>1</v>
      </c>
      <c r="F960" t="s">
        <v>8</v>
      </c>
      <c r="G960" t="s">
        <v>53</v>
      </c>
      <c r="H960" s="2">
        <v>41034.221400000002</v>
      </c>
      <c r="I960" s="2">
        <f t="shared" si="98"/>
        <v>20517.110700000001</v>
      </c>
      <c r="J960" t="str">
        <f t="shared" si="99"/>
        <v>High</v>
      </c>
      <c r="K960" s="1">
        <f t="shared" si="100"/>
        <v>0.94899999999999995</v>
      </c>
      <c r="L960" t="str">
        <f t="shared" si="101"/>
        <v>Obese</v>
      </c>
      <c r="M960" t="str">
        <f t="shared" si="102"/>
        <v>High Risk</v>
      </c>
      <c r="N960" t="str">
        <f t="shared" si="103"/>
        <v>Tier 2</v>
      </c>
      <c r="O960">
        <f t="shared" si="104"/>
        <v>5</v>
      </c>
    </row>
    <row r="961" spans="1:15" x14ac:dyDescent="0.2">
      <c r="A961">
        <v>48</v>
      </c>
      <c r="B961" t="str" cm="1">
        <f t="array" ref="B961">_xlfn.IFS(A961&lt;=25,"18-25", A961&lt;=35,"26-35", A961&lt;=45,"36-45", A961&lt;=55,"46-55", A961&lt;=64,"56-64")</f>
        <v>46-55</v>
      </c>
      <c r="C961" t="s">
        <v>10</v>
      </c>
      <c r="D961">
        <v>36.67</v>
      </c>
      <c r="E961">
        <v>1</v>
      </c>
      <c r="F961" t="s">
        <v>11</v>
      </c>
      <c r="G961" t="s">
        <v>54</v>
      </c>
      <c r="H961" s="2">
        <v>28468.919010000001</v>
      </c>
      <c r="I961" s="2">
        <f t="shared" si="98"/>
        <v>14234.459505000001</v>
      </c>
      <c r="J961" t="str">
        <f t="shared" si="99"/>
        <v>High</v>
      </c>
      <c r="K961" s="1">
        <f t="shared" si="100"/>
        <v>0.872</v>
      </c>
      <c r="L961" t="str">
        <f t="shared" si="101"/>
        <v>Obese</v>
      </c>
      <c r="M961" t="str">
        <f t="shared" si="102"/>
        <v>Standard</v>
      </c>
      <c r="N961" t="str">
        <f t="shared" si="103"/>
        <v>Tier 4</v>
      </c>
      <c r="O961">
        <f t="shared" si="104"/>
        <v>2</v>
      </c>
    </row>
    <row r="962" spans="1:15" x14ac:dyDescent="0.2">
      <c r="A962">
        <v>19</v>
      </c>
      <c r="B962" t="str" cm="1">
        <f t="array" ref="B962">_xlfn.IFS(A962&lt;=25,"18-25", A962&lt;=35,"26-35", A962&lt;=45,"36-45", A962&lt;=55,"46-55", A962&lt;=64,"56-64")</f>
        <v>18-25</v>
      </c>
      <c r="C962" t="s">
        <v>7</v>
      </c>
      <c r="D962">
        <v>39.615000000000002</v>
      </c>
      <c r="E962">
        <v>1</v>
      </c>
      <c r="F962" t="s">
        <v>11</v>
      </c>
      <c r="G962" t="s">
        <v>54</v>
      </c>
      <c r="H962" s="2">
        <v>2730.1078499999999</v>
      </c>
      <c r="I962" s="2">
        <f t="shared" ref="I962:I1025" si="105">H962/(E962+1)</f>
        <v>1365.0539249999999</v>
      </c>
      <c r="J962" t="str">
        <f t="shared" ref="J962:J1025" si="106">IF(H962&gt;AVERAGE($H$2:$H$1339),"High","Low")</f>
        <v>Low</v>
      </c>
      <c r="K962" s="1">
        <f t="shared" ref="K962:K1025" si="107">PERCENTRANK($H$2:$H$1339,H962)</f>
        <v>0.127</v>
      </c>
      <c r="L962" t="str">
        <f t="shared" ref="L962:L1025" si="108">IF(D962&lt;18.5,"Underweight",IF(D962&lt;25,"Normal",IF(D962&lt;30,"Overweight","Obese")))</f>
        <v>Obese</v>
      </c>
      <c r="M962" t="str">
        <f t="shared" ref="M962:M1025" si="109">IF(F962="yes","High Risk","Standard")</f>
        <v>Standard</v>
      </c>
      <c r="N962" t="str">
        <f t="shared" ref="N962:N1025" si="110">IF(G962="southeast","Tier 1",IF(G962="northeast","Tier 2",IF(G962="southwest","Tier 3","Tier 4")))</f>
        <v>Tier 4</v>
      </c>
      <c r="O962">
        <f t="shared" ref="O962:O1025" si="111">IF(F962="yes",3,0)+IF(D962&gt;=30,2,IF(D962&gt;=25,1,0))+IF(G962="southeast",1,0)</f>
        <v>2</v>
      </c>
    </row>
    <row r="963" spans="1:15" x14ac:dyDescent="0.2">
      <c r="A963">
        <v>29</v>
      </c>
      <c r="B963" t="str" cm="1">
        <f t="array" ref="B963">_xlfn.IFS(A963&lt;=25,"18-25", A963&lt;=35,"26-35", A963&lt;=45,"36-45", A963&lt;=55,"46-55", A963&lt;=64,"56-64")</f>
        <v>26-35</v>
      </c>
      <c r="C963" t="s">
        <v>7</v>
      </c>
      <c r="D963">
        <v>25.9</v>
      </c>
      <c r="E963">
        <v>0</v>
      </c>
      <c r="F963" t="s">
        <v>11</v>
      </c>
      <c r="G963" t="s">
        <v>52</v>
      </c>
      <c r="H963" s="2">
        <v>3353.2840000000001</v>
      </c>
      <c r="I963" s="2">
        <f t="shared" si="105"/>
        <v>3353.2840000000001</v>
      </c>
      <c r="J963" t="str">
        <f t="shared" si="106"/>
        <v>Low</v>
      </c>
      <c r="K963" s="1">
        <f t="shared" si="107"/>
        <v>0.16200000000000001</v>
      </c>
      <c r="L963" t="str">
        <f t="shared" si="108"/>
        <v>Overweight</v>
      </c>
      <c r="M963" t="str">
        <f t="shared" si="109"/>
        <v>Standard</v>
      </c>
      <c r="N963" t="str">
        <f t="shared" si="110"/>
        <v>Tier 3</v>
      </c>
      <c r="O963">
        <f t="shared" si="111"/>
        <v>1</v>
      </c>
    </row>
    <row r="964" spans="1:15" x14ac:dyDescent="0.2">
      <c r="A964">
        <v>63</v>
      </c>
      <c r="B964" t="str" cm="1">
        <f t="array" ref="B964">_xlfn.IFS(A964&lt;=25,"18-25", A964&lt;=35,"26-35", A964&lt;=45,"36-45", A964&lt;=55,"46-55", A964&lt;=64,"56-64")</f>
        <v>56-64</v>
      </c>
      <c r="C964" t="s">
        <v>7</v>
      </c>
      <c r="D964">
        <v>35.200000000000003</v>
      </c>
      <c r="E964">
        <v>1</v>
      </c>
      <c r="F964" t="s">
        <v>11</v>
      </c>
      <c r="G964" t="s">
        <v>51</v>
      </c>
      <c r="H964" s="2">
        <v>14474.674999999999</v>
      </c>
      <c r="I964" s="2">
        <f t="shared" si="105"/>
        <v>7237.3374999999996</v>
      </c>
      <c r="J964" t="str">
        <f t="shared" si="106"/>
        <v>High</v>
      </c>
      <c r="K964" s="1">
        <f t="shared" si="107"/>
        <v>0.72699999999999998</v>
      </c>
      <c r="L964" t="str">
        <f t="shared" si="108"/>
        <v>Obese</v>
      </c>
      <c r="M964" t="str">
        <f t="shared" si="109"/>
        <v>Standard</v>
      </c>
      <c r="N964" t="str">
        <f t="shared" si="110"/>
        <v>Tier 1</v>
      </c>
      <c r="O964">
        <f t="shared" si="111"/>
        <v>3</v>
      </c>
    </row>
    <row r="965" spans="1:15" x14ac:dyDescent="0.2">
      <c r="A965">
        <v>46</v>
      </c>
      <c r="B965" t="str" cm="1">
        <f t="array" ref="B965">_xlfn.IFS(A965&lt;=25,"18-25", A965&lt;=35,"26-35", A965&lt;=45,"36-45", A965&lt;=55,"46-55", A965&lt;=64,"56-64")</f>
        <v>46-55</v>
      </c>
      <c r="C965" t="s">
        <v>10</v>
      </c>
      <c r="D965">
        <v>24.795000000000002</v>
      </c>
      <c r="E965">
        <v>3</v>
      </c>
      <c r="F965" t="s">
        <v>11</v>
      </c>
      <c r="G965" t="s">
        <v>53</v>
      </c>
      <c r="H965" s="2">
        <v>9500.5730500000009</v>
      </c>
      <c r="I965" s="2">
        <f t="shared" si="105"/>
        <v>2375.1432625000002</v>
      </c>
      <c r="J965" t="str">
        <f t="shared" si="106"/>
        <v>Low</v>
      </c>
      <c r="K965" s="1">
        <f t="shared" si="107"/>
        <v>0.50600000000000001</v>
      </c>
      <c r="L965" t="str">
        <f t="shared" si="108"/>
        <v>Normal</v>
      </c>
      <c r="M965" t="str">
        <f t="shared" si="109"/>
        <v>Standard</v>
      </c>
      <c r="N965" t="str">
        <f t="shared" si="110"/>
        <v>Tier 2</v>
      </c>
      <c r="O965">
        <f t="shared" si="111"/>
        <v>0</v>
      </c>
    </row>
    <row r="966" spans="1:15" x14ac:dyDescent="0.2">
      <c r="A966">
        <v>52</v>
      </c>
      <c r="B966" t="str" cm="1">
        <f t="array" ref="B966">_xlfn.IFS(A966&lt;=25,"18-25", A966&lt;=35,"26-35", A966&lt;=45,"36-45", A966&lt;=55,"46-55", A966&lt;=64,"56-64")</f>
        <v>46-55</v>
      </c>
      <c r="C966" t="s">
        <v>10</v>
      </c>
      <c r="D966">
        <v>36.765000000000001</v>
      </c>
      <c r="E966">
        <v>2</v>
      </c>
      <c r="F966" t="s">
        <v>11</v>
      </c>
      <c r="G966" t="s">
        <v>54</v>
      </c>
      <c r="H966" s="2">
        <v>26467.09737</v>
      </c>
      <c r="I966" s="2">
        <f t="shared" si="105"/>
        <v>8822.3657899999998</v>
      </c>
      <c r="J966" t="str">
        <f t="shared" si="106"/>
        <v>High</v>
      </c>
      <c r="K966" s="1">
        <f t="shared" si="107"/>
        <v>0.86</v>
      </c>
      <c r="L966" t="str">
        <f t="shared" si="108"/>
        <v>Obese</v>
      </c>
      <c r="M966" t="str">
        <f t="shared" si="109"/>
        <v>Standard</v>
      </c>
      <c r="N966" t="str">
        <f t="shared" si="110"/>
        <v>Tier 4</v>
      </c>
      <c r="O966">
        <f t="shared" si="111"/>
        <v>2</v>
      </c>
    </row>
    <row r="967" spans="1:15" x14ac:dyDescent="0.2">
      <c r="A967">
        <v>35</v>
      </c>
      <c r="B967" t="str" cm="1">
        <f t="array" ref="B967">_xlfn.IFS(A967&lt;=25,"18-25", A967&lt;=35,"26-35", A967&lt;=45,"36-45", A967&lt;=55,"46-55", A967&lt;=64,"56-64")</f>
        <v>26-35</v>
      </c>
      <c r="C967" t="s">
        <v>10</v>
      </c>
      <c r="D967">
        <v>27.1</v>
      </c>
      <c r="E967">
        <v>1</v>
      </c>
      <c r="F967" t="s">
        <v>11</v>
      </c>
      <c r="G967" t="s">
        <v>52</v>
      </c>
      <c r="H967" s="2">
        <v>4746.3440000000001</v>
      </c>
      <c r="I967" s="2">
        <f t="shared" si="105"/>
        <v>2373.172</v>
      </c>
      <c r="J967" t="str">
        <f t="shared" si="106"/>
        <v>Low</v>
      </c>
      <c r="K967" s="1">
        <f t="shared" si="107"/>
        <v>0.25</v>
      </c>
      <c r="L967" t="str">
        <f t="shared" si="108"/>
        <v>Overweight</v>
      </c>
      <c r="M967" t="str">
        <f t="shared" si="109"/>
        <v>Standard</v>
      </c>
      <c r="N967" t="str">
        <f t="shared" si="110"/>
        <v>Tier 3</v>
      </c>
      <c r="O967">
        <f t="shared" si="111"/>
        <v>1</v>
      </c>
    </row>
    <row r="968" spans="1:15" x14ac:dyDescent="0.2">
      <c r="A968">
        <v>51</v>
      </c>
      <c r="B968" t="str" cm="1">
        <f t="array" ref="B968">_xlfn.IFS(A968&lt;=25,"18-25", A968&lt;=35,"26-35", A968&lt;=45,"36-45", A968&lt;=55,"46-55", A968&lt;=64,"56-64")</f>
        <v>46-55</v>
      </c>
      <c r="C968" t="s">
        <v>10</v>
      </c>
      <c r="D968">
        <v>24.795000000000002</v>
      </c>
      <c r="E968">
        <v>2</v>
      </c>
      <c r="F968" t="s">
        <v>8</v>
      </c>
      <c r="G968" t="s">
        <v>54</v>
      </c>
      <c r="H968" s="2">
        <v>23967.38305</v>
      </c>
      <c r="I968" s="2">
        <f t="shared" si="105"/>
        <v>7989.1276833333332</v>
      </c>
      <c r="J968" t="str">
        <f t="shared" si="106"/>
        <v>High</v>
      </c>
      <c r="K968" s="1">
        <f t="shared" si="107"/>
        <v>0.83699999999999997</v>
      </c>
      <c r="L968" t="str">
        <f t="shared" si="108"/>
        <v>Normal</v>
      </c>
      <c r="M968" t="str">
        <f t="shared" si="109"/>
        <v>High Risk</v>
      </c>
      <c r="N968" t="str">
        <f t="shared" si="110"/>
        <v>Tier 4</v>
      </c>
      <c r="O968">
        <f t="shared" si="111"/>
        <v>3</v>
      </c>
    </row>
    <row r="969" spans="1:15" x14ac:dyDescent="0.2">
      <c r="A969">
        <v>44</v>
      </c>
      <c r="B969" t="str" cm="1">
        <f t="array" ref="B969">_xlfn.IFS(A969&lt;=25,"18-25", A969&lt;=35,"26-35", A969&lt;=45,"36-45", A969&lt;=55,"46-55", A969&lt;=64,"56-64")</f>
        <v>36-45</v>
      </c>
      <c r="C969" t="s">
        <v>10</v>
      </c>
      <c r="D969">
        <v>25.364999999999998</v>
      </c>
      <c r="E969">
        <v>1</v>
      </c>
      <c r="F969" t="s">
        <v>11</v>
      </c>
      <c r="G969" t="s">
        <v>54</v>
      </c>
      <c r="H969" s="2">
        <v>7518.0253499999999</v>
      </c>
      <c r="I969" s="2">
        <f t="shared" si="105"/>
        <v>3759.0126749999999</v>
      </c>
      <c r="J969" t="str">
        <f t="shared" si="106"/>
        <v>Low</v>
      </c>
      <c r="K969" s="1">
        <f t="shared" si="107"/>
        <v>0.40699999999999997</v>
      </c>
      <c r="L969" t="str">
        <f t="shared" si="108"/>
        <v>Overweight</v>
      </c>
      <c r="M969" t="str">
        <f t="shared" si="109"/>
        <v>Standard</v>
      </c>
      <c r="N969" t="str">
        <f t="shared" si="110"/>
        <v>Tier 4</v>
      </c>
      <c r="O969">
        <f t="shared" si="111"/>
        <v>1</v>
      </c>
    </row>
    <row r="970" spans="1:15" x14ac:dyDescent="0.2">
      <c r="A970">
        <v>21</v>
      </c>
      <c r="B970" t="str" cm="1">
        <f t="array" ref="B970">_xlfn.IFS(A970&lt;=25,"18-25", A970&lt;=35,"26-35", A970&lt;=45,"36-45", A970&lt;=55,"46-55", A970&lt;=64,"56-64")</f>
        <v>18-25</v>
      </c>
      <c r="C970" t="s">
        <v>10</v>
      </c>
      <c r="D970">
        <v>25.745000000000001</v>
      </c>
      <c r="E970">
        <v>2</v>
      </c>
      <c r="F970" t="s">
        <v>11</v>
      </c>
      <c r="G970" t="s">
        <v>53</v>
      </c>
      <c r="H970" s="2">
        <v>3279.8685500000001</v>
      </c>
      <c r="I970" s="2">
        <f t="shared" si="105"/>
        <v>1093.2895166666667</v>
      </c>
      <c r="J970" t="str">
        <f t="shared" si="106"/>
        <v>Low</v>
      </c>
      <c r="K970" s="1">
        <f t="shared" si="107"/>
        <v>0.16</v>
      </c>
      <c r="L970" t="str">
        <f t="shared" si="108"/>
        <v>Overweight</v>
      </c>
      <c r="M970" t="str">
        <f t="shared" si="109"/>
        <v>Standard</v>
      </c>
      <c r="N970" t="str">
        <f t="shared" si="110"/>
        <v>Tier 2</v>
      </c>
      <c r="O970">
        <f t="shared" si="111"/>
        <v>1</v>
      </c>
    </row>
    <row r="971" spans="1:15" x14ac:dyDescent="0.2">
      <c r="A971">
        <v>39</v>
      </c>
      <c r="B971" t="str" cm="1">
        <f t="array" ref="B971">_xlfn.IFS(A971&lt;=25,"18-25", A971&lt;=35,"26-35", A971&lt;=45,"36-45", A971&lt;=55,"46-55", A971&lt;=64,"56-64")</f>
        <v>36-45</v>
      </c>
      <c r="C971" t="s">
        <v>7</v>
      </c>
      <c r="D971">
        <v>34.32</v>
      </c>
      <c r="E971">
        <v>5</v>
      </c>
      <c r="F971" t="s">
        <v>11</v>
      </c>
      <c r="G971" t="s">
        <v>51</v>
      </c>
      <c r="H971" s="2">
        <v>8596.8277999999991</v>
      </c>
      <c r="I971" s="2">
        <f t="shared" si="105"/>
        <v>1432.8046333333332</v>
      </c>
      <c r="J971" t="str">
        <f t="shared" si="106"/>
        <v>Low</v>
      </c>
      <c r="K971" s="1">
        <f t="shared" si="107"/>
        <v>0.46200000000000002</v>
      </c>
      <c r="L971" t="str">
        <f t="shared" si="108"/>
        <v>Obese</v>
      </c>
      <c r="M971" t="str">
        <f t="shared" si="109"/>
        <v>Standard</v>
      </c>
      <c r="N971" t="str">
        <f t="shared" si="110"/>
        <v>Tier 1</v>
      </c>
      <c r="O971">
        <f t="shared" si="111"/>
        <v>3</v>
      </c>
    </row>
    <row r="972" spans="1:15" x14ac:dyDescent="0.2">
      <c r="A972">
        <v>50</v>
      </c>
      <c r="B972" t="str" cm="1">
        <f t="array" ref="B972">_xlfn.IFS(A972&lt;=25,"18-25", A972&lt;=35,"26-35", A972&lt;=45,"36-45", A972&lt;=55,"46-55", A972&lt;=64,"56-64")</f>
        <v>46-55</v>
      </c>
      <c r="C972" t="s">
        <v>7</v>
      </c>
      <c r="D972">
        <v>28.16</v>
      </c>
      <c r="E972">
        <v>3</v>
      </c>
      <c r="F972" t="s">
        <v>11</v>
      </c>
      <c r="G972" t="s">
        <v>51</v>
      </c>
      <c r="H972" s="2">
        <v>10702.642400000001</v>
      </c>
      <c r="I972" s="2">
        <f t="shared" si="105"/>
        <v>2675.6606000000002</v>
      </c>
      <c r="J972" t="str">
        <f t="shared" si="106"/>
        <v>Low</v>
      </c>
      <c r="K972" s="1">
        <f t="shared" si="107"/>
        <v>0.56100000000000005</v>
      </c>
      <c r="L972" t="str">
        <f t="shared" si="108"/>
        <v>Overweight</v>
      </c>
      <c r="M972" t="str">
        <f t="shared" si="109"/>
        <v>Standard</v>
      </c>
      <c r="N972" t="str">
        <f t="shared" si="110"/>
        <v>Tier 1</v>
      </c>
      <c r="O972">
        <f t="shared" si="111"/>
        <v>2</v>
      </c>
    </row>
    <row r="973" spans="1:15" x14ac:dyDescent="0.2">
      <c r="A973">
        <v>34</v>
      </c>
      <c r="B973" t="str" cm="1">
        <f t="array" ref="B973">_xlfn.IFS(A973&lt;=25,"18-25", A973&lt;=35,"26-35", A973&lt;=45,"36-45", A973&lt;=55,"46-55", A973&lt;=64,"56-64")</f>
        <v>26-35</v>
      </c>
      <c r="C973" t="s">
        <v>7</v>
      </c>
      <c r="D973">
        <v>23.56</v>
      </c>
      <c r="E973">
        <v>0</v>
      </c>
      <c r="F973" t="s">
        <v>11</v>
      </c>
      <c r="G973" t="s">
        <v>53</v>
      </c>
      <c r="H973" s="2">
        <v>4992.3764000000001</v>
      </c>
      <c r="I973" s="2">
        <f t="shared" si="105"/>
        <v>4992.3764000000001</v>
      </c>
      <c r="J973" t="str">
        <f t="shared" si="106"/>
        <v>Low</v>
      </c>
      <c r="K973" s="1">
        <f t="shared" si="107"/>
        <v>0.26700000000000002</v>
      </c>
      <c r="L973" t="str">
        <f t="shared" si="108"/>
        <v>Normal</v>
      </c>
      <c r="M973" t="str">
        <f t="shared" si="109"/>
        <v>Standard</v>
      </c>
      <c r="N973" t="str">
        <f t="shared" si="110"/>
        <v>Tier 2</v>
      </c>
      <c r="O973">
        <f t="shared" si="111"/>
        <v>0</v>
      </c>
    </row>
    <row r="974" spans="1:15" x14ac:dyDescent="0.2">
      <c r="A974">
        <v>22</v>
      </c>
      <c r="B974" t="str" cm="1">
        <f t="array" ref="B974">_xlfn.IFS(A974&lt;=25,"18-25", A974&lt;=35,"26-35", A974&lt;=45,"36-45", A974&lt;=55,"46-55", A974&lt;=64,"56-64")</f>
        <v>18-25</v>
      </c>
      <c r="C974" t="s">
        <v>7</v>
      </c>
      <c r="D974">
        <v>20.234999999999999</v>
      </c>
      <c r="E974">
        <v>0</v>
      </c>
      <c r="F974" t="s">
        <v>11</v>
      </c>
      <c r="G974" t="s">
        <v>54</v>
      </c>
      <c r="H974" s="2">
        <v>2527.8186500000002</v>
      </c>
      <c r="I974" s="2">
        <f t="shared" si="105"/>
        <v>2527.8186500000002</v>
      </c>
      <c r="J974" t="str">
        <f t="shared" si="106"/>
        <v>Low</v>
      </c>
      <c r="K974" s="1">
        <f t="shared" si="107"/>
        <v>0.113</v>
      </c>
      <c r="L974" t="str">
        <f t="shared" si="108"/>
        <v>Normal</v>
      </c>
      <c r="M974" t="str">
        <f t="shared" si="109"/>
        <v>Standard</v>
      </c>
      <c r="N974" t="str">
        <f t="shared" si="110"/>
        <v>Tier 4</v>
      </c>
      <c r="O974">
        <f t="shared" si="111"/>
        <v>0</v>
      </c>
    </row>
    <row r="975" spans="1:15" x14ac:dyDescent="0.2">
      <c r="A975">
        <v>19</v>
      </c>
      <c r="B975" t="str" cm="1">
        <f t="array" ref="B975">_xlfn.IFS(A975&lt;=25,"18-25", A975&lt;=35,"26-35", A975&lt;=45,"36-45", A975&lt;=55,"46-55", A975&lt;=64,"56-64")</f>
        <v>18-25</v>
      </c>
      <c r="C975" t="s">
        <v>7</v>
      </c>
      <c r="D975">
        <v>40.5</v>
      </c>
      <c r="E975">
        <v>0</v>
      </c>
      <c r="F975" t="s">
        <v>11</v>
      </c>
      <c r="G975" t="s">
        <v>52</v>
      </c>
      <c r="H975" s="2">
        <v>1759.338</v>
      </c>
      <c r="I975" s="2">
        <f t="shared" si="105"/>
        <v>1759.338</v>
      </c>
      <c r="J975" t="str">
        <f t="shared" si="106"/>
        <v>Low</v>
      </c>
      <c r="K975" s="1">
        <f t="shared" si="107"/>
        <v>0.05</v>
      </c>
      <c r="L975" t="str">
        <f t="shared" si="108"/>
        <v>Obese</v>
      </c>
      <c r="M975" t="str">
        <f t="shared" si="109"/>
        <v>Standard</v>
      </c>
      <c r="N975" t="str">
        <f t="shared" si="110"/>
        <v>Tier 3</v>
      </c>
      <c r="O975">
        <f t="shared" si="111"/>
        <v>2</v>
      </c>
    </row>
    <row r="976" spans="1:15" x14ac:dyDescent="0.2">
      <c r="A976">
        <v>26</v>
      </c>
      <c r="B976" t="str" cm="1">
        <f t="array" ref="B976">_xlfn.IFS(A976&lt;=25,"18-25", A976&lt;=35,"26-35", A976&lt;=45,"36-45", A976&lt;=55,"46-55", A976&lt;=64,"56-64")</f>
        <v>26-35</v>
      </c>
      <c r="C976" t="s">
        <v>10</v>
      </c>
      <c r="D976">
        <v>35.42</v>
      </c>
      <c r="E976">
        <v>0</v>
      </c>
      <c r="F976" t="s">
        <v>11</v>
      </c>
      <c r="G976" t="s">
        <v>51</v>
      </c>
      <c r="H976" s="2">
        <v>2322.6217999999999</v>
      </c>
      <c r="I976" s="2">
        <f t="shared" si="105"/>
        <v>2322.6217999999999</v>
      </c>
      <c r="J976" t="str">
        <f t="shared" si="106"/>
        <v>Low</v>
      </c>
      <c r="K976" s="1">
        <f t="shared" si="107"/>
        <v>9.8000000000000004E-2</v>
      </c>
      <c r="L976" t="str">
        <f t="shared" si="108"/>
        <v>Obese</v>
      </c>
      <c r="M976" t="str">
        <f t="shared" si="109"/>
        <v>Standard</v>
      </c>
      <c r="N976" t="str">
        <f t="shared" si="110"/>
        <v>Tier 1</v>
      </c>
      <c r="O976">
        <f t="shared" si="111"/>
        <v>3</v>
      </c>
    </row>
    <row r="977" spans="1:15" x14ac:dyDescent="0.2">
      <c r="A977">
        <v>29</v>
      </c>
      <c r="B977" t="str" cm="1">
        <f t="array" ref="B977">_xlfn.IFS(A977&lt;=25,"18-25", A977&lt;=35,"26-35", A977&lt;=45,"36-45", A977&lt;=55,"46-55", A977&lt;=64,"56-64")</f>
        <v>26-35</v>
      </c>
      <c r="C977" t="s">
        <v>10</v>
      </c>
      <c r="D977">
        <v>22.895</v>
      </c>
      <c r="E977">
        <v>0</v>
      </c>
      <c r="F977" t="s">
        <v>8</v>
      </c>
      <c r="G977" t="s">
        <v>53</v>
      </c>
      <c r="H977" s="2">
        <v>16138.762049999999</v>
      </c>
      <c r="I977" s="2">
        <f t="shared" si="105"/>
        <v>16138.762049999999</v>
      </c>
      <c r="J977" t="str">
        <f t="shared" si="106"/>
        <v>High</v>
      </c>
      <c r="K977" s="1">
        <f t="shared" si="107"/>
        <v>0.74399999999999999</v>
      </c>
      <c r="L977" t="str">
        <f t="shared" si="108"/>
        <v>Normal</v>
      </c>
      <c r="M977" t="str">
        <f t="shared" si="109"/>
        <v>High Risk</v>
      </c>
      <c r="N977" t="str">
        <f t="shared" si="110"/>
        <v>Tier 2</v>
      </c>
      <c r="O977">
        <f t="shared" si="111"/>
        <v>3</v>
      </c>
    </row>
    <row r="978" spans="1:15" x14ac:dyDescent="0.2">
      <c r="A978">
        <v>48</v>
      </c>
      <c r="B978" t="str" cm="1">
        <f t="array" ref="B978">_xlfn.IFS(A978&lt;=25,"18-25", A978&lt;=35,"26-35", A978&lt;=45,"36-45", A978&lt;=55,"46-55", A978&lt;=64,"56-64")</f>
        <v>46-55</v>
      </c>
      <c r="C978" t="s">
        <v>10</v>
      </c>
      <c r="D978">
        <v>40.15</v>
      </c>
      <c r="E978">
        <v>0</v>
      </c>
      <c r="F978" t="s">
        <v>11</v>
      </c>
      <c r="G978" t="s">
        <v>51</v>
      </c>
      <c r="H978" s="2">
        <v>7804.1605</v>
      </c>
      <c r="I978" s="2">
        <f t="shared" si="105"/>
        <v>7804.1605</v>
      </c>
      <c r="J978" t="str">
        <f t="shared" si="106"/>
        <v>Low</v>
      </c>
      <c r="K978" s="1">
        <f t="shared" si="107"/>
        <v>0.42199999999999999</v>
      </c>
      <c r="L978" t="str">
        <f t="shared" si="108"/>
        <v>Obese</v>
      </c>
      <c r="M978" t="str">
        <f t="shared" si="109"/>
        <v>Standard</v>
      </c>
      <c r="N978" t="str">
        <f t="shared" si="110"/>
        <v>Tier 1</v>
      </c>
      <c r="O978">
        <f t="shared" si="111"/>
        <v>3</v>
      </c>
    </row>
    <row r="979" spans="1:15" x14ac:dyDescent="0.2">
      <c r="A979">
        <v>26</v>
      </c>
      <c r="B979" t="str" cm="1">
        <f t="array" ref="B979">_xlfn.IFS(A979&lt;=25,"18-25", A979&lt;=35,"26-35", A979&lt;=45,"36-45", A979&lt;=55,"46-55", A979&lt;=64,"56-64")</f>
        <v>26-35</v>
      </c>
      <c r="C979" t="s">
        <v>10</v>
      </c>
      <c r="D979">
        <v>29.15</v>
      </c>
      <c r="E979">
        <v>1</v>
      </c>
      <c r="F979" t="s">
        <v>11</v>
      </c>
      <c r="G979" t="s">
        <v>51</v>
      </c>
      <c r="H979" s="2">
        <v>2902.9065000000001</v>
      </c>
      <c r="I979" s="2">
        <f t="shared" si="105"/>
        <v>1451.45325</v>
      </c>
      <c r="J979" t="str">
        <f t="shared" si="106"/>
        <v>Low</v>
      </c>
      <c r="K979" s="1">
        <f t="shared" si="107"/>
        <v>0.13900000000000001</v>
      </c>
      <c r="L979" t="str">
        <f t="shared" si="108"/>
        <v>Overweight</v>
      </c>
      <c r="M979" t="str">
        <f t="shared" si="109"/>
        <v>Standard</v>
      </c>
      <c r="N979" t="str">
        <f t="shared" si="110"/>
        <v>Tier 1</v>
      </c>
      <c r="O979">
        <f t="shared" si="111"/>
        <v>2</v>
      </c>
    </row>
    <row r="980" spans="1:15" x14ac:dyDescent="0.2">
      <c r="A980">
        <v>45</v>
      </c>
      <c r="B980" t="str" cm="1">
        <f t="array" ref="B980">_xlfn.IFS(A980&lt;=25,"18-25", A980&lt;=35,"26-35", A980&lt;=45,"36-45", A980&lt;=55,"46-55", A980&lt;=64,"56-64")</f>
        <v>36-45</v>
      </c>
      <c r="C980" t="s">
        <v>7</v>
      </c>
      <c r="D980">
        <v>39.994999999999997</v>
      </c>
      <c r="E980">
        <v>3</v>
      </c>
      <c r="F980" t="s">
        <v>11</v>
      </c>
      <c r="G980" t="s">
        <v>53</v>
      </c>
      <c r="H980" s="2">
        <v>9704.6680500000002</v>
      </c>
      <c r="I980" s="2">
        <f t="shared" si="105"/>
        <v>2426.1670125000001</v>
      </c>
      <c r="J980" t="str">
        <f t="shared" si="106"/>
        <v>Low</v>
      </c>
      <c r="K980" s="1">
        <f t="shared" si="107"/>
        <v>0.51600000000000001</v>
      </c>
      <c r="L980" t="str">
        <f t="shared" si="108"/>
        <v>Obese</v>
      </c>
      <c r="M980" t="str">
        <f t="shared" si="109"/>
        <v>Standard</v>
      </c>
      <c r="N980" t="str">
        <f t="shared" si="110"/>
        <v>Tier 2</v>
      </c>
      <c r="O980">
        <f t="shared" si="111"/>
        <v>2</v>
      </c>
    </row>
    <row r="981" spans="1:15" x14ac:dyDescent="0.2">
      <c r="A981">
        <v>36</v>
      </c>
      <c r="B981" t="str" cm="1">
        <f t="array" ref="B981">_xlfn.IFS(A981&lt;=25,"18-25", A981&lt;=35,"26-35", A981&lt;=45,"36-45", A981&lt;=55,"46-55", A981&lt;=64,"56-64")</f>
        <v>36-45</v>
      </c>
      <c r="C981" t="s">
        <v>7</v>
      </c>
      <c r="D981">
        <v>29.92</v>
      </c>
      <c r="E981">
        <v>0</v>
      </c>
      <c r="F981" t="s">
        <v>11</v>
      </c>
      <c r="G981" t="s">
        <v>51</v>
      </c>
      <c r="H981" s="2">
        <v>4889.0367999999999</v>
      </c>
      <c r="I981" s="2">
        <f t="shared" si="105"/>
        <v>4889.0367999999999</v>
      </c>
      <c r="J981" t="str">
        <f t="shared" si="106"/>
        <v>Low</v>
      </c>
      <c r="K981" s="1">
        <f t="shared" si="107"/>
        <v>0.26100000000000001</v>
      </c>
      <c r="L981" t="str">
        <f t="shared" si="108"/>
        <v>Overweight</v>
      </c>
      <c r="M981" t="str">
        <f t="shared" si="109"/>
        <v>Standard</v>
      </c>
      <c r="N981" t="str">
        <f t="shared" si="110"/>
        <v>Tier 1</v>
      </c>
      <c r="O981">
        <f t="shared" si="111"/>
        <v>2</v>
      </c>
    </row>
    <row r="982" spans="1:15" x14ac:dyDescent="0.2">
      <c r="A982">
        <v>54</v>
      </c>
      <c r="B982" t="str" cm="1">
        <f t="array" ref="B982">_xlfn.IFS(A982&lt;=25,"18-25", A982&lt;=35,"26-35", A982&lt;=45,"36-45", A982&lt;=55,"46-55", A982&lt;=64,"56-64")</f>
        <v>46-55</v>
      </c>
      <c r="C982" t="s">
        <v>10</v>
      </c>
      <c r="D982">
        <v>25.46</v>
      </c>
      <c r="E982">
        <v>1</v>
      </c>
      <c r="F982" t="s">
        <v>11</v>
      </c>
      <c r="G982" t="s">
        <v>53</v>
      </c>
      <c r="H982" s="2">
        <v>25517.11363</v>
      </c>
      <c r="I982" s="2">
        <f t="shared" si="105"/>
        <v>12758.556815</v>
      </c>
      <c r="J982" t="str">
        <f t="shared" si="106"/>
        <v>High</v>
      </c>
      <c r="K982" s="1">
        <f t="shared" si="107"/>
        <v>0.85299999999999998</v>
      </c>
      <c r="L982" t="str">
        <f t="shared" si="108"/>
        <v>Overweight</v>
      </c>
      <c r="M982" t="str">
        <f t="shared" si="109"/>
        <v>Standard</v>
      </c>
      <c r="N982" t="str">
        <f t="shared" si="110"/>
        <v>Tier 2</v>
      </c>
      <c r="O982">
        <f t="shared" si="111"/>
        <v>1</v>
      </c>
    </row>
    <row r="983" spans="1:15" x14ac:dyDescent="0.2">
      <c r="A983">
        <v>34</v>
      </c>
      <c r="B983" t="str" cm="1">
        <f t="array" ref="B983">_xlfn.IFS(A983&lt;=25,"18-25", A983&lt;=35,"26-35", A983&lt;=45,"36-45", A983&lt;=55,"46-55", A983&lt;=64,"56-64")</f>
        <v>26-35</v>
      </c>
      <c r="C983" t="s">
        <v>10</v>
      </c>
      <c r="D983">
        <v>21.375</v>
      </c>
      <c r="E983">
        <v>0</v>
      </c>
      <c r="F983" t="s">
        <v>11</v>
      </c>
      <c r="G983" t="s">
        <v>53</v>
      </c>
      <c r="H983" s="2">
        <v>4500.33925</v>
      </c>
      <c r="I983" s="2">
        <f t="shared" si="105"/>
        <v>4500.33925</v>
      </c>
      <c r="J983" t="str">
        <f t="shared" si="106"/>
        <v>Low</v>
      </c>
      <c r="K983" s="1">
        <f t="shared" si="107"/>
        <v>0.23300000000000001</v>
      </c>
      <c r="L983" t="str">
        <f t="shared" si="108"/>
        <v>Normal</v>
      </c>
      <c r="M983" t="str">
        <f t="shared" si="109"/>
        <v>Standard</v>
      </c>
      <c r="N983" t="str">
        <f t="shared" si="110"/>
        <v>Tier 2</v>
      </c>
      <c r="O983">
        <f t="shared" si="111"/>
        <v>0</v>
      </c>
    </row>
    <row r="984" spans="1:15" x14ac:dyDescent="0.2">
      <c r="A984">
        <v>31</v>
      </c>
      <c r="B984" t="str" cm="1">
        <f t="array" ref="B984">_xlfn.IFS(A984&lt;=25,"18-25", A984&lt;=35,"26-35", A984&lt;=45,"36-45", A984&lt;=55,"46-55", A984&lt;=64,"56-64")</f>
        <v>26-35</v>
      </c>
      <c r="C984" t="s">
        <v>10</v>
      </c>
      <c r="D984">
        <v>25.9</v>
      </c>
      <c r="E984">
        <v>3</v>
      </c>
      <c r="F984" t="s">
        <v>8</v>
      </c>
      <c r="G984" t="s">
        <v>52</v>
      </c>
      <c r="H984" s="2">
        <v>19199.944</v>
      </c>
      <c r="I984" s="2">
        <f t="shared" si="105"/>
        <v>4799.9859999999999</v>
      </c>
      <c r="J984" t="str">
        <f t="shared" si="106"/>
        <v>High</v>
      </c>
      <c r="K984" s="1">
        <f t="shared" si="107"/>
        <v>0.78300000000000003</v>
      </c>
      <c r="L984" t="str">
        <f t="shared" si="108"/>
        <v>Overweight</v>
      </c>
      <c r="M984" t="str">
        <f t="shared" si="109"/>
        <v>High Risk</v>
      </c>
      <c r="N984" t="str">
        <f t="shared" si="110"/>
        <v>Tier 3</v>
      </c>
      <c r="O984">
        <f t="shared" si="111"/>
        <v>4</v>
      </c>
    </row>
    <row r="985" spans="1:15" x14ac:dyDescent="0.2">
      <c r="A985">
        <v>27</v>
      </c>
      <c r="B985" t="str" cm="1">
        <f t="array" ref="B985">_xlfn.IFS(A985&lt;=25,"18-25", A985&lt;=35,"26-35", A985&lt;=45,"36-45", A985&lt;=55,"46-55", A985&lt;=64,"56-64")</f>
        <v>26-35</v>
      </c>
      <c r="C985" t="s">
        <v>7</v>
      </c>
      <c r="D985">
        <v>30.59</v>
      </c>
      <c r="E985">
        <v>1</v>
      </c>
      <c r="F985" t="s">
        <v>11</v>
      </c>
      <c r="G985" t="s">
        <v>53</v>
      </c>
      <c r="H985" s="2">
        <v>16796.411940000002</v>
      </c>
      <c r="I985" s="2">
        <f t="shared" si="105"/>
        <v>8398.2059700000009</v>
      </c>
      <c r="J985" t="str">
        <f t="shared" si="106"/>
        <v>High</v>
      </c>
      <c r="K985" s="1">
        <f t="shared" si="107"/>
        <v>0.751</v>
      </c>
      <c r="L985" t="str">
        <f t="shared" si="108"/>
        <v>Obese</v>
      </c>
      <c r="M985" t="str">
        <f t="shared" si="109"/>
        <v>Standard</v>
      </c>
      <c r="N985" t="str">
        <f t="shared" si="110"/>
        <v>Tier 2</v>
      </c>
      <c r="O985">
        <f t="shared" si="111"/>
        <v>2</v>
      </c>
    </row>
    <row r="986" spans="1:15" x14ac:dyDescent="0.2">
      <c r="A986">
        <v>20</v>
      </c>
      <c r="B986" t="str" cm="1">
        <f t="array" ref="B986">_xlfn.IFS(A986&lt;=25,"18-25", A986&lt;=35,"26-35", A986&lt;=45,"36-45", A986&lt;=55,"46-55", A986&lt;=64,"56-64")</f>
        <v>18-25</v>
      </c>
      <c r="C986" t="s">
        <v>10</v>
      </c>
      <c r="D986">
        <v>30.114999999999998</v>
      </c>
      <c r="E986">
        <v>5</v>
      </c>
      <c r="F986" t="s">
        <v>11</v>
      </c>
      <c r="G986" t="s">
        <v>53</v>
      </c>
      <c r="H986" s="2">
        <v>4915.0598499999996</v>
      </c>
      <c r="I986" s="2">
        <f t="shared" si="105"/>
        <v>819.17664166666657</v>
      </c>
      <c r="J986" t="str">
        <f t="shared" si="106"/>
        <v>Low</v>
      </c>
      <c r="K986" s="1">
        <f t="shared" si="107"/>
        <v>0.26400000000000001</v>
      </c>
      <c r="L986" t="str">
        <f t="shared" si="108"/>
        <v>Obese</v>
      </c>
      <c r="M986" t="str">
        <f t="shared" si="109"/>
        <v>Standard</v>
      </c>
      <c r="N986" t="str">
        <f t="shared" si="110"/>
        <v>Tier 2</v>
      </c>
      <c r="O986">
        <f t="shared" si="111"/>
        <v>2</v>
      </c>
    </row>
    <row r="987" spans="1:15" x14ac:dyDescent="0.2">
      <c r="A987">
        <v>44</v>
      </c>
      <c r="B987" t="str" cm="1">
        <f t="array" ref="B987">_xlfn.IFS(A987&lt;=25,"18-25", A987&lt;=35,"26-35", A987&lt;=45,"36-45", A987&lt;=55,"46-55", A987&lt;=64,"56-64")</f>
        <v>36-45</v>
      </c>
      <c r="C987" t="s">
        <v>7</v>
      </c>
      <c r="D987">
        <v>25.8</v>
      </c>
      <c r="E987">
        <v>1</v>
      </c>
      <c r="F987" t="s">
        <v>11</v>
      </c>
      <c r="G987" t="s">
        <v>52</v>
      </c>
      <c r="H987" s="2">
        <v>7624.63</v>
      </c>
      <c r="I987" s="2">
        <f t="shared" si="105"/>
        <v>3812.3150000000001</v>
      </c>
      <c r="J987" t="str">
        <f t="shared" si="106"/>
        <v>Low</v>
      </c>
      <c r="K987" s="1">
        <f t="shared" si="107"/>
        <v>0.41</v>
      </c>
      <c r="L987" t="str">
        <f t="shared" si="108"/>
        <v>Overweight</v>
      </c>
      <c r="M987" t="str">
        <f t="shared" si="109"/>
        <v>Standard</v>
      </c>
      <c r="N987" t="str">
        <f t="shared" si="110"/>
        <v>Tier 3</v>
      </c>
      <c r="O987">
        <f t="shared" si="111"/>
        <v>1</v>
      </c>
    </row>
    <row r="988" spans="1:15" x14ac:dyDescent="0.2">
      <c r="A988">
        <v>43</v>
      </c>
      <c r="B988" t="str" cm="1">
        <f t="array" ref="B988">_xlfn.IFS(A988&lt;=25,"18-25", A988&lt;=35,"26-35", A988&lt;=45,"36-45", A988&lt;=55,"46-55", A988&lt;=64,"56-64")</f>
        <v>36-45</v>
      </c>
      <c r="C988" t="s">
        <v>10</v>
      </c>
      <c r="D988">
        <v>30.114999999999998</v>
      </c>
      <c r="E988">
        <v>3</v>
      </c>
      <c r="F988" t="s">
        <v>11</v>
      </c>
      <c r="G988" t="s">
        <v>54</v>
      </c>
      <c r="H988" s="2">
        <v>8410.0468500000006</v>
      </c>
      <c r="I988" s="2">
        <f t="shared" si="105"/>
        <v>2102.5117125000002</v>
      </c>
      <c r="J988" t="str">
        <f t="shared" si="106"/>
        <v>Low</v>
      </c>
      <c r="K988" s="1">
        <f t="shared" si="107"/>
        <v>0.44800000000000001</v>
      </c>
      <c r="L988" t="str">
        <f t="shared" si="108"/>
        <v>Obese</v>
      </c>
      <c r="M988" t="str">
        <f t="shared" si="109"/>
        <v>Standard</v>
      </c>
      <c r="N988" t="str">
        <f t="shared" si="110"/>
        <v>Tier 4</v>
      </c>
      <c r="O988">
        <f t="shared" si="111"/>
        <v>2</v>
      </c>
    </row>
    <row r="989" spans="1:15" x14ac:dyDescent="0.2">
      <c r="A989">
        <v>45</v>
      </c>
      <c r="B989" t="str" cm="1">
        <f t="array" ref="B989">_xlfn.IFS(A989&lt;=25,"18-25", A989&lt;=35,"26-35", A989&lt;=45,"36-45", A989&lt;=55,"46-55", A989&lt;=64,"56-64")</f>
        <v>36-45</v>
      </c>
      <c r="C989" t="s">
        <v>7</v>
      </c>
      <c r="D989">
        <v>27.645</v>
      </c>
      <c r="E989">
        <v>1</v>
      </c>
      <c r="F989" t="s">
        <v>11</v>
      </c>
      <c r="G989" t="s">
        <v>54</v>
      </c>
      <c r="H989" s="2">
        <v>28340.188849999999</v>
      </c>
      <c r="I989" s="2">
        <f t="shared" si="105"/>
        <v>14170.094424999999</v>
      </c>
      <c r="J989" t="str">
        <f t="shared" si="106"/>
        <v>High</v>
      </c>
      <c r="K989" s="1">
        <f t="shared" si="107"/>
        <v>0.872</v>
      </c>
      <c r="L989" t="str">
        <f t="shared" si="108"/>
        <v>Overweight</v>
      </c>
      <c r="M989" t="str">
        <f t="shared" si="109"/>
        <v>Standard</v>
      </c>
      <c r="N989" t="str">
        <f t="shared" si="110"/>
        <v>Tier 4</v>
      </c>
      <c r="O989">
        <f t="shared" si="111"/>
        <v>1</v>
      </c>
    </row>
    <row r="990" spans="1:15" x14ac:dyDescent="0.2">
      <c r="A990">
        <v>34</v>
      </c>
      <c r="B990" t="str" cm="1">
        <f t="array" ref="B990">_xlfn.IFS(A990&lt;=25,"18-25", A990&lt;=35,"26-35", A990&lt;=45,"36-45", A990&lt;=55,"46-55", A990&lt;=64,"56-64")</f>
        <v>26-35</v>
      </c>
      <c r="C990" t="s">
        <v>10</v>
      </c>
      <c r="D990">
        <v>34.674999999999997</v>
      </c>
      <c r="E990">
        <v>0</v>
      </c>
      <c r="F990" t="s">
        <v>11</v>
      </c>
      <c r="G990" t="s">
        <v>53</v>
      </c>
      <c r="H990" s="2">
        <v>4518.8262500000001</v>
      </c>
      <c r="I990" s="2">
        <f t="shared" si="105"/>
        <v>4518.8262500000001</v>
      </c>
      <c r="J990" t="str">
        <f t="shared" si="106"/>
        <v>Low</v>
      </c>
      <c r="K990" s="1">
        <f t="shared" si="107"/>
        <v>0.23400000000000001</v>
      </c>
      <c r="L990" t="str">
        <f t="shared" si="108"/>
        <v>Obese</v>
      </c>
      <c r="M990" t="str">
        <f t="shared" si="109"/>
        <v>Standard</v>
      </c>
      <c r="N990" t="str">
        <f t="shared" si="110"/>
        <v>Tier 2</v>
      </c>
      <c r="O990">
        <f t="shared" si="111"/>
        <v>2</v>
      </c>
    </row>
    <row r="991" spans="1:15" x14ac:dyDescent="0.2">
      <c r="A991">
        <v>24</v>
      </c>
      <c r="B991" t="str" cm="1">
        <f t="array" ref="B991">_xlfn.IFS(A991&lt;=25,"18-25", A991&lt;=35,"26-35", A991&lt;=45,"36-45", A991&lt;=55,"46-55", A991&lt;=64,"56-64")</f>
        <v>18-25</v>
      </c>
      <c r="C991" t="s">
        <v>7</v>
      </c>
      <c r="D991">
        <v>20.52</v>
      </c>
      <c r="E991">
        <v>0</v>
      </c>
      <c r="F991" t="s">
        <v>8</v>
      </c>
      <c r="G991" t="s">
        <v>53</v>
      </c>
      <c r="H991" s="2">
        <v>14571.890799999999</v>
      </c>
      <c r="I991" s="2">
        <f t="shared" si="105"/>
        <v>14571.890799999999</v>
      </c>
      <c r="J991" t="str">
        <f t="shared" si="106"/>
        <v>High</v>
      </c>
      <c r="K991" s="1">
        <f t="shared" si="107"/>
        <v>0.72799999999999998</v>
      </c>
      <c r="L991" t="str">
        <f t="shared" si="108"/>
        <v>Normal</v>
      </c>
      <c r="M991" t="str">
        <f t="shared" si="109"/>
        <v>High Risk</v>
      </c>
      <c r="N991" t="str">
        <f t="shared" si="110"/>
        <v>Tier 2</v>
      </c>
      <c r="O991">
        <f t="shared" si="111"/>
        <v>3</v>
      </c>
    </row>
    <row r="992" spans="1:15" x14ac:dyDescent="0.2">
      <c r="A992">
        <v>26</v>
      </c>
      <c r="B992" t="str" cm="1">
        <f t="array" ref="B992">_xlfn.IFS(A992&lt;=25,"18-25", A992&lt;=35,"26-35", A992&lt;=45,"36-45", A992&lt;=55,"46-55", A992&lt;=64,"56-64")</f>
        <v>26-35</v>
      </c>
      <c r="C992" t="s">
        <v>7</v>
      </c>
      <c r="D992">
        <v>19.8</v>
      </c>
      <c r="E992">
        <v>1</v>
      </c>
      <c r="F992" t="s">
        <v>11</v>
      </c>
      <c r="G992" t="s">
        <v>52</v>
      </c>
      <c r="H992" s="2">
        <v>3378.91</v>
      </c>
      <c r="I992" s="2">
        <f t="shared" si="105"/>
        <v>1689.4549999999999</v>
      </c>
      <c r="J992" t="str">
        <f t="shared" si="106"/>
        <v>Low</v>
      </c>
      <c r="K992" s="1">
        <f t="shared" si="107"/>
        <v>0.16400000000000001</v>
      </c>
      <c r="L992" t="str">
        <f t="shared" si="108"/>
        <v>Normal</v>
      </c>
      <c r="M992" t="str">
        <f t="shared" si="109"/>
        <v>Standard</v>
      </c>
      <c r="N992" t="str">
        <f t="shared" si="110"/>
        <v>Tier 3</v>
      </c>
      <c r="O992">
        <f t="shared" si="111"/>
        <v>0</v>
      </c>
    </row>
    <row r="993" spans="1:15" x14ac:dyDescent="0.2">
      <c r="A993">
        <v>38</v>
      </c>
      <c r="B993" t="str" cm="1">
        <f t="array" ref="B993">_xlfn.IFS(A993&lt;=25,"18-25", A993&lt;=35,"26-35", A993&lt;=45,"36-45", A993&lt;=55,"46-55", A993&lt;=64,"56-64")</f>
        <v>36-45</v>
      </c>
      <c r="C993" t="s">
        <v>7</v>
      </c>
      <c r="D993">
        <v>27.835000000000001</v>
      </c>
      <c r="E993">
        <v>2</v>
      </c>
      <c r="F993" t="s">
        <v>11</v>
      </c>
      <c r="G993" t="s">
        <v>53</v>
      </c>
      <c r="H993" s="2">
        <v>7144.86265</v>
      </c>
      <c r="I993" s="2">
        <f t="shared" si="105"/>
        <v>2381.6208833333335</v>
      </c>
      <c r="J993" t="str">
        <f t="shared" si="106"/>
        <v>Low</v>
      </c>
      <c r="K993" s="1">
        <f t="shared" si="107"/>
        <v>0.379</v>
      </c>
      <c r="L993" t="str">
        <f t="shared" si="108"/>
        <v>Overweight</v>
      </c>
      <c r="M993" t="str">
        <f t="shared" si="109"/>
        <v>Standard</v>
      </c>
      <c r="N993" t="str">
        <f t="shared" si="110"/>
        <v>Tier 2</v>
      </c>
      <c r="O993">
        <f t="shared" si="111"/>
        <v>1</v>
      </c>
    </row>
    <row r="994" spans="1:15" x14ac:dyDescent="0.2">
      <c r="A994">
        <v>50</v>
      </c>
      <c r="B994" t="str" cm="1">
        <f t="array" ref="B994">_xlfn.IFS(A994&lt;=25,"18-25", A994&lt;=35,"26-35", A994&lt;=45,"36-45", A994&lt;=55,"46-55", A994&lt;=64,"56-64")</f>
        <v>46-55</v>
      </c>
      <c r="C994" t="s">
        <v>7</v>
      </c>
      <c r="D994">
        <v>31.6</v>
      </c>
      <c r="E994">
        <v>2</v>
      </c>
      <c r="F994" t="s">
        <v>11</v>
      </c>
      <c r="G994" t="s">
        <v>52</v>
      </c>
      <c r="H994" s="2">
        <v>10118.424000000001</v>
      </c>
      <c r="I994" s="2">
        <f t="shared" si="105"/>
        <v>3372.8080000000004</v>
      </c>
      <c r="J994" t="str">
        <f t="shared" si="106"/>
        <v>Low</v>
      </c>
      <c r="K994" s="1">
        <f t="shared" si="107"/>
        <v>0.53800000000000003</v>
      </c>
      <c r="L994" t="str">
        <f t="shared" si="108"/>
        <v>Obese</v>
      </c>
      <c r="M994" t="str">
        <f t="shared" si="109"/>
        <v>Standard</v>
      </c>
      <c r="N994" t="str">
        <f t="shared" si="110"/>
        <v>Tier 3</v>
      </c>
      <c r="O994">
        <f t="shared" si="111"/>
        <v>2</v>
      </c>
    </row>
    <row r="995" spans="1:15" x14ac:dyDescent="0.2">
      <c r="A995">
        <v>38</v>
      </c>
      <c r="B995" t="str" cm="1">
        <f t="array" ref="B995">_xlfn.IFS(A995&lt;=25,"18-25", A995&lt;=35,"26-35", A995&lt;=45,"36-45", A995&lt;=55,"46-55", A995&lt;=64,"56-64")</f>
        <v>36-45</v>
      </c>
      <c r="C995" t="s">
        <v>10</v>
      </c>
      <c r="D995">
        <v>28.27</v>
      </c>
      <c r="E995">
        <v>1</v>
      </c>
      <c r="F995" t="s">
        <v>11</v>
      </c>
      <c r="G995" t="s">
        <v>51</v>
      </c>
      <c r="H995" s="2">
        <v>5484.4673000000003</v>
      </c>
      <c r="I995" s="2">
        <f t="shared" si="105"/>
        <v>2742.2336500000001</v>
      </c>
      <c r="J995" t="str">
        <f t="shared" si="106"/>
        <v>Low</v>
      </c>
      <c r="K995" s="1">
        <f t="shared" si="107"/>
        <v>0.29899999999999999</v>
      </c>
      <c r="L995" t="str">
        <f t="shared" si="108"/>
        <v>Overweight</v>
      </c>
      <c r="M995" t="str">
        <f t="shared" si="109"/>
        <v>Standard</v>
      </c>
      <c r="N995" t="str">
        <f t="shared" si="110"/>
        <v>Tier 1</v>
      </c>
      <c r="O995">
        <f t="shared" si="111"/>
        <v>2</v>
      </c>
    </row>
    <row r="996" spans="1:15" x14ac:dyDescent="0.2">
      <c r="A996">
        <v>27</v>
      </c>
      <c r="B996" t="str" cm="1">
        <f t="array" ref="B996">_xlfn.IFS(A996&lt;=25,"18-25", A996&lt;=35,"26-35", A996&lt;=45,"36-45", A996&lt;=55,"46-55", A996&lt;=64,"56-64")</f>
        <v>26-35</v>
      </c>
      <c r="C996" t="s">
        <v>7</v>
      </c>
      <c r="D996">
        <v>20.045000000000002</v>
      </c>
      <c r="E996">
        <v>3</v>
      </c>
      <c r="F996" t="s">
        <v>8</v>
      </c>
      <c r="G996" t="s">
        <v>54</v>
      </c>
      <c r="H996" s="2">
        <v>16420.494549999999</v>
      </c>
      <c r="I996" s="2">
        <f t="shared" si="105"/>
        <v>4105.1236374999999</v>
      </c>
      <c r="J996" t="str">
        <f t="shared" si="106"/>
        <v>High</v>
      </c>
      <c r="K996" s="1">
        <f t="shared" si="107"/>
        <v>0.746</v>
      </c>
      <c r="L996" t="str">
        <f t="shared" si="108"/>
        <v>Normal</v>
      </c>
      <c r="M996" t="str">
        <f t="shared" si="109"/>
        <v>High Risk</v>
      </c>
      <c r="N996" t="str">
        <f t="shared" si="110"/>
        <v>Tier 4</v>
      </c>
      <c r="O996">
        <f t="shared" si="111"/>
        <v>3</v>
      </c>
    </row>
    <row r="997" spans="1:15" x14ac:dyDescent="0.2">
      <c r="A997">
        <v>39</v>
      </c>
      <c r="B997" t="str" cm="1">
        <f t="array" ref="B997">_xlfn.IFS(A997&lt;=25,"18-25", A997&lt;=35,"26-35", A997&lt;=45,"36-45", A997&lt;=55,"46-55", A997&lt;=64,"56-64")</f>
        <v>36-45</v>
      </c>
      <c r="C997" t="s">
        <v>7</v>
      </c>
      <c r="D997">
        <v>23.274999999999999</v>
      </c>
      <c r="E997">
        <v>3</v>
      </c>
      <c r="F997" t="s">
        <v>11</v>
      </c>
      <c r="G997" t="s">
        <v>53</v>
      </c>
      <c r="H997" s="2">
        <v>7986.4752500000004</v>
      </c>
      <c r="I997" s="2">
        <f t="shared" si="105"/>
        <v>1996.6188125000001</v>
      </c>
      <c r="J997" t="str">
        <f t="shared" si="106"/>
        <v>Low</v>
      </c>
      <c r="K997" s="1">
        <f t="shared" si="107"/>
        <v>0.42499999999999999</v>
      </c>
      <c r="L997" t="str">
        <f t="shared" si="108"/>
        <v>Normal</v>
      </c>
      <c r="M997" t="str">
        <f t="shared" si="109"/>
        <v>Standard</v>
      </c>
      <c r="N997" t="str">
        <f t="shared" si="110"/>
        <v>Tier 2</v>
      </c>
      <c r="O997">
        <f t="shared" si="111"/>
        <v>0</v>
      </c>
    </row>
    <row r="998" spans="1:15" x14ac:dyDescent="0.2">
      <c r="A998">
        <v>39</v>
      </c>
      <c r="B998" t="str" cm="1">
        <f t="array" ref="B998">_xlfn.IFS(A998&lt;=25,"18-25", A998&lt;=35,"26-35", A998&lt;=45,"36-45", A998&lt;=55,"46-55", A998&lt;=64,"56-64")</f>
        <v>36-45</v>
      </c>
      <c r="C998" t="s">
        <v>7</v>
      </c>
      <c r="D998">
        <v>34.1</v>
      </c>
      <c r="E998">
        <v>3</v>
      </c>
      <c r="F998" t="s">
        <v>11</v>
      </c>
      <c r="G998" t="s">
        <v>52</v>
      </c>
      <c r="H998" s="2">
        <v>7418.5219999999999</v>
      </c>
      <c r="I998" s="2">
        <f t="shared" si="105"/>
        <v>1854.6305</v>
      </c>
      <c r="J998" t="str">
        <f t="shared" si="106"/>
        <v>Low</v>
      </c>
      <c r="K998" s="1">
        <f t="shared" si="107"/>
        <v>0.4</v>
      </c>
      <c r="L998" t="str">
        <f t="shared" si="108"/>
        <v>Obese</v>
      </c>
      <c r="M998" t="str">
        <f t="shared" si="109"/>
        <v>Standard</v>
      </c>
      <c r="N998" t="str">
        <f t="shared" si="110"/>
        <v>Tier 3</v>
      </c>
      <c r="O998">
        <f t="shared" si="111"/>
        <v>2</v>
      </c>
    </row>
    <row r="999" spans="1:15" x14ac:dyDescent="0.2">
      <c r="A999">
        <v>63</v>
      </c>
      <c r="B999" t="str" cm="1">
        <f t="array" ref="B999">_xlfn.IFS(A999&lt;=25,"18-25", A999&lt;=35,"26-35", A999&lt;=45,"36-45", A999&lt;=55,"46-55", A999&lt;=64,"56-64")</f>
        <v>56-64</v>
      </c>
      <c r="C999" t="s">
        <v>7</v>
      </c>
      <c r="D999">
        <v>36.85</v>
      </c>
      <c r="E999">
        <v>0</v>
      </c>
      <c r="F999" t="s">
        <v>11</v>
      </c>
      <c r="G999" t="s">
        <v>51</v>
      </c>
      <c r="H999" s="2">
        <v>13887.968500000001</v>
      </c>
      <c r="I999" s="2">
        <f t="shared" si="105"/>
        <v>13887.968500000001</v>
      </c>
      <c r="J999" t="str">
        <f t="shared" si="106"/>
        <v>High</v>
      </c>
      <c r="K999" s="1">
        <f t="shared" si="107"/>
        <v>0.70499999999999996</v>
      </c>
      <c r="L999" t="str">
        <f t="shared" si="108"/>
        <v>Obese</v>
      </c>
      <c r="M999" t="str">
        <f t="shared" si="109"/>
        <v>Standard</v>
      </c>
      <c r="N999" t="str">
        <f t="shared" si="110"/>
        <v>Tier 1</v>
      </c>
      <c r="O999">
        <f t="shared" si="111"/>
        <v>3</v>
      </c>
    </row>
    <row r="1000" spans="1:15" x14ac:dyDescent="0.2">
      <c r="A1000">
        <v>33</v>
      </c>
      <c r="B1000" t="str" cm="1">
        <f t="array" ref="B1000">_xlfn.IFS(A1000&lt;=25,"18-25", A1000&lt;=35,"26-35", A1000&lt;=45,"36-45", A1000&lt;=55,"46-55", A1000&lt;=64,"56-64")</f>
        <v>26-35</v>
      </c>
      <c r="C1000" t="s">
        <v>7</v>
      </c>
      <c r="D1000">
        <v>36.29</v>
      </c>
      <c r="E1000">
        <v>3</v>
      </c>
      <c r="F1000" t="s">
        <v>11</v>
      </c>
      <c r="G1000" t="s">
        <v>53</v>
      </c>
      <c r="H1000" s="2">
        <v>6551.7501000000002</v>
      </c>
      <c r="I1000" s="2">
        <f t="shared" si="105"/>
        <v>1637.9375250000001</v>
      </c>
      <c r="J1000" t="str">
        <f t="shared" si="106"/>
        <v>Low</v>
      </c>
      <c r="K1000" s="1">
        <f t="shared" si="107"/>
        <v>0.35</v>
      </c>
      <c r="L1000" t="str">
        <f t="shared" si="108"/>
        <v>Obese</v>
      </c>
      <c r="M1000" t="str">
        <f t="shared" si="109"/>
        <v>Standard</v>
      </c>
      <c r="N1000" t="str">
        <f t="shared" si="110"/>
        <v>Tier 2</v>
      </c>
      <c r="O1000">
        <f t="shared" si="111"/>
        <v>2</v>
      </c>
    </row>
    <row r="1001" spans="1:15" x14ac:dyDescent="0.2">
      <c r="A1001">
        <v>36</v>
      </c>
      <c r="B1001" t="str" cm="1">
        <f t="array" ref="B1001">_xlfn.IFS(A1001&lt;=25,"18-25", A1001&lt;=35,"26-35", A1001&lt;=45,"36-45", A1001&lt;=55,"46-55", A1001&lt;=64,"56-64")</f>
        <v>36-45</v>
      </c>
      <c r="C1001" t="s">
        <v>7</v>
      </c>
      <c r="D1001">
        <v>26.885000000000002</v>
      </c>
      <c r="E1001">
        <v>0</v>
      </c>
      <c r="F1001" t="s">
        <v>11</v>
      </c>
      <c r="G1001" t="s">
        <v>54</v>
      </c>
      <c r="H1001" s="2">
        <v>5267.8181500000001</v>
      </c>
      <c r="I1001" s="2">
        <f t="shared" si="105"/>
        <v>5267.8181500000001</v>
      </c>
      <c r="J1001" t="str">
        <f t="shared" si="106"/>
        <v>Low</v>
      </c>
      <c r="K1001" s="1">
        <f t="shared" si="107"/>
        <v>0.28399999999999997</v>
      </c>
      <c r="L1001" t="str">
        <f t="shared" si="108"/>
        <v>Overweight</v>
      </c>
      <c r="M1001" t="str">
        <f t="shared" si="109"/>
        <v>Standard</v>
      </c>
      <c r="N1001" t="str">
        <f t="shared" si="110"/>
        <v>Tier 4</v>
      </c>
      <c r="O1001">
        <f t="shared" si="111"/>
        <v>1</v>
      </c>
    </row>
    <row r="1002" spans="1:15" x14ac:dyDescent="0.2">
      <c r="A1002">
        <v>30</v>
      </c>
      <c r="B1002" t="str" cm="1">
        <f t="array" ref="B1002">_xlfn.IFS(A1002&lt;=25,"18-25", A1002&lt;=35,"26-35", A1002&lt;=45,"36-45", A1002&lt;=55,"46-55", A1002&lt;=64,"56-64")</f>
        <v>26-35</v>
      </c>
      <c r="C1002" t="s">
        <v>10</v>
      </c>
      <c r="D1002">
        <v>22.99</v>
      </c>
      <c r="E1002">
        <v>2</v>
      </c>
      <c r="F1002" t="s">
        <v>8</v>
      </c>
      <c r="G1002" t="s">
        <v>54</v>
      </c>
      <c r="H1002" s="2">
        <v>17361.766100000001</v>
      </c>
      <c r="I1002" s="2">
        <f t="shared" si="105"/>
        <v>5787.2553666666672</v>
      </c>
      <c r="J1002" t="str">
        <f t="shared" si="106"/>
        <v>High</v>
      </c>
      <c r="K1002" s="1">
        <f t="shared" si="107"/>
        <v>0.75800000000000001</v>
      </c>
      <c r="L1002" t="str">
        <f t="shared" si="108"/>
        <v>Normal</v>
      </c>
      <c r="M1002" t="str">
        <f t="shared" si="109"/>
        <v>High Risk</v>
      </c>
      <c r="N1002" t="str">
        <f t="shared" si="110"/>
        <v>Tier 4</v>
      </c>
      <c r="O1002">
        <f t="shared" si="111"/>
        <v>3</v>
      </c>
    </row>
    <row r="1003" spans="1:15" x14ac:dyDescent="0.2">
      <c r="A1003">
        <v>24</v>
      </c>
      <c r="B1003" t="str" cm="1">
        <f t="array" ref="B1003">_xlfn.IFS(A1003&lt;=25,"18-25", A1003&lt;=35,"26-35", A1003&lt;=45,"36-45", A1003&lt;=55,"46-55", A1003&lt;=64,"56-64")</f>
        <v>18-25</v>
      </c>
      <c r="C1003" t="s">
        <v>10</v>
      </c>
      <c r="D1003">
        <v>32.700000000000003</v>
      </c>
      <c r="E1003">
        <v>0</v>
      </c>
      <c r="F1003" t="s">
        <v>8</v>
      </c>
      <c r="G1003" t="s">
        <v>52</v>
      </c>
      <c r="H1003" s="2">
        <v>34472.841</v>
      </c>
      <c r="I1003" s="2">
        <f t="shared" si="105"/>
        <v>34472.841</v>
      </c>
      <c r="J1003" t="str">
        <f t="shared" si="106"/>
        <v>High</v>
      </c>
      <c r="K1003" s="1">
        <f t="shared" si="107"/>
        <v>0.89600000000000002</v>
      </c>
      <c r="L1003" t="str">
        <f t="shared" si="108"/>
        <v>Obese</v>
      </c>
      <c r="M1003" t="str">
        <f t="shared" si="109"/>
        <v>High Risk</v>
      </c>
      <c r="N1003" t="str">
        <f t="shared" si="110"/>
        <v>Tier 3</v>
      </c>
      <c r="O1003">
        <f t="shared" si="111"/>
        <v>5</v>
      </c>
    </row>
    <row r="1004" spans="1:15" x14ac:dyDescent="0.2">
      <c r="A1004">
        <v>24</v>
      </c>
      <c r="B1004" t="str" cm="1">
        <f t="array" ref="B1004">_xlfn.IFS(A1004&lt;=25,"18-25", A1004&lt;=35,"26-35", A1004&lt;=45,"36-45", A1004&lt;=55,"46-55", A1004&lt;=64,"56-64")</f>
        <v>18-25</v>
      </c>
      <c r="C1004" t="s">
        <v>10</v>
      </c>
      <c r="D1004">
        <v>25.8</v>
      </c>
      <c r="E1004">
        <v>0</v>
      </c>
      <c r="F1004" t="s">
        <v>11</v>
      </c>
      <c r="G1004" t="s">
        <v>52</v>
      </c>
      <c r="H1004" s="2">
        <v>1972.95</v>
      </c>
      <c r="I1004" s="2">
        <f t="shared" si="105"/>
        <v>1972.95</v>
      </c>
      <c r="J1004" t="str">
        <f t="shared" si="106"/>
        <v>Low</v>
      </c>
      <c r="K1004" s="1">
        <f t="shared" si="107"/>
        <v>6.4000000000000001E-2</v>
      </c>
      <c r="L1004" t="str">
        <f t="shared" si="108"/>
        <v>Overweight</v>
      </c>
      <c r="M1004" t="str">
        <f t="shared" si="109"/>
        <v>Standard</v>
      </c>
      <c r="N1004" t="str">
        <f t="shared" si="110"/>
        <v>Tier 3</v>
      </c>
      <c r="O1004">
        <f t="shared" si="111"/>
        <v>1</v>
      </c>
    </row>
    <row r="1005" spans="1:15" x14ac:dyDescent="0.2">
      <c r="A1005">
        <v>48</v>
      </c>
      <c r="B1005" t="str" cm="1">
        <f t="array" ref="B1005">_xlfn.IFS(A1005&lt;=25,"18-25", A1005&lt;=35,"26-35", A1005&lt;=45,"36-45", A1005&lt;=55,"46-55", A1005&lt;=64,"56-64")</f>
        <v>46-55</v>
      </c>
      <c r="C1005" t="s">
        <v>10</v>
      </c>
      <c r="D1005">
        <v>29.6</v>
      </c>
      <c r="E1005">
        <v>0</v>
      </c>
      <c r="F1005" t="s">
        <v>11</v>
      </c>
      <c r="G1005" t="s">
        <v>52</v>
      </c>
      <c r="H1005" s="2">
        <v>21232.182260000001</v>
      </c>
      <c r="I1005" s="2">
        <f t="shared" si="105"/>
        <v>21232.182260000001</v>
      </c>
      <c r="J1005" t="str">
        <f t="shared" si="106"/>
        <v>High</v>
      </c>
      <c r="K1005" s="1">
        <f t="shared" si="107"/>
        <v>0.81100000000000005</v>
      </c>
      <c r="L1005" t="str">
        <f t="shared" si="108"/>
        <v>Overweight</v>
      </c>
      <c r="M1005" t="str">
        <f t="shared" si="109"/>
        <v>Standard</v>
      </c>
      <c r="N1005" t="str">
        <f t="shared" si="110"/>
        <v>Tier 3</v>
      </c>
      <c r="O1005">
        <f t="shared" si="111"/>
        <v>1</v>
      </c>
    </row>
    <row r="1006" spans="1:15" x14ac:dyDescent="0.2">
      <c r="A1006">
        <v>47</v>
      </c>
      <c r="B1006" t="str" cm="1">
        <f t="array" ref="B1006">_xlfn.IFS(A1006&lt;=25,"18-25", A1006&lt;=35,"26-35", A1006&lt;=45,"36-45", A1006&lt;=55,"46-55", A1006&lt;=64,"56-64")</f>
        <v>46-55</v>
      </c>
      <c r="C1006" t="s">
        <v>10</v>
      </c>
      <c r="D1006">
        <v>19.190000000000001</v>
      </c>
      <c r="E1006">
        <v>1</v>
      </c>
      <c r="F1006" t="s">
        <v>11</v>
      </c>
      <c r="G1006" t="s">
        <v>53</v>
      </c>
      <c r="H1006" s="2">
        <v>8627.5411000000004</v>
      </c>
      <c r="I1006" s="2">
        <f t="shared" si="105"/>
        <v>4313.7705500000002</v>
      </c>
      <c r="J1006" t="str">
        <f t="shared" si="106"/>
        <v>Low</v>
      </c>
      <c r="K1006" s="1">
        <f t="shared" si="107"/>
        <v>0.46700000000000003</v>
      </c>
      <c r="L1006" t="str">
        <f t="shared" si="108"/>
        <v>Normal</v>
      </c>
      <c r="M1006" t="str">
        <f t="shared" si="109"/>
        <v>Standard</v>
      </c>
      <c r="N1006" t="str">
        <f t="shared" si="110"/>
        <v>Tier 2</v>
      </c>
      <c r="O1006">
        <f t="shared" si="111"/>
        <v>0</v>
      </c>
    </row>
    <row r="1007" spans="1:15" x14ac:dyDescent="0.2">
      <c r="A1007">
        <v>29</v>
      </c>
      <c r="B1007" t="str" cm="1">
        <f t="array" ref="B1007">_xlfn.IFS(A1007&lt;=25,"18-25", A1007&lt;=35,"26-35", A1007&lt;=45,"36-45", A1007&lt;=55,"46-55", A1007&lt;=64,"56-64")</f>
        <v>26-35</v>
      </c>
      <c r="C1007" t="s">
        <v>10</v>
      </c>
      <c r="D1007">
        <v>31.73</v>
      </c>
      <c r="E1007">
        <v>2</v>
      </c>
      <c r="F1007" t="s">
        <v>11</v>
      </c>
      <c r="G1007" t="s">
        <v>54</v>
      </c>
      <c r="H1007" s="2">
        <v>4433.3877000000002</v>
      </c>
      <c r="I1007" s="2">
        <f t="shared" si="105"/>
        <v>1477.7959000000001</v>
      </c>
      <c r="J1007" t="str">
        <f t="shared" si="106"/>
        <v>Low</v>
      </c>
      <c r="K1007" s="1">
        <f t="shared" si="107"/>
        <v>0.22500000000000001</v>
      </c>
      <c r="L1007" t="str">
        <f t="shared" si="108"/>
        <v>Obese</v>
      </c>
      <c r="M1007" t="str">
        <f t="shared" si="109"/>
        <v>Standard</v>
      </c>
      <c r="N1007" t="str">
        <f t="shared" si="110"/>
        <v>Tier 4</v>
      </c>
      <c r="O1007">
        <f t="shared" si="111"/>
        <v>2</v>
      </c>
    </row>
    <row r="1008" spans="1:15" x14ac:dyDescent="0.2">
      <c r="A1008">
        <v>28</v>
      </c>
      <c r="B1008" t="str" cm="1">
        <f t="array" ref="B1008">_xlfn.IFS(A1008&lt;=25,"18-25", A1008&lt;=35,"26-35", A1008&lt;=45,"36-45", A1008&lt;=55,"46-55", A1008&lt;=64,"56-64")</f>
        <v>26-35</v>
      </c>
      <c r="C1008" t="s">
        <v>10</v>
      </c>
      <c r="D1008">
        <v>29.26</v>
      </c>
      <c r="E1008">
        <v>2</v>
      </c>
      <c r="F1008" t="s">
        <v>11</v>
      </c>
      <c r="G1008" t="s">
        <v>53</v>
      </c>
      <c r="H1008" s="2">
        <v>4438.2633999999998</v>
      </c>
      <c r="I1008" s="2">
        <f t="shared" si="105"/>
        <v>1479.4211333333333</v>
      </c>
      <c r="J1008" t="str">
        <f t="shared" si="106"/>
        <v>Low</v>
      </c>
      <c r="K1008" s="1">
        <f t="shared" si="107"/>
        <v>0.22800000000000001</v>
      </c>
      <c r="L1008" t="str">
        <f t="shared" si="108"/>
        <v>Overweight</v>
      </c>
      <c r="M1008" t="str">
        <f t="shared" si="109"/>
        <v>Standard</v>
      </c>
      <c r="N1008" t="str">
        <f t="shared" si="110"/>
        <v>Tier 2</v>
      </c>
      <c r="O1008">
        <f t="shared" si="111"/>
        <v>1</v>
      </c>
    </row>
    <row r="1009" spans="1:15" x14ac:dyDescent="0.2">
      <c r="A1009">
        <v>47</v>
      </c>
      <c r="B1009" t="str" cm="1">
        <f t="array" ref="B1009">_xlfn.IFS(A1009&lt;=25,"18-25", A1009&lt;=35,"26-35", A1009&lt;=45,"36-45", A1009&lt;=55,"46-55", A1009&lt;=64,"56-64")</f>
        <v>46-55</v>
      </c>
      <c r="C1009" t="s">
        <v>10</v>
      </c>
      <c r="D1009">
        <v>28.215</v>
      </c>
      <c r="E1009">
        <v>3</v>
      </c>
      <c r="F1009" t="s">
        <v>8</v>
      </c>
      <c r="G1009" t="s">
        <v>54</v>
      </c>
      <c r="H1009" s="2">
        <v>24915.220850000002</v>
      </c>
      <c r="I1009" s="2">
        <f t="shared" si="105"/>
        <v>6228.8052125000004</v>
      </c>
      <c r="J1009" t="str">
        <f t="shared" si="106"/>
        <v>High</v>
      </c>
      <c r="K1009" s="1">
        <f t="shared" si="107"/>
        <v>0.84899999999999998</v>
      </c>
      <c r="L1009" t="str">
        <f t="shared" si="108"/>
        <v>Overweight</v>
      </c>
      <c r="M1009" t="str">
        <f t="shared" si="109"/>
        <v>High Risk</v>
      </c>
      <c r="N1009" t="str">
        <f t="shared" si="110"/>
        <v>Tier 4</v>
      </c>
      <c r="O1009">
        <f t="shared" si="111"/>
        <v>4</v>
      </c>
    </row>
    <row r="1010" spans="1:15" x14ac:dyDescent="0.2">
      <c r="A1010">
        <v>25</v>
      </c>
      <c r="B1010" t="str" cm="1">
        <f t="array" ref="B1010">_xlfn.IFS(A1010&lt;=25,"18-25", A1010&lt;=35,"26-35", A1010&lt;=45,"36-45", A1010&lt;=55,"46-55", A1010&lt;=64,"56-64")</f>
        <v>18-25</v>
      </c>
      <c r="C1010" t="s">
        <v>10</v>
      </c>
      <c r="D1010">
        <v>24.984999999999999</v>
      </c>
      <c r="E1010">
        <v>2</v>
      </c>
      <c r="F1010" t="s">
        <v>11</v>
      </c>
      <c r="G1010" t="s">
        <v>53</v>
      </c>
      <c r="H1010" s="2">
        <v>23241.47453</v>
      </c>
      <c r="I1010" s="2">
        <f t="shared" si="105"/>
        <v>7747.1581766666668</v>
      </c>
      <c r="J1010" t="str">
        <f t="shared" si="106"/>
        <v>High</v>
      </c>
      <c r="K1010" s="1">
        <f t="shared" si="107"/>
        <v>0.83</v>
      </c>
      <c r="L1010" t="str">
        <f t="shared" si="108"/>
        <v>Normal</v>
      </c>
      <c r="M1010" t="str">
        <f t="shared" si="109"/>
        <v>Standard</v>
      </c>
      <c r="N1010" t="str">
        <f t="shared" si="110"/>
        <v>Tier 2</v>
      </c>
      <c r="O1010">
        <f t="shared" si="111"/>
        <v>0</v>
      </c>
    </row>
    <row r="1011" spans="1:15" x14ac:dyDescent="0.2">
      <c r="A1011">
        <v>51</v>
      </c>
      <c r="B1011" t="str" cm="1">
        <f t="array" ref="B1011">_xlfn.IFS(A1011&lt;=25,"18-25", A1011&lt;=35,"26-35", A1011&lt;=45,"36-45", A1011&lt;=55,"46-55", A1011&lt;=64,"56-64")</f>
        <v>46-55</v>
      </c>
      <c r="C1011" t="s">
        <v>10</v>
      </c>
      <c r="D1011">
        <v>27.74</v>
      </c>
      <c r="E1011">
        <v>1</v>
      </c>
      <c r="F1011" t="s">
        <v>11</v>
      </c>
      <c r="G1011" t="s">
        <v>53</v>
      </c>
      <c r="H1011" s="2">
        <v>9957.7216000000008</v>
      </c>
      <c r="I1011" s="2">
        <f t="shared" si="105"/>
        <v>4978.8608000000004</v>
      </c>
      <c r="J1011" t="str">
        <f t="shared" si="106"/>
        <v>Low</v>
      </c>
      <c r="K1011" s="1">
        <f t="shared" si="107"/>
        <v>0.53</v>
      </c>
      <c r="L1011" t="str">
        <f t="shared" si="108"/>
        <v>Overweight</v>
      </c>
      <c r="M1011" t="str">
        <f t="shared" si="109"/>
        <v>Standard</v>
      </c>
      <c r="N1011" t="str">
        <f t="shared" si="110"/>
        <v>Tier 2</v>
      </c>
      <c r="O1011">
        <f t="shared" si="111"/>
        <v>1</v>
      </c>
    </row>
    <row r="1012" spans="1:15" x14ac:dyDescent="0.2">
      <c r="A1012">
        <v>48</v>
      </c>
      <c r="B1012" t="str" cm="1">
        <f t="array" ref="B1012">_xlfn.IFS(A1012&lt;=25,"18-25", A1012&lt;=35,"26-35", A1012&lt;=45,"36-45", A1012&lt;=55,"46-55", A1012&lt;=64,"56-64")</f>
        <v>46-55</v>
      </c>
      <c r="C1012" t="s">
        <v>7</v>
      </c>
      <c r="D1012">
        <v>22.8</v>
      </c>
      <c r="E1012">
        <v>0</v>
      </c>
      <c r="F1012" t="s">
        <v>11</v>
      </c>
      <c r="G1012" t="s">
        <v>52</v>
      </c>
      <c r="H1012" s="2">
        <v>8269.0439999999999</v>
      </c>
      <c r="I1012" s="2">
        <f t="shared" si="105"/>
        <v>8269.0439999999999</v>
      </c>
      <c r="J1012" t="str">
        <f t="shared" si="106"/>
        <v>Low</v>
      </c>
      <c r="K1012" s="1">
        <f t="shared" si="107"/>
        <v>0.44</v>
      </c>
      <c r="L1012" t="str">
        <f t="shared" si="108"/>
        <v>Normal</v>
      </c>
      <c r="M1012" t="str">
        <f t="shared" si="109"/>
        <v>Standard</v>
      </c>
      <c r="N1012" t="str">
        <f t="shared" si="110"/>
        <v>Tier 3</v>
      </c>
      <c r="O1012">
        <f t="shared" si="111"/>
        <v>0</v>
      </c>
    </row>
    <row r="1013" spans="1:15" x14ac:dyDescent="0.2">
      <c r="A1013">
        <v>43</v>
      </c>
      <c r="B1013" t="str" cm="1">
        <f t="array" ref="B1013">_xlfn.IFS(A1013&lt;=25,"18-25", A1013&lt;=35,"26-35", A1013&lt;=45,"36-45", A1013&lt;=55,"46-55", A1013&lt;=64,"56-64")</f>
        <v>36-45</v>
      </c>
      <c r="C1013" t="s">
        <v>10</v>
      </c>
      <c r="D1013">
        <v>20.13</v>
      </c>
      <c r="E1013">
        <v>2</v>
      </c>
      <c r="F1013" t="s">
        <v>8</v>
      </c>
      <c r="G1013" t="s">
        <v>51</v>
      </c>
      <c r="H1013" s="2">
        <v>18767.737700000001</v>
      </c>
      <c r="I1013" s="2">
        <f t="shared" si="105"/>
        <v>6255.9125666666669</v>
      </c>
      <c r="J1013" t="str">
        <f t="shared" si="106"/>
        <v>High</v>
      </c>
      <c r="K1013" s="1">
        <f t="shared" si="107"/>
        <v>0.77400000000000002</v>
      </c>
      <c r="L1013" t="str">
        <f t="shared" si="108"/>
        <v>Normal</v>
      </c>
      <c r="M1013" t="str">
        <f t="shared" si="109"/>
        <v>High Risk</v>
      </c>
      <c r="N1013" t="str">
        <f t="shared" si="110"/>
        <v>Tier 1</v>
      </c>
      <c r="O1013">
        <f t="shared" si="111"/>
        <v>4</v>
      </c>
    </row>
    <row r="1014" spans="1:15" x14ac:dyDescent="0.2">
      <c r="A1014">
        <v>61</v>
      </c>
      <c r="B1014" t="str" cm="1">
        <f t="array" ref="B1014">_xlfn.IFS(A1014&lt;=25,"18-25", A1014&lt;=35,"26-35", A1014&lt;=45,"36-45", A1014&lt;=55,"46-55", A1014&lt;=64,"56-64")</f>
        <v>56-64</v>
      </c>
      <c r="C1014" t="s">
        <v>7</v>
      </c>
      <c r="D1014">
        <v>33.33</v>
      </c>
      <c r="E1014">
        <v>4</v>
      </c>
      <c r="F1014" t="s">
        <v>11</v>
      </c>
      <c r="G1014" t="s">
        <v>51</v>
      </c>
      <c r="H1014" s="2">
        <v>36580.282160000002</v>
      </c>
      <c r="I1014" s="2">
        <f t="shared" si="105"/>
        <v>7316.0564320000003</v>
      </c>
      <c r="J1014" t="str">
        <f t="shared" si="106"/>
        <v>High</v>
      </c>
      <c r="K1014" s="1">
        <f t="shared" si="107"/>
        <v>0.91200000000000003</v>
      </c>
      <c r="L1014" t="str">
        <f t="shared" si="108"/>
        <v>Obese</v>
      </c>
      <c r="M1014" t="str">
        <f t="shared" si="109"/>
        <v>Standard</v>
      </c>
      <c r="N1014" t="str">
        <f t="shared" si="110"/>
        <v>Tier 1</v>
      </c>
      <c r="O1014">
        <f t="shared" si="111"/>
        <v>3</v>
      </c>
    </row>
    <row r="1015" spans="1:15" x14ac:dyDescent="0.2">
      <c r="A1015">
        <v>48</v>
      </c>
      <c r="B1015" t="str" cm="1">
        <f t="array" ref="B1015">_xlfn.IFS(A1015&lt;=25,"18-25", A1015&lt;=35,"26-35", A1015&lt;=45,"36-45", A1015&lt;=55,"46-55", A1015&lt;=64,"56-64")</f>
        <v>46-55</v>
      </c>
      <c r="C1015" t="s">
        <v>10</v>
      </c>
      <c r="D1015">
        <v>32.299999999999997</v>
      </c>
      <c r="E1015">
        <v>1</v>
      </c>
      <c r="F1015" t="s">
        <v>11</v>
      </c>
      <c r="G1015" t="s">
        <v>54</v>
      </c>
      <c r="H1015" s="2">
        <v>8765.2489999999998</v>
      </c>
      <c r="I1015" s="2">
        <f t="shared" si="105"/>
        <v>4382.6244999999999</v>
      </c>
      <c r="J1015" t="str">
        <f t="shared" si="106"/>
        <v>Low</v>
      </c>
      <c r="K1015" s="1">
        <f t="shared" si="107"/>
        <v>0.47099999999999997</v>
      </c>
      <c r="L1015" t="str">
        <f t="shared" si="108"/>
        <v>Obese</v>
      </c>
      <c r="M1015" t="str">
        <f t="shared" si="109"/>
        <v>Standard</v>
      </c>
      <c r="N1015" t="str">
        <f t="shared" si="110"/>
        <v>Tier 4</v>
      </c>
      <c r="O1015">
        <f t="shared" si="111"/>
        <v>2</v>
      </c>
    </row>
    <row r="1016" spans="1:15" x14ac:dyDescent="0.2">
      <c r="A1016">
        <v>38</v>
      </c>
      <c r="B1016" t="str" cm="1">
        <f t="array" ref="B1016">_xlfn.IFS(A1016&lt;=25,"18-25", A1016&lt;=35,"26-35", A1016&lt;=45,"36-45", A1016&lt;=55,"46-55", A1016&lt;=64,"56-64")</f>
        <v>36-45</v>
      </c>
      <c r="C1016" t="s">
        <v>7</v>
      </c>
      <c r="D1016">
        <v>27.6</v>
      </c>
      <c r="E1016">
        <v>0</v>
      </c>
      <c r="F1016" t="s">
        <v>11</v>
      </c>
      <c r="G1016" t="s">
        <v>52</v>
      </c>
      <c r="H1016" s="2">
        <v>5383.5360000000001</v>
      </c>
      <c r="I1016" s="2">
        <f t="shared" si="105"/>
        <v>5383.5360000000001</v>
      </c>
      <c r="J1016" t="str">
        <f t="shared" si="106"/>
        <v>Low</v>
      </c>
      <c r="K1016" s="1">
        <f t="shared" si="107"/>
        <v>0.28999999999999998</v>
      </c>
      <c r="L1016" t="str">
        <f t="shared" si="108"/>
        <v>Overweight</v>
      </c>
      <c r="M1016" t="str">
        <f t="shared" si="109"/>
        <v>Standard</v>
      </c>
      <c r="N1016" t="str">
        <f t="shared" si="110"/>
        <v>Tier 3</v>
      </c>
      <c r="O1016">
        <f t="shared" si="111"/>
        <v>1</v>
      </c>
    </row>
    <row r="1017" spans="1:15" x14ac:dyDescent="0.2">
      <c r="A1017">
        <v>59</v>
      </c>
      <c r="B1017" t="str" cm="1">
        <f t="array" ref="B1017">_xlfn.IFS(A1017&lt;=25,"18-25", A1017&lt;=35,"26-35", A1017&lt;=45,"36-45", A1017&lt;=55,"46-55", A1017&lt;=64,"56-64")</f>
        <v>56-64</v>
      </c>
      <c r="C1017" t="s">
        <v>10</v>
      </c>
      <c r="D1017">
        <v>25.46</v>
      </c>
      <c r="E1017">
        <v>0</v>
      </c>
      <c r="F1017" t="s">
        <v>11</v>
      </c>
      <c r="G1017" t="s">
        <v>54</v>
      </c>
      <c r="H1017" s="2">
        <v>12124.992399999999</v>
      </c>
      <c r="I1017" s="2">
        <f t="shared" si="105"/>
        <v>12124.992399999999</v>
      </c>
      <c r="J1017" t="str">
        <f t="shared" si="106"/>
        <v>Low</v>
      </c>
      <c r="K1017" s="1">
        <f t="shared" si="107"/>
        <v>0.63700000000000001</v>
      </c>
      <c r="L1017" t="str">
        <f t="shared" si="108"/>
        <v>Overweight</v>
      </c>
      <c r="M1017" t="str">
        <f t="shared" si="109"/>
        <v>Standard</v>
      </c>
      <c r="N1017" t="str">
        <f t="shared" si="110"/>
        <v>Tier 4</v>
      </c>
      <c r="O1017">
        <f t="shared" si="111"/>
        <v>1</v>
      </c>
    </row>
    <row r="1018" spans="1:15" x14ac:dyDescent="0.2">
      <c r="A1018">
        <v>19</v>
      </c>
      <c r="B1018" t="str" cm="1">
        <f t="array" ref="B1018">_xlfn.IFS(A1018&lt;=25,"18-25", A1018&lt;=35,"26-35", A1018&lt;=45,"36-45", A1018&lt;=55,"46-55", A1018&lt;=64,"56-64")</f>
        <v>18-25</v>
      </c>
      <c r="C1018" t="s">
        <v>7</v>
      </c>
      <c r="D1018">
        <v>24.605</v>
      </c>
      <c r="E1018">
        <v>1</v>
      </c>
      <c r="F1018" t="s">
        <v>11</v>
      </c>
      <c r="G1018" t="s">
        <v>54</v>
      </c>
      <c r="H1018" s="2">
        <v>2709.24395</v>
      </c>
      <c r="I1018" s="2">
        <f t="shared" si="105"/>
        <v>1354.621975</v>
      </c>
      <c r="J1018" t="str">
        <f t="shared" si="106"/>
        <v>Low</v>
      </c>
      <c r="K1018" s="1">
        <f t="shared" si="107"/>
        <v>0.124</v>
      </c>
      <c r="L1018" t="str">
        <f t="shared" si="108"/>
        <v>Normal</v>
      </c>
      <c r="M1018" t="str">
        <f t="shared" si="109"/>
        <v>Standard</v>
      </c>
      <c r="N1018" t="str">
        <f t="shared" si="110"/>
        <v>Tier 4</v>
      </c>
      <c r="O1018">
        <f t="shared" si="111"/>
        <v>0</v>
      </c>
    </row>
    <row r="1019" spans="1:15" x14ac:dyDescent="0.2">
      <c r="A1019">
        <v>26</v>
      </c>
      <c r="B1019" t="str" cm="1">
        <f t="array" ref="B1019">_xlfn.IFS(A1019&lt;=25,"18-25", A1019&lt;=35,"26-35", A1019&lt;=45,"36-45", A1019&lt;=55,"46-55", A1019&lt;=64,"56-64")</f>
        <v>26-35</v>
      </c>
      <c r="C1019" t="s">
        <v>7</v>
      </c>
      <c r="D1019">
        <v>34.200000000000003</v>
      </c>
      <c r="E1019">
        <v>2</v>
      </c>
      <c r="F1019" t="s">
        <v>11</v>
      </c>
      <c r="G1019" t="s">
        <v>52</v>
      </c>
      <c r="H1019" s="2">
        <v>3987.9259999999999</v>
      </c>
      <c r="I1019" s="2">
        <f t="shared" si="105"/>
        <v>1329.3086666666666</v>
      </c>
      <c r="J1019" t="str">
        <f t="shared" si="106"/>
        <v>Low</v>
      </c>
      <c r="K1019" s="1">
        <f t="shared" si="107"/>
        <v>0.19800000000000001</v>
      </c>
      <c r="L1019" t="str">
        <f t="shared" si="108"/>
        <v>Obese</v>
      </c>
      <c r="M1019" t="str">
        <f t="shared" si="109"/>
        <v>Standard</v>
      </c>
      <c r="N1019" t="str">
        <f t="shared" si="110"/>
        <v>Tier 3</v>
      </c>
      <c r="O1019">
        <f t="shared" si="111"/>
        <v>2</v>
      </c>
    </row>
    <row r="1020" spans="1:15" x14ac:dyDescent="0.2">
      <c r="A1020">
        <v>54</v>
      </c>
      <c r="B1020" t="str" cm="1">
        <f t="array" ref="B1020">_xlfn.IFS(A1020&lt;=25,"18-25", A1020&lt;=35,"26-35", A1020&lt;=45,"36-45", A1020&lt;=55,"46-55", A1020&lt;=64,"56-64")</f>
        <v>46-55</v>
      </c>
      <c r="C1020" t="s">
        <v>7</v>
      </c>
      <c r="D1020">
        <v>35.814999999999998</v>
      </c>
      <c r="E1020">
        <v>3</v>
      </c>
      <c r="F1020" t="s">
        <v>11</v>
      </c>
      <c r="G1020" t="s">
        <v>54</v>
      </c>
      <c r="H1020" s="2">
        <v>12495.290849999999</v>
      </c>
      <c r="I1020" s="2">
        <f t="shared" si="105"/>
        <v>3123.8227124999999</v>
      </c>
      <c r="J1020" t="str">
        <f t="shared" si="106"/>
        <v>Low</v>
      </c>
      <c r="K1020" s="1">
        <f t="shared" si="107"/>
        <v>0.65300000000000002</v>
      </c>
      <c r="L1020" t="str">
        <f t="shared" si="108"/>
        <v>Obese</v>
      </c>
      <c r="M1020" t="str">
        <f t="shared" si="109"/>
        <v>Standard</v>
      </c>
      <c r="N1020" t="str">
        <f t="shared" si="110"/>
        <v>Tier 4</v>
      </c>
      <c r="O1020">
        <f t="shared" si="111"/>
        <v>2</v>
      </c>
    </row>
    <row r="1021" spans="1:15" x14ac:dyDescent="0.2">
      <c r="A1021">
        <v>21</v>
      </c>
      <c r="B1021" t="str" cm="1">
        <f t="array" ref="B1021">_xlfn.IFS(A1021&lt;=25,"18-25", A1021&lt;=35,"26-35", A1021&lt;=45,"36-45", A1021&lt;=55,"46-55", A1021&lt;=64,"56-64")</f>
        <v>18-25</v>
      </c>
      <c r="C1021" t="s">
        <v>7</v>
      </c>
      <c r="D1021">
        <v>32.68</v>
      </c>
      <c r="E1021">
        <v>2</v>
      </c>
      <c r="F1021" t="s">
        <v>11</v>
      </c>
      <c r="G1021" t="s">
        <v>54</v>
      </c>
      <c r="H1021" s="2">
        <v>26018.950519999999</v>
      </c>
      <c r="I1021" s="2">
        <f t="shared" si="105"/>
        <v>8672.9835066666656</v>
      </c>
      <c r="J1021" t="str">
        <f t="shared" si="106"/>
        <v>High</v>
      </c>
      <c r="K1021" s="1">
        <f t="shared" si="107"/>
        <v>0.85599999999999998</v>
      </c>
      <c r="L1021" t="str">
        <f t="shared" si="108"/>
        <v>Obese</v>
      </c>
      <c r="M1021" t="str">
        <f t="shared" si="109"/>
        <v>Standard</v>
      </c>
      <c r="N1021" t="str">
        <f t="shared" si="110"/>
        <v>Tier 4</v>
      </c>
      <c r="O1021">
        <f t="shared" si="111"/>
        <v>2</v>
      </c>
    </row>
    <row r="1022" spans="1:15" x14ac:dyDescent="0.2">
      <c r="A1022">
        <v>51</v>
      </c>
      <c r="B1022" t="str" cm="1">
        <f t="array" ref="B1022">_xlfn.IFS(A1022&lt;=25,"18-25", A1022&lt;=35,"26-35", A1022&lt;=45,"36-45", A1022&lt;=55,"46-55", A1022&lt;=64,"56-64")</f>
        <v>46-55</v>
      </c>
      <c r="C1022" t="s">
        <v>10</v>
      </c>
      <c r="D1022">
        <v>37</v>
      </c>
      <c r="E1022">
        <v>0</v>
      </c>
      <c r="F1022" t="s">
        <v>11</v>
      </c>
      <c r="G1022" t="s">
        <v>52</v>
      </c>
      <c r="H1022" s="2">
        <v>8798.5930000000008</v>
      </c>
      <c r="I1022" s="2">
        <f t="shared" si="105"/>
        <v>8798.5930000000008</v>
      </c>
      <c r="J1022" t="str">
        <f t="shared" si="106"/>
        <v>Low</v>
      </c>
      <c r="K1022" s="1">
        <f t="shared" si="107"/>
        <v>0.47199999999999998</v>
      </c>
      <c r="L1022" t="str">
        <f t="shared" si="108"/>
        <v>Obese</v>
      </c>
      <c r="M1022" t="str">
        <f t="shared" si="109"/>
        <v>Standard</v>
      </c>
      <c r="N1022" t="str">
        <f t="shared" si="110"/>
        <v>Tier 3</v>
      </c>
      <c r="O1022">
        <f t="shared" si="111"/>
        <v>2</v>
      </c>
    </row>
    <row r="1023" spans="1:15" x14ac:dyDescent="0.2">
      <c r="A1023">
        <v>22</v>
      </c>
      <c r="B1023" t="str" cm="1">
        <f t="array" ref="B1023">_xlfn.IFS(A1023&lt;=25,"18-25", A1023&lt;=35,"26-35", A1023&lt;=45,"36-45", A1023&lt;=55,"46-55", A1023&lt;=64,"56-64")</f>
        <v>18-25</v>
      </c>
      <c r="C1023" t="s">
        <v>7</v>
      </c>
      <c r="D1023">
        <v>31.02</v>
      </c>
      <c r="E1023">
        <v>3</v>
      </c>
      <c r="F1023" t="s">
        <v>8</v>
      </c>
      <c r="G1023" t="s">
        <v>51</v>
      </c>
      <c r="H1023" s="2">
        <v>35595.589800000002</v>
      </c>
      <c r="I1023" s="2">
        <f t="shared" si="105"/>
        <v>8898.8974500000004</v>
      </c>
      <c r="J1023" t="str">
        <f t="shared" si="106"/>
        <v>High</v>
      </c>
      <c r="K1023" s="1">
        <f t="shared" si="107"/>
        <v>0.90500000000000003</v>
      </c>
      <c r="L1023" t="str">
        <f t="shared" si="108"/>
        <v>Obese</v>
      </c>
      <c r="M1023" t="str">
        <f t="shared" si="109"/>
        <v>High Risk</v>
      </c>
      <c r="N1023" t="str">
        <f t="shared" si="110"/>
        <v>Tier 1</v>
      </c>
      <c r="O1023">
        <f t="shared" si="111"/>
        <v>6</v>
      </c>
    </row>
    <row r="1024" spans="1:15" x14ac:dyDescent="0.2">
      <c r="A1024">
        <v>47</v>
      </c>
      <c r="B1024" t="str" cm="1">
        <f t="array" ref="B1024">_xlfn.IFS(A1024&lt;=25,"18-25", A1024&lt;=35,"26-35", A1024&lt;=45,"36-45", A1024&lt;=55,"46-55", A1024&lt;=64,"56-64")</f>
        <v>46-55</v>
      </c>
      <c r="C1024" t="s">
        <v>10</v>
      </c>
      <c r="D1024">
        <v>36.08</v>
      </c>
      <c r="E1024">
        <v>1</v>
      </c>
      <c r="F1024" t="s">
        <v>8</v>
      </c>
      <c r="G1024" t="s">
        <v>51</v>
      </c>
      <c r="H1024" s="2">
        <v>42211.138200000001</v>
      </c>
      <c r="I1024" s="2">
        <f t="shared" si="105"/>
        <v>21105.569100000001</v>
      </c>
      <c r="J1024" t="str">
        <f t="shared" si="106"/>
        <v>High</v>
      </c>
      <c r="K1024" s="1">
        <f t="shared" si="107"/>
        <v>0.95599999999999996</v>
      </c>
      <c r="L1024" t="str">
        <f t="shared" si="108"/>
        <v>Obese</v>
      </c>
      <c r="M1024" t="str">
        <f t="shared" si="109"/>
        <v>High Risk</v>
      </c>
      <c r="N1024" t="str">
        <f t="shared" si="110"/>
        <v>Tier 1</v>
      </c>
      <c r="O1024">
        <f t="shared" si="111"/>
        <v>6</v>
      </c>
    </row>
    <row r="1025" spans="1:15" x14ac:dyDescent="0.2">
      <c r="A1025">
        <v>18</v>
      </c>
      <c r="B1025" t="str" cm="1">
        <f t="array" ref="B1025">_xlfn.IFS(A1025&lt;=25,"18-25", A1025&lt;=35,"26-35", A1025&lt;=45,"36-45", A1025&lt;=55,"46-55", A1025&lt;=64,"56-64")</f>
        <v>18-25</v>
      </c>
      <c r="C1025" t="s">
        <v>10</v>
      </c>
      <c r="D1025">
        <v>23.32</v>
      </c>
      <c r="E1025">
        <v>1</v>
      </c>
      <c r="F1025" t="s">
        <v>11</v>
      </c>
      <c r="G1025" t="s">
        <v>51</v>
      </c>
      <c r="H1025" s="2">
        <v>1711.0268000000001</v>
      </c>
      <c r="I1025" s="2">
        <f t="shared" si="105"/>
        <v>855.51340000000005</v>
      </c>
      <c r="J1025" t="str">
        <f t="shared" si="106"/>
        <v>Low</v>
      </c>
      <c r="K1025" s="1">
        <f t="shared" si="107"/>
        <v>0.04</v>
      </c>
      <c r="L1025" t="str">
        <f t="shared" si="108"/>
        <v>Normal</v>
      </c>
      <c r="M1025" t="str">
        <f t="shared" si="109"/>
        <v>Standard</v>
      </c>
      <c r="N1025" t="str">
        <f t="shared" si="110"/>
        <v>Tier 1</v>
      </c>
      <c r="O1025">
        <f t="shared" si="111"/>
        <v>1</v>
      </c>
    </row>
    <row r="1026" spans="1:15" x14ac:dyDescent="0.2">
      <c r="A1026">
        <v>47</v>
      </c>
      <c r="B1026" t="str" cm="1">
        <f t="array" ref="B1026">_xlfn.IFS(A1026&lt;=25,"18-25", A1026&lt;=35,"26-35", A1026&lt;=45,"36-45", A1026&lt;=55,"46-55", A1026&lt;=64,"56-64")</f>
        <v>46-55</v>
      </c>
      <c r="C1026" t="s">
        <v>7</v>
      </c>
      <c r="D1026">
        <v>45.32</v>
      </c>
      <c r="E1026">
        <v>1</v>
      </c>
      <c r="F1026" t="s">
        <v>11</v>
      </c>
      <c r="G1026" t="s">
        <v>51</v>
      </c>
      <c r="H1026" s="2">
        <v>8569.8618000000006</v>
      </c>
      <c r="I1026" s="2">
        <f t="shared" ref="I1026:I1089" si="112">H1026/(E1026+1)</f>
        <v>4284.9309000000003</v>
      </c>
      <c r="J1026" t="str">
        <f t="shared" ref="J1026:J1089" si="113">IF(H1026&gt;AVERAGE($H$2:$H$1339),"High","Low")</f>
        <v>Low</v>
      </c>
      <c r="K1026" s="1">
        <f t="shared" ref="K1026:K1089" si="114">PERCENTRANK($H$2:$H$1339,H1026)</f>
        <v>0.46</v>
      </c>
      <c r="L1026" t="str">
        <f t="shared" ref="L1026:L1089" si="115">IF(D1026&lt;18.5,"Underweight",IF(D1026&lt;25,"Normal",IF(D1026&lt;30,"Overweight","Obese")))</f>
        <v>Obese</v>
      </c>
      <c r="M1026" t="str">
        <f t="shared" ref="M1026:M1089" si="116">IF(F1026="yes","High Risk","Standard")</f>
        <v>Standard</v>
      </c>
      <c r="N1026" t="str">
        <f t="shared" ref="N1026:N1089" si="117">IF(G1026="southeast","Tier 1",IF(G1026="northeast","Tier 2",IF(G1026="southwest","Tier 3","Tier 4")))</f>
        <v>Tier 1</v>
      </c>
      <c r="O1026">
        <f t="shared" ref="O1026:O1089" si="118">IF(F1026="yes",3,0)+IF(D1026&gt;=30,2,IF(D1026&gt;=25,1,0))+IF(G1026="southeast",1,0)</f>
        <v>3</v>
      </c>
    </row>
    <row r="1027" spans="1:15" x14ac:dyDescent="0.2">
      <c r="A1027">
        <v>21</v>
      </c>
      <c r="B1027" t="str" cm="1">
        <f t="array" ref="B1027">_xlfn.IFS(A1027&lt;=25,"18-25", A1027&lt;=35,"26-35", A1027&lt;=45,"36-45", A1027&lt;=55,"46-55", A1027&lt;=64,"56-64")</f>
        <v>18-25</v>
      </c>
      <c r="C1027" t="s">
        <v>7</v>
      </c>
      <c r="D1027">
        <v>34.6</v>
      </c>
      <c r="E1027">
        <v>0</v>
      </c>
      <c r="F1027" t="s">
        <v>11</v>
      </c>
      <c r="G1027" t="s">
        <v>52</v>
      </c>
      <c r="H1027" s="2">
        <v>2020.1769999999999</v>
      </c>
      <c r="I1027" s="2">
        <f t="shared" si="112"/>
        <v>2020.1769999999999</v>
      </c>
      <c r="J1027" t="str">
        <f t="shared" si="113"/>
        <v>Low</v>
      </c>
      <c r="K1027" s="1">
        <f t="shared" si="114"/>
        <v>6.9000000000000006E-2</v>
      </c>
      <c r="L1027" t="str">
        <f t="shared" si="115"/>
        <v>Obese</v>
      </c>
      <c r="M1027" t="str">
        <f t="shared" si="116"/>
        <v>Standard</v>
      </c>
      <c r="N1027" t="str">
        <f t="shared" si="117"/>
        <v>Tier 3</v>
      </c>
      <c r="O1027">
        <f t="shared" si="118"/>
        <v>2</v>
      </c>
    </row>
    <row r="1028" spans="1:15" x14ac:dyDescent="0.2">
      <c r="A1028">
        <v>19</v>
      </c>
      <c r="B1028" t="str" cm="1">
        <f t="array" ref="B1028">_xlfn.IFS(A1028&lt;=25,"18-25", A1028&lt;=35,"26-35", A1028&lt;=45,"36-45", A1028&lt;=55,"46-55", A1028&lt;=64,"56-64")</f>
        <v>18-25</v>
      </c>
      <c r="C1028" t="s">
        <v>10</v>
      </c>
      <c r="D1028">
        <v>26.03</v>
      </c>
      <c r="E1028">
        <v>1</v>
      </c>
      <c r="F1028" t="s">
        <v>8</v>
      </c>
      <c r="G1028" t="s">
        <v>54</v>
      </c>
      <c r="H1028" s="2">
        <v>16450.894700000001</v>
      </c>
      <c r="I1028" s="2">
        <f t="shared" si="112"/>
        <v>8225.4473500000004</v>
      </c>
      <c r="J1028" t="str">
        <f t="shared" si="113"/>
        <v>High</v>
      </c>
      <c r="K1028" s="1">
        <f t="shared" si="114"/>
        <v>0.747</v>
      </c>
      <c r="L1028" t="str">
        <f t="shared" si="115"/>
        <v>Overweight</v>
      </c>
      <c r="M1028" t="str">
        <f t="shared" si="116"/>
        <v>High Risk</v>
      </c>
      <c r="N1028" t="str">
        <f t="shared" si="117"/>
        <v>Tier 4</v>
      </c>
      <c r="O1028">
        <f t="shared" si="118"/>
        <v>4</v>
      </c>
    </row>
    <row r="1029" spans="1:15" x14ac:dyDescent="0.2">
      <c r="A1029">
        <v>23</v>
      </c>
      <c r="B1029" t="str" cm="1">
        <f t="array" ref="B1029">_xlfn.IFS(A1029&lt;=25,"18-25", A1029&lt;=35,"26-35", A1029&lt;=45,"36-45", A1029&lt;=55,"46-55", A1029&lt;=64,"56-64")</f>
        <v>18-25</v>
      </c>
      <c r="C1029" t="s">
        <v>10</v>
      </c>
      <c r="D1029">
        <v>18.715</v>
      </c>
      <c r="E1029">
        <v>0</v>
      </c>
      <c r="F1029" t="s">
        <v>11</v>
      </c>
      <c r="G1029" t="s">
        <v>54</v>
      </c>
      <c r="H1029" s="2">
        <v>21595.382290000001</v>
      </c>
      <c r="I1029" s="2">
        <f t="shared" si="112"/>
        <v>21595.382290000001</v>
      </c>
      <c r="J1029" t="str">
        <f t="shared" si="113"/>
        <v>High</v>
      </c>
      <c r="K1029" s="1">
        <f t="shared" si="114"/>
        <v>0.81499999999999995</v>
      </c>
      <c r="L1029" t="str">
        <f t="shared" si="115"/>
        <v>Normal</v>
      </c>
      <c r="M1029" t="str">
        <f t="shared" si="116"/>
        <v>Standard</v>
      </c>
      <c r="N1029" t="str">
        <f t="shared" si="117"/>
        <v>Tier 4</v>
      </c>
      <c r="O1029">
        <f t="shared" si="118"/>
        <v>0</v>
      </c>
    </row>
    <row r="1030" spans="1:15" x14ac:dyDescent="0.2">
      <c r="A1030">
        <v>54</v>
      </c>
      <c r="B1030" t="str" cm="1">
        <f t="array" ref="B1030">_xlfn.IFS(A1030&lt;=25,"18-25", A1030&lt;=35,"26-35", A1030&lt;=45,"36-45", A1030&lt;=55,"46-55", A1030&lt;=64,"56-64")</f>
        <v>46-55</v>
      </c>
      <c r="C1030" t="s">
        <v>10</v>
      </c>
      <c r="D1030">
        <v>31.6</v>
      </c>
      <c r="E1030">
        <v>0</v>
      </c>
      <c r="F1030" t="s">
        <v>11</v>
      </c>
      <c r="G1030" t="s">
        <v>52</v>
      </c>
      <c r="H1030" s="2">
        <v>9850.4320000000007</v>
      </c>
      <c r="I1030" s="2">
        <f t="shared" si="112"/>
        <v>9850.4320000000007</v>
      </c>
      <c r="J1030" t="str">
        <f t="shared" si="113"/>
        <v>Low</v>
      </c>
      <c r="K1030" s="1">
        <f t="shared" si="114"/>
        <v>0.52200000000000002</v>
      </c>
      <c r="L1030" t="str">
        <f t="shared" si="115"/>
        <v>Obese</v>
      </c>
      <c r="M1030" t="str">
        <f t="shared" si="116"/>
        <v>Standard</v>
      </c>
      <c r="N1030" t="str">
        <f t="shared" si="117"/>
        <v>Tier 3</v>
      </c>
      <c r="O1030">
        <f t="shared" si="118"/>
        <v>2</v>
      </c>
    </row>
    <row r="1031" spans="1:15" x14ac:dyDescent="0.2">
      <c r="A1031">
        <v>37</v>
      </c>
      <c r="B1031" t="str" cm="1">
        <f t="array" ref="B1031">_xlfn.IFS(A1031&lt;=25,"18-25", A1031&lt;=35,"26-35", A1031&lt;=45,"36-45", A1031&lt;=55,"46-55", A1031&lt;=64,"56-64")</f>
        <v>36-45</v>
      </c>
      <c r="C1031" t="s">
        <v>7</v>
      </c>
      <c r="D1031">
        <v>17.29</v>
      </c>
      <c r="E1031">
        <v>2</v>
      </c>
      <c r="F1031" t="s">
        <v>11</v>
      </c>
      <c r="G1031" t="s">
        <v>53</v>
      </c>
      <c r="H1031" s="2">
        <v>6877.9800999999998</v>
      </c>
      <c r="I1031" s="2">
        <f t="shared" si="112"/>
        <v>2292.6600333333331</v>
      </c>
      <c r="J1031" t="str">
        <f t="shared" si="113"/>
        <v>Low</v>
      </c>
      <c r="K1031" s="1">
        <f t="shared" si="114"/>
        <v>0.37</v>
      </c>
      <c r="L1031" t="str">
        <f t="shared" si="115"/>
        <v>Underweight</v>
      </c>
      <c r="M1031" t="str">
        <f t="shared" si="116"/>
        <v>Standard</v>
      </c>
      <c r="N1031" t="str">
        <f t="shared" si="117"/>
        <v>Tier 2</v>
      </c>
      <c r="O1031">
        <f t="shared" si="118"/>
        <v>0</v>
      </c>
    </row>
    <row r="1032" spans="1:15" x14ac:dyDescent="0.2">
      <c r="A1032">
        <v>46</v>
      </c>
      <c r="B1032" t="str" cm="1">
        <f t="array" ref="B1032">_xlfn.IFS(A1032&lt;=25,"18-25", A1032&lt;=35,"26-35", A1032&lt;=45,"36-45", A1032&lt;=55,"46-55", A1032&lt;=64,"56-64")</f>
        <v>46-55</v>
      </c>
      <c r="C1032" t="s">
        <v>7</v>
      </c>
      <c r="D1032">
        <v>23.655000000000001</v>
      </c>
      <c r="E1032">
        <v>1</v>
      </c>
      <c r="F1032" t="s">
        <v>8</v>
      </c>
      <c r="G1032" t="s">
        <v>54</v>
      </c>
      <c r="H1032" s="2">
        <v>21677.283449999999</v>
      </c>
      <c r="I1032" s="2">
        <f t="shared" si="112"/>
        <v>10838.641724999999</v>
      </c>
      <c r="J1032" t="str">
        <f t="shared" si="113"/>
        <v>High</v>
      </c>
      <c r="K1032" s="1">
        <f t="shared" si="114"/>
        <v>0.81599999999999995</v>
      </c>
      <c r="L1032" t="str">
        <f t="shared" si="115"/>
        <v>Normal</v>
      </c>
      <c r="M1032" t="str">
        <f t="shared" si="116"/>
        <v>High Risk</v>
      </c>
      <c r="N1032" t="str">
        <f t="shared" si="117"/>
        <v>Tier 4</v>
      </c>
      <c r="O1032">
        <f t="shared" si="118"/>
        <v>3</v>
      </c>
    </row>
    <row r="1033" spans="1:15" x14ac:dyDescent="0.2">
      <c r="A1033">
        <v>55</v>
      </c>
      <c r="B1033" t="str" cm="1">
        <f t="array" ref="B1033">_xlfn.IFS(A1033&lt;=25,"18-25", A1033&lt;=35,"26-35", A1033&lt;=45,"36-45", A1033&lt;=55,"46-55", A1033&lt;=64,"56-64")</f>
        <v>46-55</v>
      </c>
      <c r="C1033" t="s">
        <v>7</v>
      </c>
      <c r="D1033">
        <v>35.200000000000003</v>
      </c>
      <c r="E1033">
        <v>0</v>
      </c>
      <c r="F1033" t="s">
        <v>8</v>
      </c>
      <c r="G1033" t="s">
        <v>51</v>
      </c>
      <c r="H1033" s="2">
        <v>44423.803</v>
      </c>
      <c r="I1033" s="2">
        <f t="shared" si="112"/>
        <v>44423.803</v>
      </c>
      <c r="J1033" t="str">
        <f t="shared" si="113"/>
        <v>High</v>
      </c>
      <c r="K1033" s="1">
        <f t="shared" si="114"/>
        <v>0.96899999999999997</v>
      </c>
      <c r="L1033" t="str">
        <f t="shared" si="115"/>
        <v>Obese</v>
      </c>
      <c r="M1033" t="str">
        <f t="shared" si="116"/>
        <v>High Risk</v>
      </c>
      <c r="N1033" t="str">
        <f t="shared" si="117"/>
        <v>Tier 1</v>
      </c>
      <c r="O1033">
        <f t="shared" si="118"/>
        <v>6</v>
      </c>
    </row>
    <row r="1034" spans="1:15" x14ac:dyDescent="0.2">
      <c r="A1034">
        <v>30</v>
      </c>
      <c r="B1034" t="str" cm="1">
        <f t="array" ref="B1034">_xlfn.IFS(A1034&lt;=25,"18-25", A1034&lt;=35,"26-35", A1034&lt;=45,"36-45", A1034&lt;=55,"46-55", A1034&lt;=64,"56-64")</f>
        <v>26-35</v>
      </c>
      <c r="C1034" t="s">
        <v>7</v>
      </c>
      <c r="D1034">
        <v>27.93</v>
      </c>
      <c r="E1034">
        <v>0</v>
      </c>
      <c r="F1034" t="s">
        <v>11</v>
      </c>
      <c r="G1034" t="s">
        <v>53</v>
      </c>
      <c r="H1034" s="2">
        <v>4137.5227000000004</v>
      </c>
      <c r="I1034" s="2">
        <f t="shared" si="112"/>
        <v>4137.5227000000004</v>
      </c>
      <c r="J1034" t="str">
        <f t="shared" si="113"/>
        <v>Low</v>
      </c>
      <c r="K1034" s="1">
        <f t="shared" si="114"/>
        <v>0.20699999999999999</v>
      </c>
      <c r="L1034" t="str">
        <f t="shared" si="115"/>
        <v>Overweight</v>
      </c>
      <c r="M1034" t="str">
        <f t="shared" si="116"/>
        <v>Standard</v>
      </c>
      <c r="N1034" t="str">
        <f t="shared" si="117"/>
        <v>Tier 2</v>
      </c>
      <c r="O1034">
        <f t="shared" si="118"/>
        <v>1</v>
      </c>
    </row>
    <row r="1035" spans="1:15" x14ac:dyDescent="0.2">
      <c r="A1035">
        <v>18</v>
      </c>
      <c r="B1035" t="str" cm="1">
        <f t="array" ref="B1035">_xlfn.IFS(A1035&lt;=25,"18-25", A1035&lt;=35,"26-35", A1035&lt;=45,"36-45", A1035&lt;=55,"46-55", A1035&lt;=64,"56-64")</f>
        <v>18-25</v>
      </c>
      <c r="C1035" t="s">
        <v>10</v>
      </c>
      <c r="D1035">
        <v>21.565000000000001</v>
      </c>
      <c r="E1035">
        <v>0</v>
      </c>
      <c r="F1035" t="s">
        <v>8</v>
      </c>
      <c r="G1035" t="s">
        <v>53</v>
      </c>
      <c r="H1035" s="2">
        <v>13747.87235</v>
      </c>
      <c r="I1035" s="2">
        <f t="shared" si="112"/>
        <v>13747.87235</v>
      </c>
      <c r="J1035" t="str">
        <f t="shared" si="113"/>
        <v>High</v>
      </c>
      <c r="K1035" s="1">
        <f t="shared" si="114"/>
        <v>0.69899999999999995</v>
      </c>
      <c r="L1035" t="str">
        <f t="shared" si="115"/>
        <v>Normal</v>
      </c>
      <c r="M1035" t="str">
        <f t="shared" si="116"/>
        <v>High Risk</v>
      </c>
      <c r="N1035" t="str">
        <f t="shared" si="117"/>
        <v>Tier 2</v>
      </c>
      <c r="O1035">
        <f t="shared" si="118"/>
        <v>3</v>
      </c>
    </row>
    <row r="1036" spans="1:15" x14ac:dyDescent="0.2">
      <c r="A1036">
        <v>61</v>
      </c>
      <c r="B1036" t="str" cm="1">
        <f t="array" ref="B1036">_xlfn.IFS(A1036&lt;=25,"18-25", A1036&lt;=35,"26-35", A1036&lt;=45,"36-45", A1036&lt;=55,"46-55", A1036&lt;=64,"56-64")</f>
        <v>56-64</v>
      </c>
      <c r="C1036" t="s">
        <v>10</v>
      </c>
      <c r="D1036">
        <v>38.380000000000003</v>
      </c>
      <c r="E1036">
        <v>0</v>
      </c>
      <c r="F1036" t="s">
        <v>11</v>
      </c>
      <c r="G1036" t="s">
        <v>54</v>
      </c>
      <c r="H1036" s="2">
        <v>12950.0712</v>
      </c>
      <c r="I1036" s="2">
        <f t="shared" si="112"/>
        <v>12950.0712</v>
      </c>
      <c r="J1036" t="str">
        <f t="shared" si="113"/>
        <v>Low</v>
      </c>
      <c r="K1036" s="1">
        <f t="shared" si="114"/>
        <v>0.67100000000000004</v>
      </c>
      <c r="L1036" t="str">
        <f t="shared" si="115"/>
        <v>Obese</v>
      </c>
      <c r="M1036" t="str">
        <f t="shared" si="116"/>
        <v>Standard</v>
      </c>
      <c r="N1036" t="str">
        <f t="shared" si="117"/>
        <v>Tier 4</v>
      </c>
      <c r="O1036">
        <f t="shared" si="118"/>
        <v>2</v>
      </c>
    </row>
    <row r="1037" spans="1:15" x14ac:dyDescent="0.2">
      <c r="A1037">
        <v>54</v>
      </c>
      <c r="B1037" t="str" cm="1">
        <f t="array" ref="B1037">_xlfn.IFS(A1037&lt;=25,"18-25", A1037&lt;=35,"26-35", A1037&lt;=45,"36-45", A1037&lt;=55,"46-55", A1037&lt;=64,"56-64")</f>
        <v>46-55</v>
      </c>
      <c r="C1037" t="s">
        <v>7</v>
      </c>
      <c r="D1037">
        <v>23</v>
      </c>
      <c r="E1037">
        <v>3</v>
      </c>
      <c r="F1037" t="s">
        <v>11</v>
      </c>
      <c r="G1037" t="s">
        <v>52</v>
      </c>
      <c r="H1037" s="2">
        <v>12094.477999999999</v>
      </c>
      <c r="I1037" s="2">
        <f t="shared" si="112"/>
        <v>3023.6194999999998</v>
      </c>
      <c r="J1037" t="str">
        <f t="shared" si="113"/>
        <v>Low</v>
      </c>
      <c r="K1037" s="1">
        <f t="shared" si="114"/>
        <v>0.63500000000000001</v>
      </c>
      <c r="L1037" t="str">
        <f t="shared" si="115"/>
        <v>Normal</v>
      </c>
      <c r="M1037" t="str">
        <f t="shared" si="116"/>
        <v>Standard</v>
      </c>
      <c r="N1037" t="str">
        <f t="shared" si="117"/>
        <v>Tier 3</v>
      </c>
      <c r="O1037">
        <f t="shared" si="118"/>
        <v>0</v>
      </c>
    </row>
    <row r="1038" spans="1:15" x14ac:dyDescent="0.2">
      <c r="A1038">
        <v>22</v>
      </c>
      <c r="B1038" t="str" cm="1">
        <f t="array" ref="B1038">_xlfn.IFS(A1038&lt;=25,"18-25", A1038&lt;=35,"26-35", A1038&lt;=45,"36-45", A1038&lt;=55,"46-55", A1038&lt;=64,"56-64")</f>
        <v>18-25</v>
      </c>
      <c r="C1038" t="s">
        <v>10</v>
      </c>
      <c r="D1038">
        <v>37.07</v>
      </c>
      <c r="E1038">
        <v>2</v>
      </c>
      <c r="F1038" t="s">
        <v>8</v>
      </c>
      <c r="G1038" t="s">
        <v>51</v>
      </c>
      <c r="H1038" s="2">
        <v>37484.4493</v>
      </c>
      <c r="I1038" s="2">
        <f t="shared" si="112"/>
        <v>12494.816433333333</v>
      </c>
      <c r="J1038" t="str">
        <f t="shared" si="113"/>
        <v>High</v>
      </c>
      <c r="K1038" s="1">
        <f t="shared" si="114"/>
        <v>0.91900000000000004</v>
      </c>
      <c r="L1038" t="str">
        <f t="shared" si="115"/>
        <v>Obese</v>
      </c>
      <c r="M1038" t="str">
        <f t="shared" si="116"/>
        <v>High Risk</v>
      </c>
      <c r="N1038" t="str">
        <f t="shared" si="117"/>
        <v>Tier 1</v>
      </c>
      <c r="O1038">
        <f t="shared" si="118"/>
        <v>6</v>
      </c>
    </row>
    <row r="1039" spans="1:15" x14ac:dyDescent="0.2">
      <c r="A1039">
        <v>45</v>
      </c>
      <c r="B1039" t="str" cm="1">
        <f t="array" ref="B1039">_xlfn.IFS(A1039&lt;=25,"18-25", A1039&lt;=35,"26-35", A1039&lt;=45,"36-45", A1039&lt;=55,"46-55", A1039&lt;=64,"56-64")</f>
        <v>36-45</v>
      </c>
      <c r="C1039" t="s">
        <v>7</v>
      </c>
      <c r="D1039">
        <v>30.495000000000001</v>
      </c>
      <c r="E1039">
        <v>1</v>
      </c>
      <c r="F1039" t="s">
        <v>8</v>
      </c>
      <c r="G1039" t="s">
        <v>54</v>
      </c>
      <c r="H1039" s="2">
        <v>39725.518049999999</v>
      </c>
      <c r="I1039" s="2">
        <f t="shared" si="112"/>
        <v>19862.759024999999</v>
      </c>
      <c r="J1039" t="str">
        <f t="shared" si="113"/>
        <v>High</v>
      </c>
      <c r="K1039" s="1">
        <f t="shared" si="114"/>
        <v>0.93700000000000006</v>
      </c>
      <c r="L1039" t="str">
        <f t="shared" si="115"/>
        <v>Obese</v>
      </c>
      <c r="M1039" t="str">
        <f t="shared" si="116"/>
        <v>High Risk</v>
      </c>
      <c r="N1039" t="str">
        <f t="shared" si="117"/>
        <v>Tier 4</v>
      </c>
      <c r="O1039">
        <f t="shared" si="118"/>
        <v>5</v>
      </c>
    </row>
    <row r="1040" spans="1:15" x14ac:dyDescent="0.2">
      <c r="A1040">
        <v>22</v>
      </c>
      <c r="B1040" t="str" cm="1">
        <f t="array" ref="B1040">_xlfn.IFS(A1040&lt;=25,"18-25", A1040&lt;=35,"26-35", A1040&lt;=45,"36-45", A1040&lt;=55,"46-55", A1040&lt;=64,"56-64")</f>
        <v>18-25</v>
      </c>
      <c r="C1040" t="s">
        <v>10</v>
      </c>
      <c r="D1040">
        <v>28.88</v>
      </c>
      <c r="E1040">
        <v>0</v>
      </c>
      <c r="F1040" t="s">
        <v>11</v>
      </c>
      <c r="G1040" t="s">
        <v>53</v>
      </c>
      <c r="H1040" s="2">
        <v>2250.8352</v>
      </c>
      <c r="I1040" s="2">
        <f t="shared" si="112"/>
        <v>2250.8352</v>
      </c>
      <c r="J1040" t="str">
        <f t="shared" si="113"/>
        <v>Low</v>
      </c>
      <c r="K1040" s="1">
        <f t="shared" si="114"/>
        <v>9.4E-2</v>
      </c>
      <c r="L1040" t="str">
        <f t="shared" si="115"/>
        <v>Overweight</v>
      </c>
      <c r="M1040" t="str">
        <f t="shared" si="116"/>
        <v>Standard</v>
      </c>
      <c r="N1040" t="str">
        <f t="shared" si="117"/>
        <v>Tier 2</v>
      </c>
      <c r="O1040">
        <f t="shared" si="118"/>
        <v>1</v>
      </c>
    </row>
    <row r="1041" spans="1:15" x14ac:dyDescent="0.2">
      <c r="A1041">
        <v>19</v>
      </c>
      <c r="B1041" t="str" cm="1">
        <f t="array" ref="B1041">_xlfn.IFS(A1041&lt;=25,"18-25", A1041&lt;=35,"26-35", A1041&lt;=45,"36-45", A1041&lt;=55,"46-55", A1041&lt;=64,"56-64")</f>
        <v>18-25</v>
      </c>
      <c r="C1041" t="s">
        <v>10</v>
      </c>
      <c r="D1041">
        <v>27.265000000000001</v>
      </c>
      <c r="E1041">
        <v>2</v>
      </c>
      <c r="F1041" t="s">
        <v>11</v>
      </c>
      <c r="G1041" t="s">
        <v>54</v>
      </c>
      <c r="H1041" s="2">
        <v>22493.659640000002</v>
      </c>
      <c r="I1041" s="2">
        <f t="shared" si="112"/>
        <v>7497.8865466666675</v>
      </c>
      <c r="J1041" t="str">
        <f t="shared" si="113"/>
        <v>High</v>
      </c>
      <c r="K1041" s="1">
        <f t="shared" si="114"/>
        <v>0.82699999999999996</v>
      </c>
      <c r="L1041" t="str">
        <f t="shared" si="115"/>
        <v>Overweight</v>
      </c>
      <c r="M1041" t="str">
        <f t="shared" si="116"/>
        <v>Standard</v>
      </c>
      <c r="N1041" t="str">
        <f t="shared" si="117"/>
        <v>Tier 4</v>
      </c>
      <c r="O1041">
        <f t="shared" si="118"/>
        <v>1</v>
      </c>
    </row>
    <row r="1042" spans="1:15" x14ac:dyDescent="0.2">
      <c r="A1042">
        <v>35</v>
      </c>
      <c r="B1042" t="str" cm="1">
        <f t="array" ref="B1042">_xlfn.IFS(A1042&lt;=25,"18-25", A1042&lt;=35,"26-35", A1042&lt;=45,"36-45", A1042&lt;=55,"46-55", A1042&lt;=64,"56-64")</f>
        <v>26-35</v>
      </c>
      <c r="C1042" t="s">
        <v>7</v>
      </c>
      <c r="D1042">
        <v>28.024999999999999</v>
      </c>
      <c r="E1042">
        <v>0</v>
      </c>
      <c r="F1042" t="s">
        <v>8</v>
      </c>
      <c r="G1042" t="s">
        <v>54</v>
      </c>
      <c r="H1042" s="2">
        <v>20234.854749999999</v>
      </c>
      <c r="I1042" s="2">
        <f t="shared" si="112"/>
        <v>20234.854749999999</v>
      </c>
      <c r="J1042" t="str">
        <f t="shared" si="113"/>
        <v>High</v>
      </c>
      <c r="K1042" s="1">
        <f t="shared" si="114"/>
        <v>0.79900000000000004</v>
      </c>
      <c r="L1042" t="str">
        <f t="shared" si="115"/>
        <v>Overweight</v>
      </c>
      <c r="M1042" t="str">
        <f t="shared" si="116"/>
        <v>High Risk</v>
      </c>
      <c r="N1042" t="str">
        <f t="shared" si="117"/>
        <v>Tier 4</v>
      </c>
      <c r="O1042">
        <f t="shared" si="118"/>
        <v>4</v>
      </c>
    </row>
    <row r="1043" spans="1:15" x14ac:dyDescent="0.2">
      <c r="A1043">
        <v>18</v>
      </c>
      <c r="B1043" t="str" cm="1">
        <f t="array" ref="B1043">_xlfn.IFS(A1043&lt;=25,"18-25", A1043&lt;=35,"26-35", A1043&lt;=45,"36-45", A1043&lt;=55,"46-55", A1043&lt;=64,"56-64")</f>
        <v>18-25</v>
      </c>
      <c r="C1043" t="s">
        <v>10</v>
      </c>
      <c r="D1043">
        <v>23.085000000000001</v>
      </c>
      <c r="E1043">
        <v>0</v>
      </c>
      <c r="F1043" t="s">
        <v>11</v>
      </c>
      <c r="G1043" t="s">
        <v>53</v>
      </c>
      <c r="H1043" s="2">
        <v>1704.7001499999999</v>
      </c>
      <c r="I1043" s="2">
        <f t="shared" si="112"/>
        <v>1704.7001499999999</v>
      </c>
      <c r="J1043" t="str">
        <f t="shared" si="113"/>
        <v>Low</v>
      </c>
      <c r="K1043" s="1">
        <f t="shared" si="114"/>
        <v>3.6999999999999998E-2</v>
      </c>
      <c r="L1043" t="str">
        <f t="shared" si="115"/>
        <v>Normal</v>
      </c>
      <c r="M1043" t="str">
        <f t="shared" si="116"/>
        <v>Standard</v>
      </c>
      <c r="N1043" t="str">
        <f t="shared" si="117"/>
        <v>Tier 2</v>
      </c>
      <c r="O1043">
        <f t="shared" si="118"/>
        <v>0</v>
      </c>
    </row>
    <row r="1044" spans="1:15" x14ac:dyDescent="0.2">
      <c r="A1044">
        <v>20</v>
      </c>
      <c r="B1044" t="str" cm="1">
        <f t="array" ref="B1044">_xlfn.IFS(A1044&lt;=25,"18-25", A1044&lt;=35,"26-35", A1044&lt;=45,"36-45", A1044&lt;=55,"46-55", A1044&lt;=64,"56-64")</f>
        <v>18-25</v>
      </c>
      <c r="C1044" t="s">
        <v>10</v>
      </c>
      <c r="D1044">
        <v>30.684999999999999</v>
      </c>
      <c r="E1044">
        <v>0</v>
      </c>
      <c r="F1044" t="s">
        <v>8</v>
      </c>
      <c r="G1044" t="s">
        <v>53</v>
      </c>
      <c r="H1044" s="2">
        <v>33475.817150000003</v>
      </c>
      <c r="I1044" s="2">
        <f t="shared" si="112"/>
        <v>33475.817150000003</v>
      </c>
      <c r="J1044" t="str">
        <f t="shared" si="113"/>
        <v>High</v>
      </c>
      <c r="K1044" s="1">
        <f t="shared" si="114"/>
        <v>0.88900000000000001</v>
      </c>
      <c r="L1044" t="str">
        <f t="shared" si="115"/>
        <v>Obese</v>
      </c>
      <c r="M1044" t="str">
        <f t="shared" si="116"/>
        <v>High Risk</v>
      </c>
      <c r="N1044" t="str">
        <f t="shared" si="117"/>
        <v>Tier 2</v>
      </c>
      <c r="O1044">
        <f t="shared" si="118"/>
        <v>5</v>
      </c>
    </row>
    <row r="1045" spans="1:15" x14ac:dyDescent="0.2">
      <c r="A1045">
        <v>28</v>
      </c>
      <c r="B1045" t="str" cm="1">
        <f t="array" ref="B1045">_xlfn.IFS(A1045&lt;=25,"18-25", A1045&lt;=35,"26-35", A1045&lt;=45,"36-45", A1045&lt;=55,"46-55", A1045&lt;=64,"56-64")</f>
        <v>26-35</v>
      </c>
      <c r="C1045" t="s">
        <v>7</v>
      </c>
      <c r="D1045">
        <v>25.8</v>
      </c>
      <c r="E1045">
        <v>0</v>
      </c>
      <c r="F1045" t="s">
        <v>11</v>
      </c>
      <c r="G1045" t="s">
        <v>52</v>
      </c>
      <c r="H1045" s="2">
        <v>3161.4540000000002</v>
      </c>
      <c r="I1045" s="2">
        <f t="shared" si="112"/>
        <v>3161.4540000000002</v>
      </c>
      <c r="J1045" t="str">
        <f t="shared" si="113"/>
        <v>Low</v>
      </c>
      <c r="K1045" s="1">
        <f t="shared" si="114"/>
        <v>0.14799999999999999</v>
      </c>
      <c r="L1045" t="str">
        <f t="shared" si="115"/>
        <v>Overweight</v>
      </c>
      <c r="M1045" t="str">
        <f t="shared" si="116"/>
        <v>Standard</v>
      </c>
      <c r="N1045" t="str">
        <f t="shared" si="117"/>
        <v>Tier 3</v>
      </c>
      <c r="O1045">
        <f t="shared" si="118"/>
        <v>1</v>
      </c>
    </row>
    <row r="1046" spans="1:15" x14ac:dyDescent="0.2">
      <c r="A1046">
        <v>55</v>
      </c>
      <c r="B1046" t="str" cm="1">
        <f t="array" ref="B1046">_xlfn.IFS(A1046&lt;=25,"18-25", A1046&lt;=35,"26-35", A1046&lt;=45,"36-45", A1046&lt;=55,"46-55", A1046&lt;=64,"56-64")</f>
        <v>46-55</v>
      </c>
      <c r="C1046" t="s">
        <v>10</v>
      </c>
      <c r="D1046">
        <v>35.244999999999997</v>
      </c>
      <c r="E1046">
        <v>1</v>
      </c>
      <c r="F1046" t="s">
        <v>11</v>
      </c>
      <c r="G1046" t="s">
        <v>53</v>
      </c>
      <c r="H1046" s="2">
        <v>11394.065549999999</v>
      </c>
      <c r="I1046" s="2">
        <f t="shared" si="112"/>
        <v>5697.0327749999997</v>
      </c>
      <c r="J1046" t="str">
        <f t="shared" si="113"/>
        <v>Low</v>
      </c>
      <c r="K1046" s="1">
        <f t="shared" si="114"/>
        <v>0.59899999999999998</v>
      </c>
      <c r="L1046" t="str">
        <f t="shared" si="115"/>
        <v>Obese</v>
      </c>
      <c r="M1046" t="str">
        <f t="shared" si="116"/>
        <v>Standard</v>
      </c>
      <c r="N1046" t="str">
        <f t="shared" si="117"/>
        <v>Tier 2</v>
      </c>
      <c r="O1046">
        <f t="shared" si="118"/>
        <v>2</v>
      </c>
    </row>
    <row r="1047" spans="1:15" x14ac:dyDescent="0.2">
      <c r="A1047">
        <v>43</v>
      </c>
      <c r="B1047" t="str" cm="1">
        <f t="array" ref="B1047">_xlfn.IFS(A1047&lt;=25,"18-25", A1047&lt;=35,"26-35", A1047&lt;=45,"36-45", A1047&lt;=55,"46-55", A1047&lt;=64,"56-64")</f>
        <v>36-45</v>
      </c>
      <c r="C1047" t="s">
        <v>7</v>
      </c>
      <c r="D1047">
        <v>24.7</v>
      </c>
      <c r="E1047">
        <v>2</v>
      </c>
      <c r="F1047" t="s">
        <v>8</v>
      </c>
      <c r="G1047" t="s">
        <v>54</v>
      </c>
      <c r="H1047" s="2">
        <v>21880.82</v>
      </c>
      <c r="I1047" s="2">
        <f t="shared" si="112"/>
        <v>7293.6066666666666</v>
      </c>
      <c r="J1047" t="str">
        <f t="shared" si="113"/>
        <v>High</v>
      </c>
      <c r="K1047" s="1">
        <f t="shared" si="114"/>
        <v>0.81899999999999995</v>
      </c>
      <c r="L1047" t="str">
        <f t="shared" si="115"/>
        <v>Normal</v>
      </c>
      <c r="M1047" t="str">
        <f t="shared" si="116"/>
        <v>High Risk</v>
      </c>
      <c r="N1047" t="str">
        <f t="shared" si="117"/>
        <v>Tier 4</v>
      </c>
      <c r="O1047">
        <f t="shared" si="118"/>
        <v>3</v>
      </c>
    </row>
    <row r="1048" spans="1:15" x14ac:dyDescent="0.2">
      <c r="A1048">
        <v>43</v>
      </c>
      <c r="B1048" t="str" cm="1">
        <f t="array" ref="B1048">_xlfn.IFS(A1048&lt;=25,"18-25", A1048&lt;=35,"26-35", A1048&lt;=45,"36-45", A1048&lt;=55,"46-55", A1048&lt;=64,"56-64")</f>
        <v>36-45</v>
      </c>
      <c r="C1048" t="s">
        <v>7</v>
      </c>
      <c r="D1048">
        <v>25.08</v>
      </c>
      <c r="E1048">
        <v>0</v>
      </c>
      <c r="F1048" t="s">
        <v>11</v>
      </c>
      <c r="G1048" t="s">
        <v>53</v>
      </c>
      <c r="H1048" s="2">
        <v>7325.0482000000002</v>
      </c>
      <c r="I1048" s="2">
        <f t="shared" si="112"/>
        <v>7325.0482000000002</v>
      </c>
      <c r="J1048" t="str">
        <f t="shared" si="113"/>
        <v>Low</v>
      </c>
      <c r="K1048" s="1">
        <f t="shared" si="114"/>
        <v>0.39500000000000002</v>
      </c>
      <c r="L1048" t="str">
        <f t="shared" si="115"/>
        <v>Overweight</v>
      </c>
      <c r="M1048" t="str">
        <f t="shared" si="116"/>
        <v>Standard</v>
      </c>
      <c r="N1048" t="str">
        <f t="shared" si="117"/>
        <v>Tier 2</v>
      </c>
      <c r="O1048">
        <f t="shared" si="118"/>
        <v>1</v>
      </c>
    </row>
    <row r="1049" spans="1:15" x14ac:dyDescent="0.2">
      <c r="A1049">
        <v>22</v>
      </c>
      <c r="B1049" t="str" cm="1">
        <f t="array" ref="B1049">_xlfn.IFS(A1049&lt;=25,"18-25", A1049&lt;=35,"26-35", A1049&lt;=45,"36-45", A1049&lt;=55,"46-55", A1049&lt;=64,"56-64")</f>
        <v>18-25</v>
      </c>
      <c r="C1049" t="s">
        <v>10</v>
      </c>
      <c r="D1049">
        <v>52.58</v>
      </c>
      <c r="E1049">
        <v>1</v>
      </c>
      <c r="F1049" t="s">
        <v>8</v>
      </c>
      <c r="G1049" t="s">
        <v>51</v>
      </c>
      <c r="H1049" s="2">
        <v>44501.398200000003</v>
      </c>
      <c r="I1049" s="2">
        <f t="shared" si="112"/>
        <v>22250.699100000002</v>
      </c>
      <c r="J1049" t="str">
        <f t="shared" si="113"/>
        <v>High</v>
      </c>
      <c r="K1049" s="1">
        <f t="shared" si="114"/>
        <v>0.97</v>
      </c>
      <c r="L1049" t="str">
        <f t="shared" si="115"/>
        <v>Obese</v>
      </c>
      <c r="M1049" t="str">
        <f t="shared" si="116"/>
        <v>High Risk</v>
      </c>
      <c r="N1049" t="str">
        <f t="shared" si="117"/>
        <v>Tier 1</v>
      </c>
      <c r="O1049">
        <f t="shared" si="118"/>
        <v>6</v>
      </c>
    </row>
    <row r="1050" spans="1:15" x14ac:dyDescent="0.2">
      <c r="A1050">
        <v>25</v>
      </c>
      <c r="B1050" t="str" cm="1">
        <f t="array" ref="B1050">_xlfn.IFS(A1050&lt;=25,"18-25", A1050&lt;=35,"26-35", A1050&lt;=45,"36-45", A1050&lt;=55,"46-55", A1050&lt;=64,"56-64")</f>
        <v>18-25</v>
      </c>
      <c r="C1050" t="s">
        <v>7</v>
      </c>
      <c r="D1050">
        <v>22.515000000000001</v>
      </c>
      <c r="E1050">
        <v>1</v>
      </c>
      <c r="F1050" t="s">
        <v>11</v>
      </c>
      <c r="G1050" t="s">
        <v>54</v>
      </c>
      <c r="H1050" s="2">
        <v>3594.17085</v>
      </c>
      <c r="I1050" s="2">
        <f t="shared" si="112"/>
        <v>1797.085425</v>
      </c>
      <c r="J1050" t="str">
        <f t="shared" si="113"/>
        <v>Low</v>
      </c>
      <c r="K1050" s="1">
        <f t="shared" si="114"/>
        <v>0.17899999999999999</v>
      </c>
      <c r="L1050" t="str">
        <f t="shared" si="115"/>
        <v>Normal</v>
      </c>
      <c r="M1050" t="str">
        <f t="shared" si="116"/>
        <v>Standard</v>
      </c>
      <c r="N1050" t="str">
        <f t="shared" si="117"/>
        <v>Tier 4</v>
      </c>
      <c r="O1050">
        <f t="shared" si="118"/>
        <v>0</v>
      </c>
    </row>
    <row r="1051" spans="1:15" x14ac:dyDescent="0.2">
      <c r="A1051">
        <v>49</v>
      </c>
      <c r="B1051" t="str" cm="1">
        <f t="array" ref="B1051">_xlfn.IFS(A1051&lt;=25,"18-25", A1051&lt;=35,"26-35", A1051&lt;=45,"36-45", A1051&lt;=55,"46-55", A1051&lt;=64,"56-64")</f>
        <v>46-55</v>
      </c>
      <c r="C1051" t="s">
        <v>10</v>
      </c>
      <c r="D1051">
        <v>30.9</v>
      </c>
      <c r="E1051">
        <v>0</v>
      </c>
      <c r="F1051" t="s">
        <v>8</v>
      </c>
      <c r="G1051" t="s">
        <v>52</v>
      </c>
      <c r="H1051" s="2">
        <v>39727.614000000001</v>
      </c>
      <c r="I1051" s="2">
        <f t="shared" si="112"/>
        <v>39727.614000000001</v>
      </c>
      <c r="J1051" t="str">
        <f t="shared" si="113"/>
        <v>High</v>
      </c>
      <c r="K1051" s="1">
        <f t="shared" si="114"/>
        <v>0.93700000000000006</v>
      </c>
      <c r="L1051" t="str">
        <f t="shared" si="115"/>
        <v>Obese</v>
      </c>
      <c r="M1051" t="str">
        <f t="shared" si="116"/>
        <v>High Risk</v>
      </c>
      <c r="N1051" t="str">
        <f t="shared" si="117"/>
        <v>Tier 3</v>
      </c>
      <c r="O1051">
        <f t="shared" si="118"/>
        <v>5</v>
      </c>
    </row>
    <row r="1052" spans="1:15" x14ac:dyDescent="0.2">
      <c r="A1052">
        <v>44</v>
      </c>
      <c r="B1052" t="str" cm="1">
        <f t="array" ref="B1052">_xlfn.IFS(A1052&lt;=25,"18-25", A1052&lt;=35,"26-35", A1052&lt;=45,"36-45", A1052&lt;=55,"46-55", A1052&lt;=64,"56-64")</f>
        <v>36-45</v>
      </c>
      <c r="C1052" t="s">
        <v>7</v>
      </c>
      <c r="D1052">
        <v>36.954999999999998</v>
      </c>
      <c r="E1052">
        <v>1</v>
      </c>
      <c r="F1052" t="s">
        <v>11</v>
      </c>
      <c r="G1052" t="s">
        <v>54</v>
      </c>
      <c r="H1052" s="2">
        <v>8023.1354499999998</v>
      </c>
      <c r="I1052" s="2">
        <f t="shared" si="112"/>
        <v>4011.5677249999999</v>
      </c>
      <c r="J1052" t="str">
        <f t="shared" si="113"/>
        <v>Low</v>
      </c>
      <c r="K1052" s="1">
        <f t="shared" si="114"/>
        <v>0.42699999999999999</v>
      </c>
      <c r="L1052" t="str">
        <f t="shared" si="115"/>
        <v>Obese</v>
      </c>
      <c r="M1052" t="str">
        <f t="shared" si="116"/>
        <v>Standard</v>
      </c>
      <c r="N1052" t="str">
        <f t="shared" si="117"/>
        <v>Tier 4</v>
      </c>
      <c r="O1052">
        <f t="shared" si="118"/>
        <v>2</v>
      </c>
    </row>
    <row r="1053" spans="1:15" x14ac:dyDescent="0.2">
      <c r="A1053">
        <v>64</v>
      </c>
      <c r="B1053" t="str" cm="1">
        <f t="array" ref="B1053">_xlfn.IFS(A1053&lt;=25,"18-25", A1053&lt;=35,"26-35", A1053&lt;=45,"36-45", A1053&lt;=55,"46-55", A1053&lt;=64,"56-64")</f>
        <v>56-64</v>
      </c>
      <c r="C1053" t="s">
        <v>10</v>
      </c>
      <c r="D1053">
        <v>26.41</v>
      </c>
      <c r="E1053">
        <v>0</v>
      </c>
      <c r="F1053" t="s">
        <v>11</v>
      </c>
      <c r="G1053" t="s">
        <v>53</v>
      </c>
      <c r="H1053" s="2">
        <v>14394.5579</v>
      </c>
      <c r="I1053" s="2">
        <f t="shared" si="112"/>
        <v>14394.5579</v>
      </c>
      <c r="J1053" t="str">
        <f t="shared" si="113"/>
        <v>High</v>
      </c>
      <c r="K1053" s="1">
        <f t="shared" si="114"/>
        <v>0.72099999999999997</v>
      </c>
      <c r="L1053" t="str">
        <f t="shared" si="115"/>
        <v>Overweight</v>
      </c>
      <c r="M1053" t="str">
        <f t="shared" si="116"/>
        <v>Standard</v>
      </c>
      <c r="N1053" t="str">
        <f t="shared" si="117"/>
        <v>Tier 2</v>
      </c>
      <c r="O1053">
        <f t="shared" si="118"/>
        <v>1</v>
      </c>
    </row>
    <row r="1054" spans="1:15" x14ac:dyDescent="0.2">
      <c r="A1054">
        <v>49</v>
      </c>
      <c r="B1054" t="str" cm="1">
        <f t="array" ref="B1054">_xlfn.IFS(A1054&lt;=25,"18-25", A1054&lt;=35,"26-35", A1054&lt;=45,"36-45", A1054&lt;=55,"46-55", A1054&lt;=64,"56-64")</f>
        <v>46-55</v>
      </c>
      <c r="C1054" t="s">
        <v>10</v>
      </c>
      <c r="D1054">
        <v>29.83</v>
      </c>
      <c r="E1054">
        <v>1</v>
      </c>
      <c r="F1054" t="s">
        <v>11</v>
      </c>
      <c r="G1054" t="s">
        <v>53</v>
      </c>
      <c r="H1054" s="2">
        <v>9288.0267000000003</v>
      </c>
      <c r="I1054" s="2">
        <f t="shared" si="112"/>
        <v>4644.0133500000002</v>
      </c>
      <c r="J1054" t="str">
        <f t="shared" si="113"/>
        <v>Low</v>
      </c>
      <c r="K1054" s="1">
        <f t="shared" si="114"/>
        <v>0.495</v>
      </c>
      <c r="L1054" t="str">
        <f t="shared" si="115"/>
        <v>Overweight</v>
      </c>
      <c r="M1054" t="str">
        <f t="shared" si="116"/>
        <v>Standard</v>
      </c>
      <c r="N1054" t="str">
        <f t="shared" si="117"/>
        <v>Tier 2</v>
      </c>
      <c r="O1054">
        <f t="shared" si="118"/>
        <v>1</v>
      </c>
    </row>
    <row r="1055" spans="1:15" x14ac:dyDescent="0.2">
      <c r="A1055">
        <v>47</v>
      </c>
      <c r="B1055" t="str" cm="1">
        <f t="array" ref="B1055">_xlfn.IFS(A1055&lt;=25,"18-25", A1055&lt;=35,"26-35", A1055&lt;=45,"36-45", A1055&lt;=55,"46-55", A1055&lt;=64,"56-64")</f>
        <v>46-55</v>
      </c>
      <c r="C1055" t="s">
        <v>10</v>
      </c>
      <c r="D1055">
        <v>29.8</v>
      </c>
      <c r="E1055">
        <v>3</v>
      </c>
      <c r="F1055" t="s">
        <v>8</v>
      </c>
      <c r="G1055" t="s">
        <v>52</v>
      </c>
      <c r="H1055" s="2">
        <v>25309.489000000001</v>
      </c>
      <c r="I1055" s="2">
        <f t="shared" si="112"/>
        <v>6327.3722500000003</v>
      </c>
      <c r="J1055" t="str">
        <f t="shared" si="113"/>
        <v>High</v>
      </c>
      <c r="K1055" s="1">
        <f t="shared" si="114"/>
        <v>0.85099999999999998</v>
      </c>
      <c r="L1055" t="str">
        <f t="shared" si="115"/>
        <v>Overweight</v>
      </c>
      <c r="M1055" t="str">
        <f t="shared" si="116"/>
        <v>High Risk</v>
      </c>
      <c r="N1055" t="str">
        <f t="shared" si="117"/>
        <v>Tier 3</v>
      </c>
      <c r="O1055">
        <f t="shared" si="118"/>
        <v>4</v>
      </c>
    </row>
    <row r="1056" spans="1:15" x14ac:dyDescent="0.2">
      <c r="A1056">
        <v>27</v>
      </c>
      <c r="B1056" t="str" cm="1">
        <f t="array" ref="B1056">_xlfn.IFS(A1056&lt;=25,"18-25", A1056&lt;=35,"26-35", A1056&lt;=45,"36-45", A1056&lt;=55,"46-55", A1056&lt;=64,"56-64")</f>
        <v>26-35</v>
      </c>
      <c r="C1056" t="s">
        <v>7</v>
      </c>
      <c r="D1056">
        <v>21.47</v>
      </c>
      <c r="E1056">
        <v>0</v>
      </c>
      <c r="F1056" t="s">
        <v>11</v>
      </c>
      <c r="G1056" t="s">
        <v>54</v>
      </c>
      <c r="H1056" s="2">
        <v>3353.4703</v>
      </c>
      <c r="I1056" s="2">
        <f t="shared" si="112"/>
        <v>3353.4703</v>
      </c>
      <c r="J1056" t="str">
        <f t="shared" si="113"/>
        <v>Low</v>
      </c>
      <c r="K1056" s="1">
        <f t="shared" si="114"/>
        <v>0.16300000000000001</v>
      </c>
      <c r="L1056" t="str">
        <f t="shared" si="115"/>
        <v>Normal</v>
      </c>
      <c r="M1056" t="str">
        <f t="shared" si="116"/>
        <v>Standard</v>
      </c>
      <c r="N1056" t="str">
        <f t="shared" si="117"/>
        <v>Tier 4</v>
      </c>
      <c r="O1056">
        <f t="shared" si="118"/>
        <v>0</v>
      </c>
    </row>
    <row r="1057" spans="1:15" x14ac:dyDescent="0.2">
      <c r="A1057">
        <v>55</v>
      </c>
      <c r="B1057" t="str" cm="1">
        <f t="array" ref="B1057">_xlfn.IFS(A1057&lt;=25,"18-25", A1057&lt;=35,"26-35", A1057&lt;=45,"36-45", A1057&lt;=55,"46-55", A1057&lt;=64,"56-64")</f>
        <v>46-55</v>
      </c>
      <c r="C1057" t="s">
        <v>10</v>
      </c>
      <c r="D1057">
        <v>27.645</v>
      </c>
      <c r="E1057">
        <v>0</v>
      </c>
      <c r="F1057" t="s">
        <v>11</v>
      </c>
      <c r="G1057" t="s">
        <v>54</v>
      </c>
      <c r="H1057" s="2">
        <v>10594.501550000001</v>
      </c>
      <c r="I1057" s="2">
        <f t="shared" si="112"/>
        <v>10594.501550000001</v>
      </c>
      <c r="J1057" t="str">
        <f t="shared" si="113"/>
        <v>Low</v>
      </c>
      <c r="K1057" s="1">
        <f t="shared" si="114"/>
        <v>0.55700000000000005</v>
      </c>
      <c r="L1057" t="str">
        <f t="shared" si="115"/>
        <v>Overweight</v>
      </c>
      <c r="M1057" t="str">
        <f t="shared" si="116"/>
        <v>Standard</v>
      </c>
      <c r="N1057" t="str">
        <f t="shared" si="117"/>
        <v>Tier 4</v>
      </c>
      <c r="O1057">
        <f t="shared" si="118"/>
        <v>1</v>
      </c>
    </row>
    <row r="1058" spans="1:15" x14ac:dyDescent="0.2">
      <c r="A1058">
        <v>48</v>
      </c>
      <c r="B1058" t="str" cm="1">
        <f t="array" ref="B1058">_xlfn.IFS(A1058&lt;=25,"18-25", A1058&lt;=35,"26-35", A1058&lt;=45,"36-45", A1058&lt;=55,"46-55", A1058&lt;=64,"56-64")</f>
        <v>46-55</v>
      </c>
      <c r="C1058" t="s">
        <v>7</v>
      </c>
      <c r="D1058">
        <v>28.9</v>
      </c>
      <c r="E1058">
        <v>0</v>
      </c>
      <c r="F1058" t="s">
        <v>11</v>
      </c>
      <c r="G1058" t="s">
        <v>52</v>
      </c>
      <c r="H1058" s="2">
        <v>8277.5229999999992</v>
      </c>
      <c r="I1058" s="2">
        <f t="shared" si="112"/>
        <v>8277.5229999999992</v>
      </c>
      <c r="J1058" t="str">
        <f t="shared" si="113"/>
        <v>Low</v>
      </c>
      <c r="K1058" s="1">
        <f t="shared" si="114"/>
        <v>0.441</v>
      </c>
      <c r="L1058" t="str">
        <f t="shared" si="115"/>
        <v>Overweight</v>
      </c>
      <c r="M1058" t="str">
        <f t="shared" si="116"/>
        <v>Standard</v>
      </c>
      <c r="N1058" t="str">
        <f t="shared" si="117"/>
        <v>Tier 3</v>
      </c>
      <c r="O1058">
        <f t="shared" si="118"/>
        <v>1</v>
      </c>
    </row>
    <row r="1059" spans="1:15" x14ac:dyDescent="0.2">
      <c r="A1059">
        <v>45</v>
      </c>
      <c r="B1059" t="str" cm="1">
        <f t="array" ref="B1059">_xlfn.IFS(A1059&lt;=25,"18-25", A1059&lt;=35,"26-35", A1059&lt;=45,"36-45", A1059&lt;=55,"46-55", A1059&lt;=64,"56-64")</f>
        <v>36-45</v>
      </c>
      <c r="C1059" t="s">
        <v>7</v>
      </c>
      <c r="D1059">
        <v>31.79</v>
      </c>
      <c r="E1059">
        <v>0</v>
      </c>
      <c r="F1059" t="s">
        <v>11</v>
      </c>
      <c r="G1059" t="s">
        <v>51</v>
      </c>
      <c r="H1059" s="2">
        <v>17929.303370000001</v>
      </c>
      <c r="I1059" s="2">
        <f t="shared" si="112"/>
        <v>17929.303370000001</v>
      </c>
      <c r="J1059" t="str">
        <f t="shared" si="113"/>
        <v>High</v>
      </c>
      <c r="K1059" s="1">
        <f t="shared" si="114"/>
        <v>0.76500000000000001</v>
      </c>
      <c r="L1059" t="str">
        <f t="shared" si="115"/>
        <v>Obese</v>
      </c>
      <c r="M1059" t="str">
        <f t="shared" si="116"/>
        <v>Standard</v>
      </c>
      <c r="N1059" t="str">
        <f t="shared" si="117"/>
        <v>Tier 1</v>
      </c>
      <c r="O1059">
        <f t="shared" si="118"/>
        <v>3</v>
      </c>
    </row>
    <row r="1060" spans="1:15" x14ac:dyDescent="0.2">
      <c r="A1060">
        <v>24</v>
      </c>
      <c r="B1060" t="str" cm="1">
        <f t="array" ref="B1060">_xlfn.IFS(A1060&lt;=25,"18-25", A1060&lt;=35,"26-35", A1060&lt;=45,"36-45", A1060&lt;=55,"46-55", A1060&lt;=64,"56-64")</f>
        <v>18-25</v>
      </c>
      <c r="C1060" t="s">
        <v>7</v>
      </c>
      <c r="D1060">
        <v>39.49</v>
      </c>
      <c r="E1060">
        <v>0</v>
      </c>
      <c r="F1060" t="s">
        <v>11</v>
      </c>
      <c r="G1060" t="s">
        <v>51</v>
      </c>
      <c r="H1060" s="2">
        <v>2480.9791</v>
      </c>
      <c r="I1060" s="2">
        <f t="shared" si="112"/>
        <v>2480.9791</v>
      </c>
      <c r="J1060" t="str">
        <f t="shared" si="113"/>
        <v>Low</v>
      </c>
      <c r="K1060" s="1">
        <f t="shared" si="114"/>
        <v>0.109</v>
      </c>
      <c r="L1060" t="str">
        <f t="shared" si="115"/>
        <v>Obese</v>
      </c>
      <c r="M1060" t="str">
        <f t="shared" si="116"/>
        <v>Standard</v>
      </c>
      <c r="N1060" t="str">
        <f t="shared" si="117"/>
        <v>Tier 1</v>
      </c>
      <c r="O1060">
        <f t="shared" si="118"/>
        <v>3</v>
      </c>
    </row>
    <row r="1061" spans="1:15" x14ac:dyDescent="0.2">
      <c r="A1061">
        <v>32</v>
      </c>
      <c r="B1061" t="str" cm="1">
        <f t="array" ref="B1061">_xlfn.IFS(A1061&lt;=25,"18-25", A1061&lt;=35,"26-35", A1061&lt;=45,"36-45", A1061&lt;=55,"46-55", A1061&lt;=64,"56-64")</f>
        <v>26-35</v>
      </c>
      <c r="C1061" t="s">
        <v>10</v>
      </c>
      <c r="D1061">
        <v>33.82</v>
      </c>
      <c r="E1061">
        <v>1</v>
      </c>
      <c r="F1061" t="s">
        <v>11</v>
      </c>
      <c r="G1061" t="s">
        <v>54</v>
      </c>
      <c r="H1061" s="2">
        <v>4462.7218000000003</v>
      </c>
      <c r="I1061" s="2">
        <f t="shared" si="112"/>
        <v>2231.3609000000001</v>
      </c>
      <c r="J1061" t="str">
        <f t="shared" si="113"/>
        <v>Low</v>
      </c>
      <c r="K1061" s="1">
        <f t="shared" si="114"/>
        <v>0.23100000000000001</v>
      </c>
      <c r="L1061" t="str">
        <f t="shared" si="115"/>
        <v>Obese</v>
      </c>
      <c r="M1061" t="str">
        <f t="shared" si="116"/>
        <v>Standard</v>
      </c>
      <c r="N1061" t="str">
        <f t="shared" si="117"/>
        <v>Tier 4</v>
      </c>
      <c r="O1061">
        <f t="shared" si="118"/>
        <v>2</v>
      </c>
    </row>
    <row r="1062" spans="1:15" x14ac:dyDescent="0.2">
      <c r="A1062">
        <v>24</v>
      </c>
      <c r="B1062" t="str" cm="1">
        <f t="array" ref="B1062">_xlfn.IFS(A1062&lt;=25,"18-25", A1062&lt;=35,"26-35", A1062&lt;=45,"36-45", A1062&lt;=55,"46-55", A1062&lt;=64,"56-64")</f>
        <v>18-25</v>
      </c>
      <c r="C1062" t="s">
        <v>10</v>
      </c>
      <c r="D1062">
        <v>32.01</v>
      </c>
      <c r="E1062">
        <v>0</v>
      </c>
      <c r="F1062" t="s">
        <v>11</v>
      </c>
      <c r="G1062" t="s">
        <v>51</v>
      </c>
      <c r="H1062" s="2">
        <v>1981.5818999999999</v>
      </c>
      <c r="I1062" s="2">
        <f t="shared" si="112"/>
        <v>1981.5818999999999</v>
      </c>
      <c r="J1062" t="str">
        <f t="shared" si="113"/>
        <v>Low</v>
      </c>
      <c r="K1062" s="1">
        <f t="shared" si="114"/>
        <v>6.6000000000000003E-2</v>
      </c>
      <c r="L1062" t="str">
        <f t="shared" si="115"/>
        <v>Obese</v>
      </c>
      <c r="M1062" t="str">
        <f t="shared" si="116"/>
        <v>Standard</v>
      </c>
      <c r="N1062" t="str">
        <f t="shared" si="117"/>
        <v>Tier 1</v>
      </c>
      <c r="O1062">
        <f t="shared" si="118"/>
        <v>3</v>
      </c>
    </row>
    <row r="1063" spans="1:15" x14ac:dyDescent="0.2">
      <c r="A1063">
        <v>57</v>
      </c>
      <c r="B1063" t="str" cm="1">
        <f t="array" ref="B1063">_xlfn.IFS(A1063&lt;=25,"18-25", A1063&lt;=35,"26-35", A1063&lt;=45,"36-45", A1063&lt;=55,"46-55", A1063&lt;=64,"56-64")</f>
        <v>56-64</v>
      </c>
      <c r="C1063" t="s">
        <v>10</v>
      </c>
      <c r="D1063">
        <v>27.94</v>
      </c>
      <c r="E1063">
        <v>1</v>
      </c>
      <c r="F1063" t="s">
        <v>11</v>
      </c>
      <c r="G1063" t="s">
        <v>51</v>
      </c>
      <c r="H1063" s="2">
        <v>11554.223599999999</v>
      </c>
      <c r="I1063" s="2">
        <f t="shared" si="112"/>
        <v>5777.1117999999997</v>
      </c>
      <c r="J1063" t="str">
        <f t="shared" si="113"/>
        <v>Low</v>
      </c>
      <c r="K1063" s="1">
        <f t="shared" si="114"/>
        <v>0.60799999999999998</v>
      </c>
      <c r="L1063" t="str">
        <f t="shared" si="115"/>
        <v>Overweight</v>
      </c>
      <c r="M1063" t="str">
        <f t="shared" si="116"/>
        <v>Standard</v>
      </c>
      <c r="N1063" t="str">
        <f t="shared" si="117"/>
        <v>Tier 1</v>
      </c>
      <c r="O1063">
        <f t="shared" si="118"/>
        <v>2</v>
      </c>
    </row>
    <row r="1064" spans="1:15" x14ac:dyDescent="0.2">
      <c r="A1064">
        <v>59</v>
      </c>
      <c r="B1064" t="str" cm="1">
        <f t="array" ref="B1064">_xlfn.IFS(A1064&lt;=25,"18-25", A1064&lt;=35,"26-35", A1064&lt;=45,"36-45", A1064&lt;=55,"46-55", A1064&lt;=64,"56-64")</f>
        <v>56-64</v>
      </c>
      <c r="C1064" t="s">
        <v>10</v>
      </c>
      <c r="D1064">
        <v>41.14</v>
      </c>
      <c r="E1064">
        <v>1</v>
      </c>
      <c r="F1064" t="s">
        <v>8</v>
      </c>
      <c r="G1064" t="s">
        <v>51</v>
      </c>
      <c r="H1064" s="2">
        <v>48970.247600000002</v>
      </c>
      <c r="I1064" s="2">
        <f t="shared" si="112"/>
        <v>24485.123800000001</v>
      </c>
      <c r="J1064" t="str">
        <f t="shared" si="113"/>
        <v>High</v>
      </c>
      <c r="K1064" s="1">
        <f t="shared" si="114"/>
        <v>0.99399999999999999</v>
      </c>
      <c r="L1064" t="str">
        <f t="shared" si="115"/>
        <v>Obese</v>
      </c>
      <c r="M1064" t="str">
        <f t="shared" si="116"/>
        <v>High Risk</v>
      </c>
      <c r="N1064" t="str">
        <f t="shared" si="117"/>
        <v>Tier 1</v>
      </c>
      <c r="O1064">
        <f t="shared" si="118"/>
        <v>6</v>
      </c>
    </row>
    <row r="1065" spans="1:15" x14ac:dyDescent="0.2">
      <c r="A1065">
        <v>36</v>
      </c>
      <c r="B1065" t="str" cm="1">
        <f t="array" ref="B1065">_xlfn.IFS(A1065&lt;=25,"18-25", A1065&lt;=35,"26-35", A1065&lt;=45,"36-45", A1065&lt;=55,"46-55", A1065&lt;=64,"56-64")</f>
        <v>36-45</v>
      </c>
      <c r="C1065" t="s">
        <v>10</v>
      </c>
      <c r="D1065">
        <v>28.594999999999999</v>
      </c>
      <c r="E1065">
        <v>3</v>
      </c>
      <c r="F1065" t="s">
        <v>11</v>
      </c>
      <c r="G1065" t="s">
        <v>54</v>
      </c>
      <c r="H1065" s="2">
        <v>6548.1950500000003</v>
      </c>
      <c r="I1065" s="2">
        <f t="shared" si="112"/>
        <v>1637.0487625000001</v>
      </c>
      <c r="J1065" t="str">
        <f t="shared" si="113"/>
        <v>Low</v>
      </c>
      <c r="K1065" s="1">
        <f t="shared" si="114"/>
        <v>0.35</v>
      </c>
      <c r="L1065" t="str">
        <f t="shared" si="115"/>
        <v>Overweight</v>
      </c>
      <c r="M1065" t="str">
        <f t="shared" si="116"/>
        <v>Standard</v>
      </c>
      <c r="N1065" t="str">
        <f t="shared" si="117"/>
        <v>Tier 4</v>
      </c>
      <c r="O1065">
        <f t="shared" si="118"/>
        <v>1</v>
      </c>
    </row>
    <row r="1066" spans="1:15" x14ac:dyDescent="0.2">
      <c r="A1066">
        <v>29</v>
      </c>
      <c r="B1066" t="str" cm="1">
        <f t="array" ref="B1066">_xlfn.IFS(A1066&lt;=25,"18-25", A1066&lt;=35,"26-35", A1066&lt;=45,"36-45", A1066&lt;=55,"46-55", A1066&lt;=64,"56-64")</f>
        <v>26-35</v>
      </c>
      <c r="C1066" t="s">
        <v>7</v>
      </c>
      <c r="D1066">
        <v>25.6</v>
      </c>
      <c r="E1066">
        <v>4</v>
      </c>
      <c r="F1066" t="s">
        <v>11</v>
      </c>
      <c r="G1066" t="s">
        <v>52</v>
      </c>
      <c r="H1066" s="2">
        <v>5708.8670000000002</v>
      </c>
      <c r="I1066" s="2">
        <f t="shared" si="112"/>
        <v>1141.7734</v>
      </c>
      <c r="J1066" t="str">
        <f t="shared" si="113"/>
        <v>Low</v>
      </c>
      <c r="K1066" s="1">
        <f t="shared" si="114"/>
        <v>0.307</v>
      </c>
      <c r="L1066" t="str">
        <f t="shared" si="115"/>
        <v>Overweight</v>
      </c>
      <c r="M1066" t="str">
        <f t="shared" si="116"/>
        <v>Standard</v>
      </c>
      <c r="N1066" t="str">
        <f t="shared" si="117"/>
        <v>Tier 3</v>
      </c>
      <c r="O1066">
        <f t="shared" si="118"/>
        <v>1</v>
      </c>
    </row>
    <row r="1067" spans="1:15" x14ac:dyDescent="0.2">
      <c r="A1067">
        <v>42</v>
      </c>
      <c r="B1067" t="str" cm="1">
        <f t="array" ref="B1067">_xlfn.IFS(A1067&lt;=25,"18-25", A1067&lt;=35,"26-35", A1067&lt;=45,"36-45", A1067&lt;=55,"46-55", A1067&lt;=64,"56-64")</f>
        <v>36-45</v>
      </c>
      <c r="C1067" t="s">
        <v>7</v>
      </c>
      <c r="D1067">
        <v>25.3</v>
      </c>
      <c r="E1067">
        <v>1</v>
      </c>
      <c r="F1067" t="s">
        <v>11</v>
      </c>
      <c r="G1067" t="s">
        <v>52</v>
      </c>
      <c r="H1067" s="2">
        <v>7045.4989999999998</v>
      </c>
      <c r="I1067" s="2">
        <f t="shared" si="112"/>
        <v>3522.7494999999999</v>
      </c>
      <c r="J1067" t="str">
        <f t="shared" si="113"/>
        <v>Low</v>
      </c>
      <c r="K1067" s="1">
        <f t="shared" si="114"/>
        <v>0.375</v>
      </c>
      <c r="L1067" t="str">
        <f t="shared" si="115"/>
        <v>Overweight</v>
      </c>
      <c r="M1067" t="str">
        <f t="shared" si="116"/>
        <v>Standard</v>
      </c>
      <c r="N1067" t="str">
        <f t="shared" si="117"/>
        <v>Tier 3</v>
      </c>
      <c r="O1067">
        <f t="shared" si="118"/>
        <v>1</v>
      </c>
    </row>
    <row r="1068" spans="1:15" x14ac:dyDescent="0.2">
      <c r="A1068">
        <v>48</v>
      </c>
      <c r="B1068" t="str" cm="1">
        <f t="array" ref="B1068">_xlfn.IFS(A1068&lt;=25,"18-25", A1068&lt;=35,"26-35", A1068&lt;=45,"36-45", A1068&lt;=55,"46-55", A1068&lt;=64,"56-64")</f>
        <v>46-55</v>
      </c>
      <c r="C1068" t="s">
        <v>10</v>
      </c>
      <c r="D1068">
        <v>37.29</v>
      </c>
      <c r="E1068">
        <v>2</v>
      </c>
      <c r="F1068" t="s">
        <v>11</v>
      </c>
      <c r="G1068" t="s">
        <v>51</v>
      </c>
      <c r="H1068" s="2">
        <v>8978.1851000000006</v>
      </c>
      <c r="I1068" s="2">
        <f t="shared" si="112"/>
        <v>2992.7283666666667</v>
      </c>
      <c r="J1068" t="str">
        <f t="shared" si="113"/>
        <v>Low</v>
      </c>
      <c r="K1068" s="1">
        <f t="shared" si="114"/>
        <v>0.48299999999999998</v>
      </c>
      <c r="L1068" t="str">
        <f t="shared" si="115"/>
        <v>Obese</v>
      </c>
      <c r="M1068" t="str">
        <f t="shared" si="116"/>
        <v>Standard</v>
      </c>
      <c r="N1068" t="str">
        <f t="shared" si="117"/>
        <v>Tier 1</v>
      </c>
      <c r="O1068">
        <f t="shared" si="118"/>
        <v>3</v>
      </c>
    </row>
    <row r="1069" spans="1:15" x14ac:dyDescent="0.2">
      <c r="A1069">
        <v>39</v>
      </c>
      <c r="B1069" t="str" cm="1">
        <f t="array" ref="B1069">_xlfn.IFS(A1069&lt;=25,"18-25", A1069&lt;=35,"26-35", A1069&lt;=45,"36-45", A1069&lt;=55,"46-55", A1069&lt;=64,"56-64")</f>
        <v>36-45</v>
      </c>
      <c r="C1069" t="s">
        <v>10</v>
      </c>
      <c r="D1069">
        <v>42.655000000000001</v>
      </c>
      <c r="E1069">
        <v>0</v>
      </c>
      <c r="F1069" t="s">
        <v>11</v>
      </c>
      <c r="G1069" t="s">
        <v>53</v>
      </c>
      <c r="H1069" s="2">
        <v>5757.41345</v>
      </c>
      <c r="I1069" s="2">
        <f t="shared" si="112"/>
        <v>5757.41345</v>
      </c>
      <c r="J1069" t="str">
        <f t="shared" si="113"/>
        <v>Low</v>
      </c>
      <c r="K1069" s="1">
        <f t="shared" si="114"/>
        <v>0.309</v>
      </c>
      <c r="L1069" t="str">
        <f t="shared" si="115"/>
        <v>Obese</v>
      </c>
      <c r="M1069" t="str">
        <f t="shared" si="116"/>
        <v>Standard</v>
      </c>
      <c r="N1069" t="str">
        <f t="shared" si="117"/>
        <v>Tier 2</v>
      </c>
      <c r="O1069">
        <f t="shared" si="118"/>
        <v>2</v>
      </c>
    </row>
    <row r="1070" spans="1:15" x14ac:dyDescent="0.2">
      <c r="A1070">
        <v>63</v>
      </c>
      <c r="B1070" t="str" cm="1">
        <f t="array" ref="B1070">_xlfn.IFS(A1070&lt;=25,"18-25", A1070&lt;=35,"26-35", A1070&lt;=45,"36-45", A1070&lt;=55,"46-55", A1070&lt;=64,"56-64")</f>
        <v>56-64</v>
      </c>
      <c r="C1070" t="s">
        <v>10</v>
      </c>
      <c r="D1070">
        <v>21.66</v>
      </c>
      <c r="E1070">
        <v>1</v>
      </c>
      <c r="F1070" t="s">
        <v>11</v>
      </c>
      <c r="G1070" t="s">
        <v>54</v>
      </c>
      <c r="H1070" s="2">
        <v>14349.8544</v>
      </c>
      <c r="I1070" s="2">
        <f t="shared" si="112"/>
        <v>7174.9272000000001</v>
      </c>
      <c r="J1070" t="str">
        <f t="shared" si="113"/>
        <v>High</v>
      </c>
      <c r="K1070" s="1">
        <f t="shared" si="114"/>
        <v>0.71799999999999997</v>
      </c>
      <c r="L1070" t="str">
        <f t="shared" si="115"/>
        <v>Normal</v>
      </c>
      <c r="M1070" t="str">
        <f t="shared" si="116"/>
        <v>Standard</v>
      </c>
      <c r="N1070" t="str">
        <f t="shared" si="117"/>
        <v>Tier 4</v>
      </c>
      <c r="O1070">
        <f t="shared" si="118"/>
        <v>0</v>
      </c>
    </row>
    <row r="1071" spans="1:15" x14ac:dyDescent="0.2">
      <c r="A1071">
        <v>54</v>
      </c>
      <c r="B1071" t="str" cm="1">
        <f t="array" ref="B1071">_xlfn.IFS(A1071&lt;=25,"18-25", A1071&lt;=35,"26-35", A1071&lt;=45,"36-45", A1071&lt;=55,"46-55", A1071&lt;=64,"56-64")</f>
        <v>46-55</v>
      </c>
      <c r="C1071" t="s">
        <v>7</v>
      </c>
      <c r="D1071">
        <v>31.9</v>
      </c>
      <c r="E1071">
        <v>1</v>
      </c>
      <c r="F1071" t="s">
        <v>11</v>
      </c>
      <c r="G1071" t="s">
        <v>51</v>
      </c>
      <c r="H1071" s="2">
        <v>10928.849</v>
      </c>
      <c r="I1071" s="2">
        <f t="shared" si="112"/>
        <v>5464.4245000000001</v>
      </c>
      <c r="J1071" t="str">
        <f t="shared" si="113"/>
        <v>Low</v>
      </c>
      <c r="K1071" s="1">
        <f t="shared" si="114"/>
        <v>0.57099999999999995</v>
      </c>
      <c r="L1071" t="str">
        <f t="shared" si="115"/>
        <v>Obese</v>
      </c>
      <c r="M1071" t="str">
        <f t="shared" si="116"/>
        <v>Standard</v>
      </c>
      <c r="N1071" t="str">
        <f t="shared" si="117"/>
        <v>Tier 1</v>
      </c>
      <c r="O1071">
        <f t="shared" si="118"/>
        <v>3</v>
      </c>
    </row>
    <row r="1072" spans="1:15" x14ac:dyDescent="0.2">
      <c r="A1072">
        <v>37</v>
      </c>
      <c r="B1072" t="str" cm="1">
        <f t="array" ref="B1072">_xlfn.IFS(A1072&lt;=25,"18-25", A1072&lt;=35,"26-35", A1072&lt;=45,"36-45", A1072&lt;=55,"46-55", A1072&lt;=64,"56-64")</f>
        <v>36-45</v>
      </c>
      <c r="C1072" t="s">
        <v>10</v>
      </c>
      <c r="D1072">
        <v>37.07</v>
      </c>
      <c r="E1072">
        <v>1</v>
      </c>
      <c r="F1072" t="s">
        <v>8</v>
      </c>
      <c r="G1072" t="s">
        <v>51</v>
      </c>
      <c r="H1072" s="2">
        <v>39871.704299999998</v>
      </c>
      <c r="I1072" s="2">
        <f t="shared" si="112"/>
        <v>19935.852149999999</v>
      </c>
      <c r="J1072" t="str">
        <f t="shared" si="113"/>
        <v>High</v>
      </c>
      <c r="K1072" s="1">
        <f t="shared" si="114"/>
        <v>0.94</v>
      </c>
      <c r="L1072" t="str">
        <f t="shared" si="115"/>
        <v>Obese</v>
      </c>
      <c r="M1072" t="str">
        <f t="shared" si="116"/>
        <v>High Risk</v>
      </c>
      <c r="N1072" t="str">
        <f t="shared" si="117"/>
        <v>Tier 1</v>
      </c>
      <c r="O1072">
        <f t="shared" si="118"/>
        <v>6</v>
      </c>
    </row>
    <row r="1073" spans="1:15" x14ac:dyDescent="0.2">
      <c r="A1073">
        <v>63</v>
      </c>
      <c r="B1073" t="str" cm="1">
        <f t="array" ref="B1073">_xlfn.IFS(A1073&lt;=25,"18-25", A1073&lt;=35,"26-35", A1073&lt;=45,"36-45", A1073&lt;=55,"46-55", A1073&lt;=64,"56-64")</f>
        <v>56-64</v>
      </c>
      <c r="C1073" t="s">
        <v>10</v>
      </c>
      <c r="D1073">
        <v>31.445</v>
      </c>
      <c r="E1073">
        <v>0</v>
      </c>
      <c r="F1073" t="s">
        <v>11</v>
      </c>
      <c r="G1073" t="s">
        <v>53</v>
      </c>
      <c r="H1073" s="2">
        <v>13974.455550000001</v>
      </c>
      <c r="I1073" s="2">
        <f t="shared" si="112"/>
        <v>13974.455550000001</v>
      </c>
      <c r="J1073" t="str">
        <f t="shared" si="113"/>
        <v>High</v>
      </c>
      <c r="K1073" s="1">
        <f t="shared" si="114"/>
        <v>0.70699999999999996</v>
      </c>
      <c r="L1073" t="str">
        <f t="shared" si="115"/>
        <v>Obese</v>
      </c>
      <c r="M1073" t="str">
        <f t="shared" si="116"/>
        <v>Standard</v>
      </c>
      <c r="N1073" t="str">
        <f t="shared" si="117"/>
        <v>Tier 2</v>
      </c>
      <c r="O1073">
        <f t="shared" si="118"/>
        <v>2</v>
      </c>
    </row>
    <row r="1074" spans="1:15" x14ac:dyDescent="0.2">
      <c r="A1074">
        <v>21</v>
      </c>
      <c r="B1074" t="str" cm="1">
        <f t="array" ref="B1074">_xlfn.IFS(A1074&lt;=25,"18-25", A1074&lt;=35,"26-35", A1074&lt;=45,"36-45", A1074&lt;=55,"46-55", A1074&lt;=64,"56-64")</f>
        <v>18-25</v>
      </c>
      <c r="C1074" t="s">
        <v>10</v>
      </c>
      <c r="D1074">
        <v>31.254999999999999</v>
      </c>
      <c r="E1074">
        <v>0</v>
      </c>
      <c r="F1074" t="s">
        <v>11</v>
      </c>
      <c r="G1074" t="s">
        <v>54</v>
      </c>
      <c r="H1074" s="2">
        <v>1909.52745</v>
      </c>
      <c r="I1074" s="2">
        <f t="shared" si="112"/>
        <v>1909.52745</v>
      </c>
      <c r="J1074" t="str">
        <f t="shared" si="113"/>
        <v>Low</v>
      </c>
      <c r="K1074" s="1">
        <f t="shared" si="114"/>
        <v>0.06</v>
      </c>
      <c r="L1074" t="str">
        <f t="shared" si="115"/>
        <v>Obese</v>
      </c>
      <c r="M1074" t="str">
        <f t="shared" si="116"/>
        <v>Standard</v>
      </c>
      <c r="N1074" t="str">
        <f t="shared" si="117"/>
        <v>Tier 4</v>
      </c>
      <c r="O1074">
        <f t="shared" si="118"/>
        <v>2</v>
      </c>
    </row>
    <row r="1075" spans="1:15" x14ac:dyDescent="0.2">
      <c r="A1075">
        <v>54</v>
      </c>
      <c r="B1075" t="str" cm="1">
        <f t="array" ref="B1075">_xlfn.IFS(A1075&lt;=25,"18-25", A1075&lt;=35,"26-35", A1075&lt;=45,"36-45", A1075&lt;=55,"46-55", A1075&lt;=64,"56-64")</f>
        <v>46-55</v>
      </c>
      <c r="C1075" t="s">
        <v>7</v>
      </c>
      <c r="D1075">
        <v>28.88</v>
      </c>
      <c r="E1075">
        <v>2</v>
      </c>
      <c r="F1075" t="s">
        <v>11</v>
      </c>
      <c r="G1075" t="s">
        <v>53</v>
      </c>
      <c r="H1075" s="2">
        <v>12096.6512</v>
      </c>
      <c r="I1075" s="2">
        <f t="shared" si="112"/>
        <v>4032.2170666666666</v>
      </c>
      <c r="J1075" t="str">
        <f t="shared" si="113"/>
        <v>Low</v>
      </c>
      <c r="K1075" s="1">
        <f t="shared" si="114"/>
        <v>0.63500000000000001</v>
      </c>
      <c r="L1075" t="str">
        <f t="shared" si="115"/>
        <v>Overweight</v>
      </c>
      <c r="M1075" t="str">
        <f t="shared" si="116"/>
        <v>Standard</v>
      </c>
      <c r="N1075" t="str">
        <f t="shared" si="117"/>
        <v>Tier 2</v>
      </c>
      <c r="O1075">
        <f t="shared" si="118"/>
        <v>1</v>
      </c>
    </row>
    <row r="1076" spans="1:15" x14ac:dyDescent="0.2">
      <c r="A1076">
        <v>60</v>
      </c>
      <c r="B1076" t="str" cm="1">
        <f t="array" ref="B1076">_xlfn.IFS(A1076&lt;=25,"18-25", A1076&lt;=35,"26-35", A1076&lt;=45,"36-45", A1076&lt;=55,"46-55", A1076&lt;=64,"56-64")</f>
        <v>56-64</v>
      </c>
      <c r="C1076" t="s">
        <v>7</v>
      </c>
      <c r="D1076">
        <v>18.335000000000001</v>
      </c>
      <c r="E1076">
        <v>0</v>
      </c>
      <c r="F1076" t="s">
        <v>11</v>
      </c>
      <c r="G1076" t="s">
        <v>53</v>
      </c>
      <c r="H1076" s="2">
        <v>13204.28565</v>
      </c>
      <c r="I1076" s="2">
        <f t="shared" si="112"/>
        <v>13204.28565</v>
      </c>
      <c r="J1076" t="str">
        <f t="shared" si="113"/>
        <v>Low</v>
      </c>
      <c r="K1076" s="1">
        <f t="shared" si="114"/>
        <v>0.68200000000000005</v>
      </c>
      <c r="L1076" t="str">
        <f t="shared" si="115"/>
        <v>Underweight</v>
      </c>
      <c r="M1076" t="str">
        <f t="shared" si="116"/>
        <v>Standard</v>
      </c>
      <c r="N1076" t="str">
        <f t="shared" si="117"/>
        <v>Tier 2</v>
      </c>
      <c r="O1076">
        <f t="shared" si="118"/>
        <v>0</v>
      </c>
    </row>
    <row r="1077" spans="1:15" x14ac:dyDescent="0.2">
      <c r="A1077">
        <v>32</v>
      </c>
      <c r="B1077" t="str" cm="1">
        <f t="array" ref="B1077">_xlfn.IFS(A1077&lt;=25,"18-25", A1077&lt;=35,"26-35", A1077&lt;=45,"36-45", A1077&lt;=55,"46-55", A1077&lt;=64,"56-64")</f>
        <v>26-35</v>
      </c>
      <c r="C1077" t="s">
        <v>7</v>
      </c>
      <c r="D1077">
        <v>29.59</v>
      </c>
      <c r="E1077">
        <v>1</v>
      </c>
      <c r="F1077" t="s">
        <v>11</v>
      </c>
      <c r="G1077" t="s">
        <v>51</v>
      </c>
      <c r="H1077" s="2">
        <v>4562.8420999999998</v>
      </c>
      <c r="I1077" s="2">
        <f t="shared" si="112"/>
        <v>2281.4210499999999</v>
      </c>
      <c r="J1077" t="str">
        <f t="shared" si="113"/>
        <v>Low</v>
      </c>
      <c r="K1077" s="1">
        <f t="shared" si="114"/>
        <v>0.23899999999999999</v>
      </c>
      <c r="L1077" t="str">
        <f t="shared" si="115"/>
        <v>Overweight</v>
      </c>
      <c r="M1077" t="str">
        <f t="shared" si="116"/>
        <v>Standard</v>
      </c>
      <c r="N1077" t="str">
        <f t="shared" si="117"/>
        <v>Tier 1</v>
      </c>
      <c r="O1077">
        <f t="shared" si="118"/>
        <v>2</v>
      </c>
    </row>
    <row r="1078" spans="1:15" x14ac:dyDescent="0.2">
      <c r="A1078">
        <v>47</v>
      </c>
      <c r="B1078" t="str" cm="1">
        <f t="array" ref="B1078">_xlfn.IFS(A1078&lt;=25,"18-25", A1078&lt;=35,"26-35", A1078&lt;=45,"36-45", A1078&lt;=55,"46-55", A1078&lt;=64,"56-64")</f>
        <v>46-55</v>
      </c>
      <c r="C1078" t="s">
        <v>7</v>
      </c>
      <c r="D1078">
        <v>32</v>
      </c>
      <c r="E1078">
        <v>1</v>
      </c>
      <c r="F1078" t="s">
        <v>11</v>
      </c>
      <c r="G1078" t="s">
        <v>52</v>
      </c>
      <c r="H1078" s="2">
        <v>8551.3469999999998</v>
      </c>
      <c r="I1078" s="2">
        <f t="shared" si="112"/>
        <v>4275.6734999999999</v>
      </c>
      <c r="J1078" t="str">
        <f t="shared" si="113"/>
        <v>Low</v>
      </c>
      <c r="K1078" s="1">
        <f t="shared" si="114"/>
        <v>0.45900000000000002</v>
      </c>
      <c r="L1078" t="str">
        <f t="shared" si="115"/>
        <v>Obese</v>
      </c>
      <c r="M1078" t="str">
        <f t="shared" si="116"/>
        <v>Standard</v>
      </c>
      <c r="N1078" t="str">
        <f t="shared" si="117"/>
        <v>Tier 3</v>
      </c>
      <c r="O1078">
        <f t="shared" si="118"/>
        <v>2</v>
      </c>
    </row>
    <row r="1079" spans="1:15" x14ac:dyDescent="0.2">
      <c r="A1079">
        <v>21</v>
      </c>
      <c r="B1079" t="str" cm="1">
        <f t="array" ref="B1079">_xlfn.IFS(A1079&lt;=25,"18-25", A1079&lt;=35,"26-35", A1079&lt;=45,"36-45", A1079&lt;=55,"46-55", A1079&lt;=64,"56-64")</f>
        <v>18-25</v>
      </c>
      <c r="C1079" t="s">
        <v>10</v>
      </c>
      <c r="D1079">
        <v>26.03</v>
      </c>
      <c r="E1079">
        <v>0</v>
      </c>
      <c r="F1079" t="s">
        <v>11</v>
      </c>
      <c r="G1079" t="s">
        <v>53</v>
      </c>
      <c r="H1079" s="2">
        <v>2102.2647000000002</v>
      </c>
      <c r="I1079" s="2">
        <f t="shared" si="112"/>
        <v>2102.2647000000002</v>
      </c>
      <c r="J1079" t="str">
        <f t="shared" si="113"/>
        <v>Low</v>
      </c>
      <c r="K1079" s="1">
        <f t="shared" si="114"/>
        <v>7.2999999999999995E-2</v>
      </c>
      <c r="L1079" t="str">
        <f t="shared" si="115"/>
        <v>Overweight</v>
      </c>
      <c r="M1079" t="str">
        <f t="shared" si="116"/>
        <v>Standard</v>
      </c>
      <c r="N1079" t="str">
        <f t="shared" si="117"/>
        <v>Tier 2</v>
      </c>
      <c r="O1079">
        <f t="shared" si="118"/>
        <v>1</v>
      </c>
    </row>
    <row r="1080" spans="1:15" x14ac:dyDescent="0.2">
      <c r="A1080">
        <v>28</v>
      </c>
      <c r="B1080" t="str" cm="1">
        <f t="array" ref="B1080">_xlfn.IFS(A1080&lt;=25,"18-25", A1080&lt;=35,"26-35", A1080&lt;=45,"36-45", A1080&lt;=55,"46-55", A1080&lt;=64,"56-64")</f>
        <v>26-35</v>
      </c>
      <c r="C1080" t="s">
        <v>10</v>
      </c>
      <c r="D1080">
        <v>31.68</v>
      </c>
      <c r="E1080">
        <v>0</v>
      </c>
      <c r="F1080" t="s">
        <v>8</v>
      </c>
      <c r="G1080" t="s">
        <v>51</v>
      </c>
      <c r="H1080" s="2">
        <v>34672.147199999999</v>
      </c>
      <c r="I1080" s="2">
        <f t="shared" si="112"/>
        <v>34672.147199999999</v>
      </c>
      <c r="J1080" t="str">
        <f t="shared" si="113"/>
        <v>High</v>
      </c>
      <c r="K1080" s="1">
        <f t="shared" si="114"/>
        <v>0.89700000000000002</v>
      </c>
      <c r="L1080" t="str">
        <f t="shared" si="115"/>
        <v>Obese</v>
      </c>
      <c r="M1080" t="str">
        <f t="shared" si="116"/>
        <v>High Risk</v>
      </c>
      <c r="N1080" t="str">
        <f t="shared" si="117"/>
        <v>Tier 1</v>
      </c>
      <c r="O1080">
        <f t="shared" si="118"/>
        <v>6</v>
      </c>
    </row>
    <row r="1081" spans="1:15" x14ac:dyDescent="0.2">
      <c r="A1081">
        <v>63</v>
      </c>
      <c r="B1081" t="str" cm="1">
        <f t="array" ref="B1081">_xlfn.IFS(A1081&lt;=25,"18-25", A1081&lt;=35,"26-35", A1081&lt;=45,"36-45", A1081&lt;=55,"46-55", A1081&lt;=64,"56-64")</f>
        <v>56-64</v>
      </c>
      <c r="C1081" t="s">
        <v>10</v>
      </c>
      <c r="D1081">
        <v>33.659999999999997</v>
      </c>
      <c r="E1081">
        <v>3</v>
      </c>
      <c r="F1081" t="s">
        <v>11</v>
      </c>
      <c r="G1081" t="s">
        <v>51</v>
      </c>
      <c r="H1081" s="2">
        <v>15161.5344</v>
      </c>
      <c r="I1081" s="2">
        <f t="shared" si="112"/>
        <v>3790.3836000000001</v>
      </c>
      <c r="J1081" t="str">
        <f t="shared" si="113"/>
        <v>High</v>
      </c>
      <c r="K1081" s="1">
        <f t="shared" si="114"/>
        <v>0.73399999999999999</v>
      </c>
      <c r="L1081" t="str">
        <f t="shared" si="115"/>
        <v>Obese</v>
      </c>
      <c r="M1081" t="str">
        <f t="shared" si="116"/>
        <v>Standard</v>
      </c>
      <c r="N1081" t="str">
        <f t="shared" si="117"/>
        <v>Tier 1</v>
      </c>
      <c r="O1081">
        <f t="shared" si="118"/>
        <v>3</v>
      </c>
    </row>
    <row r="1082" spans="1:15" x14ac:dyDescent="0.2">
      <c r="A1082">
        <v>18</v>
      </c>
      <c r="B1082" t="str" cm="1">
        <f t="array" ref="B1082">_xlfn.IFS(A1082&lt;=25,"18-25", A1082&lt;=35,"26-35", A1082&lt;=45,"36-45", A1082&lt;=55,"46-55", A1082&lt;=64,"56-64")</f>
        <v>18-25</v>
      </c>
      <c r="C1082" t="s">
        <v>10</v>
      </c>
      <c r="D1082">
        <v>21.78</v>
      </c>
      <c r="E1082">
        <v>2</v>
      </c>
      <c r="F1082" t="s">
        <v>11</v>
      </c>
      <c r="G1082" t="s">
        <v>51</v>
      </c>
      <c r="H1082" s="2">
        <v>11884.048580000001</v>
      </c>
      <c r="I1082" s="2">
        <f t="shared" si="112"/>
        <v>3961.3495266666669</v>
      </c>
      <c r="J1082" t="str">
        <f t="shared" si="113"/>
        <v>Low</v>
      </c>
      <c r="K1082" s="1">
        <f t="shared" si="114"/>
        <v>0.627</v>
      </c>
      <c r="L1082" t="str">
        <f t="shared" si="115"/>
        <v>Normal</v>
      </c>
      <c r="M1082" t="str">
        <f t="shared" si="116"/>
        <v>Standard</v>
      </c>
      <c r="N1082" t="str">
        <f t="shared" si="117"/>
        <v>Tier 1</v>
      </c>
      <c r="O1082">
        <f t="shared" si="118"/>
        <v>1</v>
      </c>
    </row>
    <row r="1083" spans="1:15" x14ac:dyDescent="0.2">
      <c r="A1083">
        <v>32</v>
      </c>
      <c r="B1083" t="str" cm="1">
        <f t="array" ref="B1083">_xlfn.IFS(A1083&lt;=25,"18-25", A1083&lt;=35,"26-35", A1083&lt;=45,"36-45", A1083&lt;=55,"46-55", A1083&lt;=64,"56-64")</f>
        <v>26-35</v>
      </c>
      <c r="C1083" t="s">
        <v>10</v>
      </c>
      <c r="D1083">
        <v>27.835000000000001</v>
      </c>
      <c r="E1083">
        <v>1</v>
      </c>
      <c r="F1083" t="s">
        <v>11</v>
      </c>
      <c r="G1083" t="s">
        <v>54</v>
      </c>
      <c r="H1083" s="2">
        <v>4454.40265</v>
      </c>
      <c r="I1083" s="2">
        <f t="shared" si="112"/>
        <v>2227.201325</v>
      </c>
      <c r="J1083" t="str">
        <f t="shared" si="113"/>
        <v>Low</v>
      </c>
      <c r="K1083" s="1">
        <f t="shared" si="114"/>
        <v>0.23</v>
      </c>
      <c r="L1083" t="str">
        <f t="shared" si="115"/>
        <v>Overweight</v>
      </c>
      <c r="M1083" t="str">
        <f t="shared" si="116"/>
        <v>Standard</v>
      </c>
      <c r="N1083" t="str">
        <f t="shared" si="117"/>
        <v>Tier 4</v>
      </c>
      <c r="O1083">
        <f t="shared" si="118"/>
        <v>1</v>
      </c>
    </row>
    <row r="1084" spans="1:15" x14ac:dyDescent="0.2">
      <c r="A1084">
        <v>38</v>
      </c>
      <c r="B1084" t="str" cm="1">
        <f t="array" ref="B1084">_xlfn.IFS(A1084&lt;=25,"18-25", A1084&lt;=35,"26-35", A1084&lt;=45,"36-45", A1084&lt;=55,"46-55", A1084&lt;=64,"56-64")</f>
        <v>36-45</v>
      </c>
      <c r="C1084" t="s">
        <v>10</v>
      </c>
      <c r="D1084">
        <v>19.95</v>
      </c>
      <c r="E1084">
        <v>1</v>
      </c>
      <c r="F1084" t="s">
        <v>11</v>
      </c>
      <c r="G1084" t="s">
        <v>54</v>
      </c>
      <c r="H1084" s="2">
        <v>5855.9025000000001</v>
      </c>
      <c r="I1084" s="2">
        <f t="shared" si="112"/>
        <v>2927.9512500000001</v>
      </c>
      <c r="J1084" t="str">
        <f t="shared" si="113"/>
        <v>Low</v>
      </c>
      <c r="K1084" s="1">
        <f t="shared" si="114"/>
        <v>0.311</v>
      </c>
      <c r="L1084" t="str">
        <f t="shared" si="115"/>
        <v>Normal</v>
      </c>
      <c r="M1084" t="str">
        <f t="shared" si="116"/>
        <v>Standard</v>
      </c>
      <c r="N1084" t="str">
        <f t="shared" si="117"/>
        <v>Tier 4</v>
      </c>
      <c r="O1084">
        <f t="shared" si="118"/>
        <v>0</v>
      </c>
    </row>
    <row r="1085" spans="1:15" x14ac:dyDescent="0.2">
      <c r="A1085">
        <v>32</v>
      </c>
      <c r="B1085" t="str" cm="1">
        <f t="array" ref="B1085">_xlfn.IFS(A1085&lt;=25,"18-25", A1085&lt;=35,"26-35", A1085&lt;=45,"36-45", A1085&lt;=55,"46-55", A1085&lt;=64,"56-64")</f>
        <v>26-35</v>
      </c>
      <c r="C1085" t="s">
        <v>10</v>
      </c>
      <c r="D1085">
        <v>31.5</v>
      </c>
      <c r="E1085">
        <v>1</v>
      </c>
      <c r="F1085" t="s">
        <v>11</v>
      </c>
      <c r="G1085" t="s">
        <v>52</v>
      </c>
      <c r="H1085" s="2">
        <v>4076.4969999999998</v>
      </c>
      <c r="I1085" s="2">
        <f t="shared" si="112"/>
        <v>2038.2484999999999</v>
      </c>
      <c r="J1085" t="str">
        <f t="shared" si="113"/>
        <v>Low</v>
      </c>
      <c r="K1085" s="1">
        <f t="shared" si="114"/>
        <v>0.20499999999999999</v>
      </c>
      <c r="L1085" t="str">
        <f t="shared" si="115"/>
        <v>Obese</v>
      </c>
      <c r="M1085" t="str">
        <f t="shared" si="116"/>
        <v>Standard</v>
      </c>
      <c r="N1085" t="str">
        <f t="shared" si="117"/>
        <v>Tier 3</v>
      </c>
      <c r="O1085">
        <f t="shared" si="118"/>
        <v>2</v>
      </c>
    </row>
    <row r="1086" spans="1:15" x14ac:dyDescent="0.2">
      <c r="A1086">
        <v>62</v>
      </c>
      <c r="B1086" t="str" cm="1">
        <f t="array" ref="B1086">_xlfn.IFS(A1086&lt;=25,"18-25", A1086&lt;=35,"26-35", A1086&lt;=45,"36-45", A1086&lt;=55,"46-55", A1086&lt;=64,"56-64")</f>
        <v>56-64</v>
      </c>
      <c r="C1086" t="s">
        <v>7</v>
      </c>
      <c r="D1086">
        <v>30.495000000000001</v>
      </c>
      <c r="E1086">
        <v>2</v>
      </c>
      <c r="F1086" t="s">
        <v>11</v>
      </c>
      <c r="G1086" t="s">
        <v>54</v>
      </c>
      <c r="H1086" s="2">
        <v>15019.760050000001</v>
      </c>
      <c r="I1086" s="2">
        <f t="shared" si="112"/>
        <v>5006.5866833333339</v>
      </c>
      <c r="J1086" t="str">
        <f t="shared" si="113"/>
        <v>High</v>
      </c>
      <c r="K1086" s="1">
        <f t="shared" si="114"/>
        <v>0.73299999999999998</v>
      </c>
      <c r="L1086" t="str">
        <f t="shared" si="115"/>
        <v>Obese</v>
      </c>
      <c r="M1086" t="str">
        <f t="shared" si="116"/>
        <v>Standard</v>
      </c>
      <c r="N1086" t="str">
        <f t="shared" si="117"/>
        <v>Tier 4</v>
      </c>
      <c r="O1086">
        <f t="shared" si="118"/>
        <v>2</v>
      </c>
    </row>
    <row r="1087" spans="1:15" x14ac:dyDescent="0.2">
      <c r="A1087">
        <v>39</v>
      </c>
      <c r="B1087" t="str" cm="1">
        <f t="array" ref="B1087">_xlfn.IFS(A1087&lt;=25,"18-25", A1087&lt;=35,"26-35", A1087&lt;=45,"36-45", A1087&lt;=55,"46-55", A1087&lt;=64,"56-64")</f>
        <v>36-45</v>
      </c>
      <c r="C1087" t="s">
        <v>7</v>
      </c>
      <c r="D1087">
        <v>18.3</v>
      </c>
      <c r="E1087">
        <v>5</v>
      </c>
      <c r="F1087" t="s">
        <v>8</v>
      </c>
      <c r="G1087" t="s">
        <v>52</v>
      </c>
      <c r="H1087" s="2">
        <v>19023.259999999998</v>
      </c>
      <c r="I1087" s="2">
        <f t="shared" si="112"/>
        <v>3170.5433333333331</v>
      </c>
      <c r="J1087" t="str">
        <f t="shared" si="113"/>
        <v>High</v>
      </c>
      <c r="K1087" s="1">
        <f t="shared" si="114"/>
        <v>0.78</v>
      </c>
      <c r="L1087" t="str">
        <f t="shared" si="115"/>
        <v>Underweight</v>
      </c>
      <c r="M1087" t="str">
        <f t="shared" si="116"/>
        <v>High Risk</v>
      </c>
      <c r="N1087" t="str">
        <f t="shared" si="117"/>
        <v>Tier 3</v>
      </c>
      <c r="O1087">
        <f t="shared" si="118"/>
        <v>3</v>
      </c>
    </row>
    <row r="1088" spans="1:15" x14ac:dyDescent="0.2">
      <c r="A1088">
        <v>55</v>
      </c>
      <c r="B1088" t="str" cm="1">
        <f t="array" ref="B1088">_xlfn.IFS(A1088&lt;=25,"18-25", A1088&lt;=35,"26-35", A1088&lt;=45,"36-45", A1088&lt;=55,"46-55", A1088&lt;=64,"56-64")</f>
        <v>46-55</v>
      </c>
      <c r="C1088" t="s">
        <v>10</v>
      </c>
      <c r="D1088">
        <v>28.975000000000001</v>
      </c>
      <c r="E1088">
        <v>0</v>
      </c>
      <c r="F1088" t="s">
        <v>11</v>
      </c>
      <c r="G1088" t="s">
        <v>53</v>
      </c>
      <c r="H1088" s="2">
        <v>10796.35025</v>
      </c>
      <c r="I1088" s="2">
        <f t="shared" si="112"/>
        <v>10796.35025</v>
      </c>
      <c r="J1088" t="str">
        <f t="shared" si="113"/>
        <v>Low</v>
      </c>
      <c r="K1088" s="1">
        <f t="shared" si="114"/>
        <v>0.56599999999999995</v>
      </c>
      <c r="L1088" t="str">
        <f t="shared" si="115"/>
        <v>Overweight</v>
      </c>
      <c r="M1088" t="str">
        <f t="shared" si="116"/>
        <v>Standard</v>
      </c>
      <c r="N1088" t="str">
        <f t="shared" si="117"/>
        <v>Tier 2</v>
      </c>
      <c r="O1088">
        <f t="shared" si="118"/>
        <v>1</v>
      </c>
    </row>
    <row r="1089" spans="1:15" x14ac:dyDescent="0.2">
      <c r="A1089">
        <v>57</v>
      </c>
      <c r="B1089" t="str" cm="1">
        <f t="array" ref="B1089">_xlfn.IFS(A1089&lt;=25,"18-25", A1089&lt;=35,"26-35", A1089&lt;=45,"36-45", A1089&lt;=55,"46-55", A1089&lt;=64,"56-64")</f>
        <v>56-64</v>
      </c>
      <c r="C1089" t="s">
        <v>10</v>
      </c>
      <c r="D1089">
        <v>31.54</v>
      </c>
      <c r="E1089">
        <v>0</v>
      </c>
      <c r="F1089" t="s">
        <v>11</v>
      </c>
      <c r="G1089" t="s">
        <v>54</v>
      </c>
      <c r="H1089" s="2">
        <v>11353.2276</v>
      </c>
      <c r="I1089" s="2">
        <f t="shared" si="112"/>
        <v>11353.2276</v>
      </c>
      <c r="J1089" t="str">
        <f t="shared" si="113"/>
        <v>Low</v>
      </c>
      <c r="K1089" s="1">
        <f t="shared" si="114"/>
        <v>0.59399999999999997</v>
      </c>
      <c r="L1089" t="str">
        <f t="shared" si="115"/>
        <v>Obese</v>
      </c>
      <c r="M1089" t="str">
        <f t="shared" si="116"/>
        <v>Standard</v>
      </c>
      <c r="N1089" t="str">
        <f t="shared" si="117"/>
        <v>Tier 4</v>
      </c>
      <c r="O1089">
        <f t="shared" si="118"/>
        <v>2</v>
      </c>
    </row>
    <row r="1090" spans="1:15" x14ac:dyDescent="0.2">
      <c r="A1090">
        <v>52</v>
      </c>
      <c r="B1090" t="str" cm="1">
        <f t="array" ref="B1090">_xlfn.IFS(A1090&lt;=25,"18-25", A1090&lt;=35,"26-35", A1090&lt;=45,"36-45", A1090&lt;=55,"46-55", A1090&lt;=64,"56-64")</f>
        <v>46-55</v>
      </c>
      <c r="C1090" t="s">
        <v>10</v>
      </c>
      <c r="D1090">
        <v>47.74</v>
      </c>
      <c r="E1090">
        <v>1</v>
      </c>
      <c r="F1090" t="s">
        <v>11</v>
      </c>
      <c r="G1090" t="s">
        <v>51</v>
      </c>
      <c r="H1090" s="2">
        <v>9748.9105999999992</v>
      </c>
      <c r="I1090" s="2">
        <f t="shared" ref="I1090:I1153" si="119">H1090/(E1090+1)</f>
        <v>4874.4552999999996</v>
      </c>
      <c r="J1090" t="str">
        <f t="shared" ref="J1090:J1153" si="120">IF(H1090&gt;AVERAGE($H$2:$H$1339),"High","Low")</f>
        <v>Low</v>
      </c>
      <c r="K1090" s="1">
        <f t="shared" ref="K1090:K1153" si="121">PERCENTRANK($H$2:$H$1339,H1090)</f>
        <v>0.51900000000000002</v>
      </c>
      <c r="L1090" t="str">
        <f t="shared" ref="L1090:L1153" si="122">IF(D1090&lt;18.5,"Underweight",IF(D1090&lt;25,"Normal",IF(D1090&lt;30,"Overweight","Obese")))</f>
        <v>Obese</v>
      </c>
      <c r="M1090" t="str">
        <f t="shared" ref="M1090:M1153" si="123">IF(F1090="yes","High Risk","Standard")</f>
        <v>Standard</v>
      </c>
      <c r="N1090" t="str">
        <f t="shared" ref="N1090:N1153" si="124">IF(G1090="southeast","Tier 1",IF(G1090="northeast","Tier 2",IF(G1090="southwest","Tier 3","Tier 4")))</f>
        <v>Tier 1</v>
      </c>
      <c r="O1090">
        <f t="shared" ref="O1090:O1153" si="125">IF(F1090="yes",3,0)+IF(D1090&gt;=30,2,IF(D1090&gt;=25,1,0))+IF(G1090="southeast",1,0)</f>
        <v>3</v>
      </c>
    </row>
    <row r="1091" spans="1:15" x14ac:dyDescent="0.2">
      <c r="A1091">
        <v>56</v>
      </c>
      <c r="B1091" t="str" cm="1">
        <f t="array" ref="B1091">_xlfn.IFS(A1091&lt;=25,"18-25", A1091&lt;=35,"26-35", A1091&lt;=45,"36-45", A1091&lt;=55,"46-55", A1091&lt;=64,"56-64")</f>
        <v>56-64</v>
      </c>
      <c r="C1091" t="s">
        <v>10</v>
      </c>
      <c r="D1091">
        <v>22.1</v>
      </c>
      <c r="E1091">
        <v>0</v>
      </c>
      <c r="F1091" t="s">
        <v>11</v>
      </c>
      <c r="G1091" t="s">
        <v>52</v>
      </c>
      <c r="H1091" s="2">
        <v>10577.087</v>
      </c>
      <c r="I1091" s="2">
        <f t="shared" si="119"/>
        <v>10577.087</v>
      </c>
      <c r="J1091" t="str">
        <f t="shared" si="120"/>
        <v>Low</v>
      </c>
      <c r="K1091" s="1">
        <f t="shared" si="121"/>
        <v>0.55500000000000005</v>
      </c>
      <c r="L1091" t="str">
        <f t="shared" si="122"/>
        <v>Normal</v>
      </c>
      <c r="M1091" t="str">
        <f t="shared" si="123"/>
        <v>Standard</v>
      </c>
      <c r="N1091" t="str">
        <f t="shared" si="124"/>
        <v>Tier 3</v>
      </c>
      <c r="O1091">
        <f t="shared" si="125"/>
        <v>0</v>
      </c>
    </row>
    <row r="1092" spans="1:15" x14ac:dyDescent="0.2">
      <c r="A1092">
        <v>47</v>
      </c>
      <c r="B1092" t="str" cm="1">
        <f t="array" ref="B1092">_xlfn.IFS(A1092&lt;=25,"18-25", A1092&lt;=35,"26-35", A1092&lt;=45,"36-45", A1092&lt;=55,"46-55", A1092&lt;=64,"56-64")</f>
        <v>46-55</v>
      </c>
      <c r="C1092" t="s">
        <v>10</v>
      </c>
      <c r="D1092">
        <v>36.19</v>
      </c>
      <c r="E1092">
        <v>0</v>
      </c>
      <c r="F1092" t="s">
        <v>8</v>
      </c>
      <c r="G1092" t="s">
        <v>51</v>
      </c>
      <c r="H1092" s="2">
        <v>41676.081100000003</v>
      </c>
      <c r="I1092" s="2">
        <f t="shared" si="119"/>
        <v>41676.081100000003</v>
      </c>
      <c r="J1092" t="str">
        <f t="shared" si="120"/>
        <v>High</v>
      </c>
      <c r="K1092" s="1">
        <f t="shared" si="121"/>
        <v>0.95099999999999996</v>
      </c>
      <c r="L1092" t="str">
        <f t="shared" si="122"/>
        <v>Obese</v>
      </c>
      <c r="M1092" t="str">
        <f t="shared" si="123"/>
        <v>High Risk</v>
      </c>
      <c r="N1092" t="str">
        <f t="shared" si="124"/>
        <v>Tier 1</v>
      </c>
      <c r="O1092">
        <f t="shared" si="125"/>
        <v>6</v>
      </c>
    </row>
    <row r="1093" spans="1:15" x14ac:dyDescent="0.2">
      <c r="A1093">
        <v>55</v>
      </c>
      <c r="B1093" t="str" cm="1">
        <f t="array" ref="B1093">_xlfn.IFS(A1093&lt;=25,"18-25", A1093&lt;=35,"26-35", A1093&lt;=45,"36-45", A1093&lt;=55,"46-55", A1093&lt;=64,"56-64")</f>
        <v>46-55</v>
      </c>
      <c r="C1093" t="s">
        <v>7</v>
      </c>
      <c r="D1093">
        <v>29.83</v>
      </c>
      <c r="E1093">
        <v>0</v>
      </c>
      <c r="F1093" t="s">
        <v>11</v>
      </c>
      <c r="G1093" t="s">
        <v>53</v>
      </c>
      <c r="H1093" s="2">
        <v>11286.538699999999</v>
      </c>
      <c r="I1093" s="2">
        <f t="shared" si="119"/>
        <v>11286.538699999999</v>
      </c>
      <c r="J1093" t="str">
        <f t="shared" si="120"/>
        <v>Low</v>
      </c>
      <c r="K1093" s="1">
        <f t="shared" si="121"/>
        <v>0.59</v>
      </c>
      <c r="L1093" t="str">
        <f t="shared" si="122"/>
        <v>Overweight</v>
      </c>
      <c r="M1093" t="str">
        <f t="shared" si="123"/>
        <v>Standard</v>
      </c>
      <c r="N1093" t="str">
        <f t="shared" si="124"/>
        <v>Tier 2</v>
      </c>
      <c r="O1093">
        <f t="shared" si="125"/>
        <v>1</v>
      </c>
    </row>
    <row r="1094" spans="1:15" x14ac:dyDescent="0.2">
      <c r="A1094">
        <v>23</v>
      </c>
      <c r="B1094" t="str" cm="1">
        <f t="array" ref="B1094">_xlfn.IFS(A1094&lt;=25,"18-25", A1094&lt;=35,"26-35", A1094&lt;=45,"36-45", A1094&lt;=55,"46-55", A1094&lt;=64,"56-64")</f>
        <v>18-25</v>
      </c>
      <c r="C1094" t="s">
        <v>10</v>
      </c>
      <c r="D1094">
        <v>32.700000000000003</v>
      </c>
      <c r="E1094">
        <v>3</v>
      </c>
      <c r="F1094" t="s">
        <v>11</v>
      </c>
      <c r="G1094" t="s">
        <v>52</v>
      </c>
      <c r="H1094" s="2">
        <v>3591.48</v>
      </c>
      <c r="I1094" s="2">
        <f t="shared" si="119"/>
        <v>897.87</v>
      </c>
      <c r="J1094" t="str">
        <f t="shared" si="120"/>
        <v>Low</v>
      </c>
      <c r="K1094" s="1">
        <f t="shared" si="121"/>
        <v>0.17799999999999999</v>
      </c>
      <c r="L1094" t="str">
        <f t="shared" si="122"/>
        <v>Obese</v>
      </c>
      <c r="M1094" t="str">
        <f t="shared" si="123"/>
        <v>Standard</v>
      </c>
      <c r="N1094" t="str">
        <f t="shared" si="124"/>
        <v>Tier 3</v>
      </c>
      <c r="O1094">
        <f t="shared" si="125"/>
        <v>2</v>
      </c>
    </row>
    <row r="1095" spans="1:15" x14ac:dyDescent="0.2">
      <c r="A1095">
        <v>22</v>
      </c>
      <c r="B1095" t="str" cm="1">
        <f t="array" ref="B1095">_xlfn.IFS(A1095&lt;=25,"18-25", A1095&lt;=35,"26-35", A1095&lt;=45,"36-45", A1095&lt;=55,"46-55", A1095&lt;=64,"56-64")</f>
        <v>18-25</v>
      </c>
      <c r="C1095" t="s">
        <v>7</v>
      </c>
      <c r="D1095">
        <v>30.4</v>
      </c>
      <c r="E1095">
        <v>0</v>
      </c>
      <c r="F1095" t="s">
        <v>8</v>
      </c>
      <c r="G1095" t="s">
        <v>54</v>
      </c>
      <c r="H1095" s="2">
        <v>33907.548000000003</v>
      </c>
      <c r="I1095" s="2">
        <f t="shared" si="119"/>
        <v>33907.548000000003</v>
      </c>
      <c r="J1095" t="str">
        <f t="shared" si="120"/>
        <v>High</v>
      </c>
      <c r="K1095" s="1">
        <f t="shared" si="121"/>
        <v>0.89200000000000002</v>
      </c>
      <c r="L1095" t="str">
        <f t="shared" si="122"/>
        <v>Obese</v>
      </c>
      <c r="M1095" t="str">
        <f t="shared" si="123"/>
        <v>High Risk</v>
      </c>
      <c r="N1095" t="str">
        <f t="shared" si="124"/>
        <v>Tier 4</v>
      </c>
      <c r="O1095">
        <f t="shared" si="125"/>
        <v>5</v>
      </c>
    </row>
    <row r="1096" spans="1:15" x14ac:dyDescent="0.2">
      <c r="A1096">
        <v>50</v>
      </c>
      <c r="B1096" t="str" cm="1">
        <f t="array" ref="B1096">_xlfn.IFS(A1096&lt;=25,"18-25", A1096&lt;=35,"26-35", A1096&lt;=45,"36-45", A1096&lt;=55,"46-55", A1096&lt;=64,"56-64")</f>
        <v>46-55</v>
      </c>
      <c r="C1096" t="s">
        <v>7</v>
      </c>
      <c r="D1096">
        <v>33.700000000000003</v>
      </c>
      <c r="E1096">
        <v>4</v>
      </c>
      <c r="F1096" t="s">
        <v>11</v>
      </c>
      <c r="G1096" t="s">
        <v>52</v>
      </c>
      <c r="H1096" s="2">
        <v>11299.343000000001</v>
      </c>
      <c r="I1096" s="2">
        <f t="shared" si="119"/>
        <v>2259.8686000000002</v>
      </c>
      <c r="J1096" t="str">
        <f t="shared" si="120"/>
        <v>Low</v>
      </c>
      <c r="K1096" s="1">
        <f t="shared" si="121"/>
        <v>0.59099999999999997</v>
      </c>
      <c r="L1096" t="str">
        <f t="shared" si="122"/>
        <v>Obese</v>
      </c>
      <c r="M1096" t="str">
        <f t="shared" si="123"/>
        <v>Standard</v>
      </c>
      <c r="N1096" t="str">
        <f t="shared" si="124"/>
        <v>Tier 3</v>
      </c>
      <c r="O1096">
        <f t="shared" si="125"/>
        <v>2</v>
      </c>
    </row>
    <row r="1097" spans="1:15" x14ac:dyDescent="0.2">
      <c r="A1097">
        <v>18</v>
      </c>
      <c r="B1097" t="str" cm="1">
        <f t="array" ref="B1097">_xlfn.IFS(A1097&lt;=25,"18-25", A1097&lt;=35,"26-35", A1097&lt;=45,"36-45", A1097&lt;=55,"46-55", A1097&lt;=64,"56-64")</f>
        <v>18-25</v>
      </c>
      <c r="C1097" t="s">
        <v>7</v>
      </c>
      <c r="D1097">
        <v>31.35</v>
      </c>
      <c r="E1097">
        <v>4</v>
      </c>
      <c r="F1097" t="s">
        <v>11</v>
      </c>
      <c r="G1097" t="s">
        <v>53</v>
      </c>
      <c r="H1097" s="2">
        <v>4561.1885000000002</v>
      </c>
      <c r="I1097" s="2">
        <f t="shared" si="119"/>
        <v>912.23770000000002</v>
      </c>
      <c r="J1097" t="str">
        <f t="shared" si="120"/>
        <v>Low</v>
      </c>
      <c r="K1097" s="1">
        <f t="shared" si="121"/>
        <v>0.23799999999999999</v>
      </c>
      <c r="L1097" t="str">
        <f t="shared" si="122"/>
        <v>Obese</v>
      </c>
      <c r="M1097" t="str">
        <f t="shared" si="123"/>
        <v>Standard</v>
      </c>
      <c r="N1097" t="str">
        <f t="shared" si="124"/>
        <v>Tier 2</v>
      </c>
      <c r="O1097">
        <f t="shared" si="125"/>
        <v>2</v>
      </c>
    </row>
    <row r="1098" spans="1:15" x14ac:dyDescent="0.2">
      <c r="A1098">
        <v>51</v>
      </c>
      <c r="B1098" t="str" cm="1">
        <f t="array" ref="B1098">_xlfn.IFS(A1098&lt;=25,"18-25", A1098&lt;=35,"26-35", A1098&lt;=45,"36-45", A1098&lt;=55,"46-55", A1098&lt;=64,"56-64")</f>
        <v>46-55</v>
      </c>
      <c r="C1098" t="s">
        <v>7</v>
      </c>
      <c r="D1098">
        <v>34.96</v>
      </c>
      <c r="E1098">
        <v>2</v>
      </c>
      <c r="F1098" t="s">
        <v>8</v>
      </c>
      <c r="G1098" t="s">
        <v>53</v>
      </c>
      <c r="H1098" s="2">
        <v>44641.197399999997</v>
      </c>
      <c r="I1098" s="2">
        <f t="shared" si="119"/>
        <v>14880.399133333332</v>
      </c>
      <c r="J1098" t="str">
        <f t="shared" si="120"/>
        <v>High</v>
      </c>
      <c r="K1098" s="1">
        <f t="shared" si="121"/>
        <v>0.97099999999999997</v>
      </c>
      <c r="L1098" t="str">
        <f t="shared" si="122"/>
        <v>Obese</v>
      </c>
      <c r="M1098" t="str">
        <f t="shared" si="123"/>
        <v>High Risk</v>
      </c>
      <c r="N1098" t="str">
        <f t="shared" si="124"/>
        <v>Tier 2</v>
      </c>
      <c r="O1098">
        <f t="shared" si="125"/>
        <v>5</v>
      </c>
    </row>
    <row r="1099" spans="1:15" x14ac:dyDescent="0.2">
      <c r="A1099">
        <v>22</v>
      </c>
      <c r="B1099" t="str" cm="1">
        <f t="array" ref="B1099">_xlfn.IFS(A1099&lt;=25,"18-25", A1099&lt;=35,"26-35", A1099&lt;=45,"36-45", A1099&lt;=55,"46-55", A1099&lt;=64,"56-64")</f>
        <v>18-25</v>
      </c>
      <c r="C1099" t="s">
        <v>10</v>
      </c>
      <c r="D1099">
        <v>33.770000000000003</v>
      </c>
      <c r="E1099">
        <v>0</v>
      </c>
      <c r="F1099" t="s">
        <v>11</v>
      </c>
      <c r="G1099" t="s">
        <v>51</v>
      </c>
      <c r="H1099" s="2">
        <v>1674.6323</v>
      </c>
      <c r="I1099" s="2">
        <f t="shared" si="119"/>
        <v>1674.6323</v>
      </c>
      <c r="J1099" t="str">
        <f t="shared" si="120"/>
        <v>Low</v>
      </c>
      <c r="K1099" s="1">
        <f t="shared" si="121"/>
        <v>3.3000000000000002E-2</v>
      </c>
      <c r="L1099" t="str">
        <f t="shared" si="122"/>
        <v>Obese</v>
      </c>
      <c r="M1099" t="str">
        <f t="shared" si="123"/>
        <v>Standard</v>
      </c>
      <c r="N1099" t="str">
        <f t="shared" si="124"/>
        <v>Tier 1</v>
      </c>
      <c r="O1099">
        <f t="shared" si="125"/>
        <v>3</v>
      </c>
    </row>
    <row r="1100" spans="1:15" x14ac:dyDescent="0.2">
      <c r="A1100">
        <v>52</v>
      </c>
      <c r="B1100" t="str" cm="1">
        <f t="array" ref="B1100">_xlfn.IFS(A1100&lt;=25,"18-25", A1100&lt;=35,"26-35", A1100&lt;=45,"36-45", A1100&lt;=55,"46-55", A1100&lt;=64,"56-64")</f>
        <v>46-55</v>
      </c>
      <c r="C1100" t="s">
        <v>7</v>
      </c>
      <c r="D1100">
        <v>30.875</v>
      </c>
      <c r="E1100">
        <v>0</v>
      </c>
      <c r="F1100" t="s">
        <v>11</v>
      </c>
      <c r="G1100" t="s">
        <v>53</v>
      </c>
      <c r="H1100" s="2">
        <v>23045.566159999998</v>
      </c>
      <c r="I1100" s="2">
        <f t="shared" si="119"/>
        <v>23045.566159999998</v>
      </c>
      <c r="J1100" t="str">
        <f t="shared" si="120"/>
        <v>High</v>
      </c>
      <c r="K1100" s="1">
        <f t="shared" si="121"/>
        <v>0.82799999999999996</v>
      </c>
      <c r="L1100" t="str">
        <f t="shared" si="122"/>
        <v>Obese</v>
      </c>
      <c r="M1100" t="str">
        <f t="shared" si="123"/>
        <v>Standard</v>
      </c>
      <c r="N1100" t="str">
        <f t="shared" si="124"/>
        <v>Tier 2</v>
      </c>
      <c r="O1100">
        <f t="shared" si="125"/>
        <v>2</v>
      </c>
    </row>
    <row r="1101" spans="1:15" x14ac:dyDescent="0.2">
      <c r="A1101">
        <v>25</v>
      </c>
      <c r="B1101" t="str" cm="1">
        <f t="array" ref="B1101">_xlfn.IFS(A1101&lt;=25,"18-25", A1101&lt;=35,"26-35", A1101&lt;=45,"36-45", A1101&lt;=55,"46-55", A1101&lt;=64,"56-64")</f>
        <v>18-25</v>
      </c>
      <c r="C1101" t="s">
        <v>7</v>
      </c>
      <c r="D1101">
        <v>33.99</v>
      </c>
      <c r="E1101">
        <v>1</v>
      </c>
      <c r="F1101" t="s">
        <v>11</v>
      </c>
      <c r="G1101" t="s">
        <v>51</v>
      </c>
      <c r="H1101" s="2">
        <v>3227.1210999999998</v>
      </c>
      <c r="I1101" s="2">
        <f t="shared" si="119"/>
        <v>1613.5605499999999</v>
      </c>
      <c r="J1101" t="str">
        <f t="shared" si="120"/>
        <v>Low</v>
      </c>
      <c r="K1101" s="1">
        <f t="shared" si="121"/>
        <v>0.156</v>
      </c>
      <c r="L1101" t="str">
        <f t="shared" si="122"/>
        <v>Obese</v>
      </c>
      <c r="M1101" t="str">
        <f t="shared" si="123"/>
        <v>Standard</v>
      </c>
      <c r="N1101" t="str">
        <f t="shared" si="124"/>
        <v>Tier 1</v>
      </c>
      <c r="O1101">
        <f t="shared" si="125"/>
        <v>3</v>
      </c>
    </row>
    <row r="1102" spans="1:15" x14ac:dyDescent="0.2">
      <c r="A1102">
        <v>33</v>
      </c>
      <c r="B1102" t="str" cm="1">
        <f t="array" ref="B1102">_xlfn.IFS(A1102&lt;=25,"18-25", A1102&lt;=35,"26-35", A1102&lt;=45,"36-45", A1102&lt;=55,"46-55", A1102&lt;=64,"56-64")</f>
        <v>26-35</v>
      </c>
      <c r="C1102" t="s">
        <v>7</v>
      </c>
      <c r="D1102">
        <v>19.094999999999999</v>
      </c>
      <c r="E1102">
        <v>2</v>
      </c>
      <c r="F1102" t="s">
        <v>8</v>
      </c>
      <c r="G1102" t="s">
        <v>53</v>
      </c>
      <c r="H1102" s="2">
        <v>16776.304049999999</v>
      </c>
      <c r="I1102" s="2">
        <f t="shared" si="119"/>
        <v>5592.1013499999999</v>
      </c>
      <c r="J1102" t="str">
        <f t="shared" si="120"/>
        <v>High</v>
      </c>
      <c r="K1102" s="1">
        <f t="shared" si="121"/>
        <v>0.75</v>
      </c>
      <c r="L1102" t="str">
        <f t="shared" si="122"/>
        <v>Normal</v>
      </c>
      <c r="M1102" t="str">
        <f t="shared" si="123"/>
        <v>High Risk</v>
      </c>
      <c r="N1102" t="str">
        <f t="shared" si="124"/>
        <v>Tier 2</v>
      </c>
      <c r="O1102">
        <f t="shared" si="125"/>
        <v>3</v>
      </c>
    </row>
    <row r="1103" spans="1:15" x14ac:dyDescent="0.2">
      <c r="A1103">
        <v>53</v>
      </c>
      <c r="B1103" t="str" cm="1">
        <f t="array" ref="B1103">_xlfn.IFS(A1103&lt;=25,"18-25", A1103&lt;=35,"26-35", A1103&lt;=45,"36-45", A1103&lt;=55,"46-55", A1103&lt;=64,"56-64")</f>
        <v>46-55</v>
      </c>
      <c r="C1103" t="s">
        <v>10</v>
      </c>
      <c r="D1103">
        <v>28.6</v>
      </c>
      <c r="E1103">
        <v>3</v>
      </c>
      <c r="F1103" t="s">
        <v>11</v>
      </c>
      <c r="G1103" t="s">
        <v>52</v>
      </c>
      <c r="H1103" s="2">
        <v>11253.421</v>
      </c>
      <c r="I1103" s="2">
        <f t="shared" si="119"/>
        <v>2813.3552500000001</v>
      </c>
      <c r="J1103" t="str">
        <f t="shared" si="120"/>
        <v>Low</v>
      </c>
      <c r="K1103" s="1">
        <f t="shared" si="121"/>
        <v>0.58699999999999997</v>
      </c>
      <c r="L1103" t="str">
        <f t="shared" si="122"/>
        <v>Overweight</v>
      </c>
      <c r="M1103" t="str">
        <f t="shared" si="123"/>
        <v>Standard</v>
      </c>
      <c r="N1103" t="str">
        <f t="shared" si="124"/>
        <v>Tier 3</v>
      </c>
      <c r="O1103">
        <f t="shared" si="125"/>
        <v>1</v>
      </c>
    </row>
    <row r="1104" spans="1:15" x14ac:dyDescent="0.2">
      <c r="A1104">
        <v>29</v>
      </c>
      <c r="B1104" t="str" cm="1">
        <f t="array" ref="B1104">_xlfn.IFS(A1104&lt;=25,"18-25", A1104&lt;=35,"26-35", A1104&lt;=45,"36-45", A1104&lt;=55,"46-55", A1104&lt;=64,"56-64")</f>
        <v>26-35</v>
      </c>
      <c r="C1104" t="s">
        <v>10</v>
      </c>
      <c r="D1104">
        <v>38.94</v>
      </c>
      <c r="E1104">
        <v>1</v>
      </c>
      <c r="F1104" t="s">
        <v>11</v>
      </c>
      <c r="G1104" t="s">
        <v>51</v>
      </c>
      <c r="H1104" s="2">
        <v>3471.4096</v>
      </c>
      <c r="I1104" s="2">
        <f t="shared" si="119"/>
        <v>1735.7048</v>
      </c>
      <c r="J1104" t="str">
        <f t="shared" si="120"/>
        <v>Low</v>
      </c>
      <c r="K1104" s="1">
        <f t="shared" si="121"/>
        <v>0.16900000000000001</v>
      </c>
      <c r="L1104" t="str">
        <f t="shared" si="122"/>
        <v>Obese</v>
      </c>
      <c r="M1104" t="str">
        <f t="shared" si="123"/>
        <v>Standard</v>
      </c>
      <c r="N1104" t="str">
        <f t="shared" si="124"/>
        <v>Tier 1</v>
      </c>
      <c r="O1104">
        <f t="shared" si="125"/>
        <v>3</v>
      </c>
    </row>
    <row r="1105" spans="1:15" x14ac:dyDescent="0.2">
      <c r="A1105">
        <v>58</v>
      </c>
      <c r="B1105" t="str" cm="1">
        <f t="array" ref="B1105">_xlfn.IFS(A1105&lt;=25,"18-25", A1105&lt;=35,"26-35", A1105&lt;=45,"36-45", A1105&lt;=55,"46-55", A1105&lt;=64,"56-64")</f>
        <v>56-64</v>
      </c>
      <c r="C1105" t="s">
        <v>10</v>
      </c>
      <c r="D1105">
        <v>36.08</v>
      </c>
      <c r="E1105">
        <v>0</v>
      </c>
      <c r="F1105" t="s">
        <v>11</v>
      </c>
      <c r="G1105" t="s">
        <v>51</v>
      </c>
      <c r="H1105" s="2">
        <v>11363.2832</v>
      </c>
      <c r="I1105" s="2">
        <f t="shared" si="119"/>
        <v>11363.2832</v>
      </c>
      <c r="J1105" t="str">
        <f t="shared" si="120"/>
        <v>Low</v>
      </c>
      <c r="K1105" s="1">
        <f t="shared" si="121"/>
        <v>0.59599999999999997</v>
      </c>
      <c r="L1105" t="str">
        <f t="shared" si="122"/>
        <v>Obese</v>
      </c>
      <c r="M1105" t="str">
        <f t="shared" si="123"/>
        <v>Standard</v>
      </c>
      <c r="N1105" t="str">
        <f t="shared" si="124"/>
        <v>Tier 1</v>
      </c>
      <c r="O1105">
        <f t="shared" si="125"/>
        <v>3</v>
      </c>
    </row>
    <row r="1106" spans="1:15" x14ac:dyDescent="0.2">
      <c r="A1106">
        <v>37</v>
      </c>
      <c r="B1106" t="str" cm="1">
        <f t="array" ref="B1106">_xlfn.IFS(A1106&lt;=25,"18-25", A1106&lt;=35,"26-35", A1106&lt;=45,"36-45", A1106&lt;=55,"46-55", A1106&lt;=64,"56-64")</f>
        <v>36-45</v>
      </c>
      <c r="C1106" t="s">
        <v>10</v>
      </c>
      <c r="D1106">
        <v>29.8</v>
      </c>
      <c r="E1106">
        <v>0</v>
      </c>
      <c r="F1106" t="s">
        <v>11</v>
      </c>
      <c r="G1106" t="s">
        <v>52</v>
      </c>
      <c r="H1106" s="2">
        <v>20420.604650000001</v>
      </c>
      <c r="I1106" s="2">
        <f t="shared" si="119"/>
        <v>20420.604650000001</v>
      </c>
      <c r="J1106" t="str">
        <f t="shared" si="120"/>
        <v>High</v>
      </c>
      <c r="K1106" s="1">
        <f t="shared" si="121"/>
        <v>0.80100000000000005</v>
      </c>
      <c r="L1106" t="str">
        <f t="shared" si="122"/>
        <v>Overweight</v>
      </c>
      <c r="M1106" t="str">
        <f t="shared" si="123"/>
        <v>Standard</v>
      </c>
      <c r="N1106" t="str">
        <f t="shared" si="124"/>
        <v>Tier 3</v>
      </c>
      <c r="O1106">
        <f t="shared" si="125"/>
        <v>1</v>
      </c>
    </row>
    <row r="1107" spans="1:15" x14ac:dyDescent="0.2">
      <c r="A1107">
        <v>54</v>
      </c>
      <c r="B1107" t="str" cm="1">
        <f t="array" ref="B1107">_xlfn.IFS(A1107&lt;=25,"18-25", A1107&lt;=35,"26-35", A1107&lt;=45,"36-45", A1107&lt;=55,"46-55", A1107&lt;=64,"56-64")</f>
        <v>46-55</v>
      </c>
      <c r="C1107" t="s">
        <v>7</v>
      </c>
      <c r="D1107">
        <v>31.24</v>
      </c>
      <c r="E1107">
        <v>0</v>
      </c>
      <c r="F1107" t="s">
        <v>11</v>
      </c>
      <c r="G1107" t="s">
        <v>51</v>
      </c>
      <c r="H1107" s="2">
        <v>10338.9316</v>
      </c>
      <c r="I1107" s="2">
        <f t="shared" si="119"/>
        <v>10338.9316</v>
      </c>
      <c r="J1107" t="str">
        <f t="shared" si="120"/>
        <v>Low</v>
      </c>
      <c r="K1107" s="1">
        <f t="shared" si="121"/>
        <v>0.54500000000000004</v>
      </c>
      <c r="L1107" t="str">
        <f t="shared" si="122"/>
        <v>Obese</v>
      </c>
      <c r="M1107" t="str">
        <f t="shared" si="123"/>
        <v>Standard</v>
      </c>
      <c r="N1107" t="str">
        <f t="shared" si="124"/>
        <v>Tier 1</v>
      </c>
      <c r="O1107">
        <f t="shared" si="125"/>
        <v>3</v>
      </c>
    </row>
    <row r="1108" spans="1:15" x14ac:dyDescent="0.2">
      <c r="A1108">
        <v>49</v>
      </c>
      <c r="B1108" t="str" cm="1">
        <f t="array" ref="B1108">_xlfn.IFS(A1108&lt;=25,"18-25", A1108&lt;=35,"26-35", A1108&lt;=45,"36-45", A1108&lt;=55,"46-55", A1108&lt;=64,"56-64")</f>
        <v>46-55</v>
      </c>
      <c r="C1108" t="s">
        <v>7</v>
      </c>
      <c r="D1108">
        <v>29.925000000000001</v>
      </c>
      <c r="E1108">
        <v>0</v>
      </c>
      <c r="F1108" t="s">
        <v>11</v>
      </c>
      <c r="G1108" t="s">
        <v>54</v>
      </c>
      <c r="H1108" s="2">
        <v>8988.1587500000005</v>
      </c>
      <c r="I1108" s="2">
        <f t="shared" si="119"/>
        <v>8988.1587500000005</v>
      </c>
      <c r="J1108" t="str">
        <f t="shared" si="120"/>
        <v>Low</v>
      </c>
      <c r="K1108" s="1">
        <f t="shared" si="121"/>
        <v>0.48299999999999998</v>
      </c>
      <c r="L1108" t="str">
        <f t="shared" si="122"/>
        <v>Overweight</v>
      </c>
      <c r="M1108" t="str">
        <f t="shared" si="123"/>
        <v>Standard</v>
      </c>
      <c r="N1108" t="str">
        <f t="shared" si="124"/>
        <v>Tier 4</v>
      </c>
      <c r="O1108">
        <f t="shared" si="125"/>
        <v>1</v>
      </c>
    </row>
    <row r="1109" spans="1:15" x14ac:dyDescent="0.2">
      <c r="A1109">
        <v>50</v>
      </c>
      <c r="B1109" t="str" cm="1">
        <f t="array" ref="B1109">_xlfn.IFS(A1109&lt;=25,"18-25", A1109&lt;=35,"26-35", A1109&lt;=45,"36-45", A1109&lt;=55,"46-55", A1109&lt;=64,"56-64")</f>
        <v>46-55</v>
      </c>
      <c r="C1109" t="s">
        <v>7</v>
      </c>
      <c r="D1109">
        <v>26.22</v>
      </c>
      <c r="E1109">
        <v>2</v>
      </c>
      <c r="F1109" t="s">
        <v>11</v>
      </c>
      <c r="G1109" t="s">
        <v>54</v>
      </c>
      <c r="H1109" s="2">
        <v>10493.9458</v>
      </c>
      <c r="I1109" s="2">
        <f t="shared" si="119"/>
        <v>3497.981933333333</v>
      </c>
      <c r="J1109" t="str">
        <f t="shared" si="120"/>
        <v>Low</v>
      </c>
      <c r="K1109" s="1">
        <f t="shared" si="121"/>
        <v>0.55300000000000005</v>
      </c>
      <c r="L1109" t="str">
        <f t="shared" si="122"/>
        <v>Overweight</v>
      </c>
      <c r="M1109" t="str">
        <f t="shared" si="123"/>
        <v>Standard</v>
      </c>
      <c r="N1109" t="str">
        <f t="shared" si="124"/>
        <v>Tier 4</v>
      </c>
      <c r="O1109">
        <f t="shared" si="125"/>
        <v>1</v>
      </c>
    </row>
    <row r="1110" spans="1:15" x14ac:dyDescent="0.2">
      <c r="A1110">
        <v>26</v>
      </c>
      <c r="B1110" t="str" cm="1">
        <f t="array" ref="B1110">_xlfn.IFS(A1110&lt;=25,"18-25", A1110&lt;=35,"26-35", A1110&lt;=45,"36-45", A1110&lt;=55,"46-55", A1110&lt;=64,"56-64")</f>
        <v>26-35</v>
      </c>
      <c r="C1110" t="s">
        <v>10</v>
      </c>
      <c r="D1110">
        <v>30</v>
      </c>
      <c r="E1110">
        <v>1</v>
      </c>
      <c r="F1110" t="s">
        <v>11</v>
      </c>
      <c r="G1110" t="s">
        <v>52</v>
      </c>
      <c r="H1110" s="2">
        <v>2904.0880000000002</v>
      </c>
      <c r="I1110" s="2">
        <f t="shared" si="119"/>
        <v>1452.0440000000001</v>
      </c>
      <c r="J1110" t="str">
        <f t="shared" si="120"/>
        <v>Low</v>
      </c>
      <c r="K1110" s="1">
        <f t="shared" si="121"/>
        <v>0.13900000000000001</v>
      </c>
      <c r="L1110" t="str">
        <f t="shared" si="122"/>
        <v>Obese</v>
      </c>
      <c r="M1110" t="str">
        <f t="shared" si="123"/>
        <v>Standard</v>
      </c>
      <c r="N1110" t="str">
        <f t="shared" si="124"/>
        <v>Tier 3</v>
      </c>
      <c r="O1110">
        <f t="shared" si="125"/>
        <v>2</v>
      </c>
    </row>
    <row r="1111" spans="1:15" x14ac:dyDescent="0.2">
      <c r="A1111">
        <v>45</v>
      </c>
      <c r="B1111" t="str" cm="1">
        <f t="array" ref="B1111">_xlfn.IFS(A1111&lt;=25,"18-25", A1111&lt;=35,"26-35", A1111&lt;=45,"36-45", A1111&lt;=55,"46-55", A1111&lt;=64,"56-64")</f>
        <v>36-45</v>
      </c>
      <c r="C1111" t="s">
        <v>10</v>
      </c>
      <c r="D1111">
        <v>20.350000000000001</v>
      </c>
      <c r="E1111">
        <v>3</v>
      </c>
      <c r="F1111" t="s">
        <v>11</v>
      </c>
      <c r="G1111" t="s">
        <v>51</v>
      </c>
      <c r="H1111" s="2">
        <v>8605.3615000000009</v>
      </c>
      <c r="I1111" s="2">
        <f t="shared" si="119"/>
        <v>2151.3403750000002</v>
      </c>
      <c r="J1111" t="str">
        <f t="shared" si="120"/>
        <v>Low</v>
      </c>
      <c r="K1111" s="1">
        <f t="shared" si="121"/>
        <v>0.46500000000000002</v>
      </c>
      <c r="L1111" t="str">
        <f t="shared" si="122"/>
        <v>Normal</v>
      </c>
      <c r="M1111" t="str">
        <f t="shared" si="123"/>
        <v>Standard</v>
      </c>
      <c r="N1111" t="str">
        <f t="shared" si="124"/>
        <v>Tier 1</v>
      </c>
      <c r="O1111">
        <f t="shared" si="125"/>
        <v>1</v>
      </c>
    </row>
    <row r="1112" spans="1:15" x14ac:dyDescent="0.2">
      <c r="A1112">
        <v>54</v>
      </c>
      <c r="B1112" t="str" cm="1">
        <f t="array" ref="B1112">_xlfn.IFS(A1112&lt;=25,"18-25", A1112&lt;=35,"26-35", A1112&lt;=45,"36-45", A1112&lt;=55,"46-55", A1112&lt;=64,"56-64")</f>
        <v>46-55</v>
      </c>
      <c r="C1112" t="s">
        <v>7</v>
      </c>
      <c r="D1112">
        <v>32.299999999999997</v>
      </c>
      <c r="E1112">
        <v>1</v>
      </c>
      <c r="F1112" t="s">
        <v>11</v>
      </c>
      <c r="G1112" t="s">
        <v>53</v>
      </c>
      <c r="H1112" s="2">
        <v>11512.405000000001</v>
      </c>
      <c r="I1112" s="2">
        <f t="shared" si="119"/>
        <v>5756.2025000000003</v>
      </c>
      <c r="J1112" t="str">
        <f t="shared" si="120"/>
        <v>Low</v>
      </c>
      <c r="K1112" s="1">
        <f t="shared" si="121"/>
        <v>0.60499999999999998</v>
      </c>
      <c r="L1112" t="str">
        <f t="shared" si="122"/>
        <v>Obese</v>
      </c>
      <c r="M1112" t="str">
        <f t="shared" si="123"/>
        <v>Standard</v>
      </c>
      <c r="N1112" t="str">
        <f t="shared" si="124"/>
        <v>Tier 2</v>
      </c>
      <c r="O1112">
        <f t="shared" si="125"/>
        <v>2</v>
      </c>
    </row>
    <row r="1113" spans="1:15" x14ac:dyDescent="0.2">
      <c r="A1113">
        <v>38</v>
      </c>
      <c r="B1113" t="str" cm="1">
        <f t="array" ref="B1113">_xlfn.IFS(A1113&lt;=25,"18-25", A1113&lt;=35,"26-35", A1113&lt;=45,"36-45", A1113&lt;=55,"46-55", A1113&lt;=64,"56-64")</f>
        <v>36-45</v>
      </c>
      <c r="C1113" t="s">
        <v>10</v>
      </c>
      <c r="D1113">
        <v>38.39</v>
      </c>
      <c r="E1113">
        <v>3</v>
      </c>
      <c r="F1113" t="s">
        <v>8</v>
      </c>
      <c r="G1113" t="s">
        <v>51</v>
      </c>
      <c r="H1113" s="2">
        <v>41949.244100000004</v>
      </c>
      <c r="I1113" s="2">
        <f t="shared" si="119"/>
        <v>10487.311025000001</v>
      </c>
      <c r="J1113" t="str">
        <f t="shared" si="120"/>
        <v>High</v>
      </c>
      <c r="K1113" s="1">
        <f t="shared" si="121"/>
        <v>0.95199999999999996</v>
      </c>
      <c r="L1113" t="str">
        <f t="shared" si="122"/>
        <v>Obese</v>
      </c>
      <c r="M1113" t="str">
        <f t="shared" si="123"/>
        <v>High Risk</v>
      </c>
      <c r="N1113" t="str">
        <f t="shared" si="124"/>
        <v>Tier 1</v>
      </c>
      <c r="O1113">
        <f t="shared" si="125"/>
        <v>6</v>
      </c>
    </row>
    <row r="1114" spans="1:15" x14ac:dyDescent="0.2">
      <c r="A1114">
        <v>48</v>
      </c>
      <c r="B1114" t="str" cm="1">
        <f t="array" ref="B1114">_xlfn.IFS(A1114&lt;=25,"18-25", A1114&lt;=35,"26-35", A1114&lt;=45,"36-45", A1114&lt;=55,"46-55", A1114&lt;=64,"56-64")</f>
        <v>46-55</v>
      </c>
      <c r="C1114" t="s">
        <v>7</v>
      </c>
      <c r="D1114">
        <v>25.85</v>
      </c>
      <c r="E1114">
        <v>3</v>
      </c>
      <c r="F1114" t="s">
        <v>8</v>
      </c>
      <c r="G1114" t="s">
        <v>51</v>
      </c>
      <c r="H1114" s="2">
        <v>24180.933499999999</v>
      </c>
      <c r="I1114" s="2">
        <f t="shared" si="119"/>
        <v>6045.2333749999998</v>
      </c>
      <c r="J1114" t="str">
        <f t="shared" si="120"/>
        <v>High</v>
      </c>
      <c r="K1114" s="1">
        <f t="shared" si="121"/>
        <v>0.83899999999999997</v>
      </c>
      <c r="L1114" t="str">
        <f t="shared" si="122"/>
        <v>Overweight</v>
      </c>
      <c r="M1114" t="str">
        <f t="shared" si="123"/>
        <v>High Risk</v>
      </c>
      <c r="N1114" t="str">
        <f t="shared" si="124"/>
        <v>Tier 1</v>
      </c>
      <c r="O1114">
        <f t="shared" si="125"/>
        <v>5</v>
      </c>
    </row>
    <row r="1115" spans="1:15" x14ac:dyDescent="0.2">
      <c r="A1115">
        <v>28</v>
      </c>
      <c r="B1115" t="str" cm="1">
        <f t="array" ref="B1115">_xlfn.IFS(A1115&lt;=25,"18-25", A1115&lt;=35,"26-35", A1115&lt;=45,"36-45", A1115&lt;=55,"46-55", A1115&lt;=64,"56-64")</f>
        <v>26-35</v>
      </c>
      <c r="C1115" t="s">
        <v>7</v>
      </c>
      <c r="D1115">
        <v>26.315000000000001</v>
      </c>
      <c r="E1115">
        <v>3</v>
      </c>
      <c r="F1115" t="s">
        <v>11</v>
      </c>
      <c r="G1115" t="s">
        <v>54</v>
      </c>
      <c r="H1115" s="2">
        <v>5312.1698500000002</v>
      </c>
      <c r="I1115" s="2">
        <f t="shared" si="119"/>
        <v>1328.0424625000001</v>
      </c>
      <c r="J1115" t="str">
        <f t="shared" si="120"/>
        <v>Low</v>
      </c>
      <c r="K1115" s="1">
        <f t="shared" si="121"/>
        <v>0.28499999999999998</v>
      </c>
      <c r="L1115" t="str">
        <f t="shared" si="122"/>
        <v>Overweight</v>
      </c>
      <c r="M1115" t="str">
        <f t="shared" si="123"/>
        <v>Standard</v>
      </c>
      <c r="N1115" t="str">
        <f t="shared" si="124"/>
        <v>Tier 4</v>
      </c>
      <c r="O1115">
        <f t="shared" si="125"/>
        <v>1</v>
      </c>
    </row>
    <row r="1116" spans="1:15" x14ac:dyDescent="0.2">
      <c r="A1116">
        <v>23</v>
      </c>
      <c r="B1116" t="str" cm="1">
        <f t="array" ref="B1116">_xlfn.IFS(A1116&lt;=25,"18-25", A1116&lt;=35,"26-35", A1116&lt;=45,"36-45", A1116&lt;=55,"46-55", A1116&lt;=64,"56-64")</f>
        <v>18-25</v>
      </c>
      <c r="C1116" t="s">
        <v>10</v>
      </c>
      <c r="D1116">
        <v>24.51</v>
      </c>
      <c r="E1116">
        <v>0</v>
      </c>
      <c r="F1116" t="s">
        <v>11</v>
      </c>
      <c r="G1116" t="s">
        <v>53</v>
      </c>
      <c r="H1116" s="2">
        <v>2396.0958999999998</v>
      </c>
      <c r="I1116" s="2">
        <f t="shared" si="119"/>
        <v>2396.0958999999998</v>
      </c>
      <c r="J1116" t="str">
        <f t="shared" si="120"/>
        <v>Low</v>
      </c>
      <c r="K1116" s="1">
        <f t="shared" si="121"/>
        <v>0.10199999999999999</v>
      </c>
      <c r="L1116" t="str">
        <f t="shared" si="122"/>
        <v>Normal</v>
      </c>
      <c r="M1116" t="str">
        <f t="shared" si="123"/>
        <v>Standard</v>
      </c>
      <c r="N1116" t="str">
        <f t="shared" si="124"/>
        <v>Tier 2</v>
      </c>
      <c r="O1116">
        <f t="shared" si="125"/>
        <v>0</v>
      </c>
    </row>
    <row r="1117" spans="1:15" x14ac:dyDescent="0.2">
      <c r="A1117">
        <v>55</v>
      </c>
      <c r="B1117" t="str" cm="1">
        <f t="array" ref="B1117">_xlfn.IFS(A1117&lt;=25,"18-25", A1117&lt;=35,"26-35", A1117&lt;=45,"36-45", A1117&lt;=55,"46-55", A1117&lt;=64,"56-64")</f>
        <v>46-55</v>
      </c>
      <c r="C1117" t="s">
        <v>10</v>
      </c>
      <c r="D1117">
        <v>32.67</v>
      </c>
      <c r="E1117">
        <v>1</v>
      </c>
      <c r="F1117" t="s">
        <v>11</v>
      </c>
      <c r="G1117" t="s">
        <v>51</v>
      </c>
      <c r="H1117" s="2">
        <v>10807.4863</v>
      </c>
      <c r="I1117" s="2">
        <f t="shared" si="119"/>
        <v>5403.7431500000002</v>
      </c>
      <c r="J1117" t="str">
        <f t="shared" si="120"/>
        <v>Low</v>
      </c>
      <c r="K1117" s="1">
        <f t="shared" si="121"/>
        <v>0.56799999999999995</v>
      </c>
      <c r="L1117" t="str">
        <f t="shared" si="122"/>
        <v>Obese</v>
      </c>
      <c r="M1117" t="str">
        <f t="shared" si="123"/>
        <v>Standard</v>
      </c>
      <c r="N1117" t="str">
        <f t="shared" si="124"/>
        <v>Tier 1</v>
      </c>
      <c r="O1117">
        <f t="shared" si="125"/>
        <v>3</v>
      </c>
    </row>
    <row r="1118" spans="1:15" x14ac:dyDescent="0.2">
      <c r="A1118">
        <v>41</v>
      </c>
      <c r="B1118" t="str" cm="1">
        <f t="array" ref="B1118">_xlfn.IFS(A1118&lt;=25,"18-25", A1118&lt;=35,"26-35", A1118&lt;=45,"36-45", A1118&lt;=55,"46-55", A1118&lt;=64,"56-64")</f>
        <v>36-45</v>
      </c>
      <c r="C1118" t="s">
        <v>10</v>
      </c>
      <c r="D1118">
        <v>29.64</v>
      </c>
      <c r="E1118">
        <v>5</v>
      </c>
      <c r="F1118" t="s">
        <v>11</v>
      </c>
      <c r="G1118" t="s">
        <v>53</v>
      </c>
      <c r="H1118" s="2">
        <v>9222.4025999999994</v>
      </c>
      <c r="I1118" s="2">
        <f t="shared" si="119"/>
        <v>1537.0671</v>
      </c>
      <c r="J1118" t="str">
        <f t="shared" si="120"/>
        <v>Low</v>
      </c>
      <c r="K1118" s="1">
        <f t="shared" si="121"/>
        <v>0.49099999999999999</v>
      </c>
      <c r="L1118" t="str">
        <f t="shared" si="122"/>
        <v>Overweight</v>
      </c>
      <c r="M1118" t="str">
        <f t="shared" si="123"/>
        <v>Standard</v>
      </c>
      <c r="N1118" t="str">
        <f t="shared" si="124"/>
        <v>Tier 2</v>
      </c>
      <c r="O1118">
        <f t="shared" si="125"/>
        <v>1</v>
      </c>
    </row>
    <row r="1119" spans="1:15" x14ac:dyDescent="0.2">
      <c r="A1119">
        <v>25</v>
      </c>
      <c r="B1119" t="str" cm="1">
        <f t="array" ref="B1119">_xlfn.IFS(A1119&lt;=25,"18-25", A1119&lt;=35,"26-35", A1119&lt;=45,"36-45", A1119&lt;=55,"46-55", A1119&lt;=64,"56-64")</f>
        <v>18-25</v>
      </c>
      <c r="C1119" t="s">
        <v>10</v>
      </c>
      <c r="D1119">
        <v>33.33</v>
      </c>
      <c r="E1119">
        <v>2</v>
      </c>
      <c r="F1119" t="s">
        <v>8</v>
      </c>
      <c r="G1119" t="s">
        <v>51</v>
      </c>
      <c r="H1119" s="2">
        <v>36124.573700000001</v>
      </c>
      <c r="I1119" s="2">
        <f t="shared" si="119"/>
        <v>12041.524566666667</v>
      </c>
      <c r="J1119" t="str">
        <f t="shared" si="120"/>
        <v>High</v>
      </c>
      <c r="K1119" s="1">
        <f t="shared" si="121"/>
        <v>0.90700000000000003</v>
      </c>
      <c r="L1119" t="str">
        <f t="shared" si="122"/>
        <v>Obese</v>
      </c>
      <c r="M1119" t="str">
        <f t="shared" si="123"/>
        <v>High Risk</v>
      </c>
      <c r="N1119" t="str">
        <f t="shared" si="124"/>
        <v>Tier 1</v>
      </c>
      <c r="O1119">
        <f t="shared" si="125"/>
        <v>6</v>
      </c>
    </row>
    <row r="1120" spans="1:15" x14ac:dyDescent="0.2">
      <c r="A1120">
        <v>33</v>
      </c>
      <c r="B1120" t="str" cm="1">
        <f t="array" ref="B1120">_xlfn.IFS(A1120&lt;=25,"18-25", A1120&lt;=35,"26-35", A1120&lt;=45,"36-45", A1120&lt;=55,"46-55", A1120&lt;=64,"56-64")</f>
        <v>26-35</v>
      </c>
      <c r="C1120" t="s">
        <v>10</v>
      </c>
      <c r="D1120">
        <v>35.75</v>
      </c>
      <c r="E1120">
        <v>1</v>
      </c>
      <c r="F1120" t="s">
        <v>8</v>
      </c>
      <c r="G1120" t="s">
        <v>51</v>
      </c>
      <c r="H1120" s="2">
        <v>38282.749499999998</v>
      </c>
      <c r="I1120" s="2">
        <f t="shared" si="119"/>
        <v>19141.374749999999</v>
      </c>
      <c r="J1120" t="str">
        <f t="shared" si="120"/>
        <v>High</v>
      </c>
      <c r="K1120" s="1">
        <f t="shared" si="121"/>
        <v>0.92500000000000004</v>
      </c>
      <c r="L1120" t="str">
        <f t="shared" si="122"/>
        <v>Obese</v>
      </c>
      <c r="M1120" t="str">
        <f t="shared" si="123"/>
        <v>High Risk</v>
      </c>
      <c r="N1120" t="str">
        <f t="shared" si="124"/>
        <v>Tier 1</v>
      </c>
      <c r="O1120">
        <f t="shared" si="125"/>
        <v>6</v>
      </c>
    </row>
    <row r="1121" spans="1:15" x14ac:dyDescent="0.2">
      <c r="A1121">
        <v>30</v>
      </c>
      <c r="B1121" t="str" cm="1">
        <f t="array" ref="B1121">_xlfn.IFS(A1121&lt;=25,"18-25", A1121&lt;=35,"26-35", A1121&lt;=45,"36-45", A1121&lt;=55,"46-55", A1121&lt;=64,"56-64")</f>
        <v>26-35</v>
      </c>
      <c r="C1121" t="s">
        <v>7</v>
      </c>
      <c r="D1121">
        <v>19.95</v>
      </c>
      <c r="E1121">
        <v>3</v>
      </c>
      <c r="F1121" t="s">
        <v>11</v>
      </c>
      <c r="G1121" t="s">
        <v>54</v>
      </c>
      <c r="H1121" s="2">
        <v>5693.4305000000004</v>
      </c>
      <c r="I1121" s="2">
        <f t="shared" si="119"/>
        <v>1423.3576250000001</v>
      </c>
      <c r="J1121" t="str">
        <f t="shared" si="120"/>
        <v>Low</v>
      </c>
      <c r="K1121" s="1">
        <f t="shared" si="121"/>
        <v>0.30499999999999999</v>
      </c>
      <c r="L1121" t="str">
        <f t="shared" si="122"/>
        <v>Normal</v>
      </c>
      <c r="M1121" t="str">
        <f t="shared" si="123"/>
        <v>Standard</v>
      </c>
      <c r="N1121" t="str">
        <f t="shared" si="124"/>
        <v>Tier 4</v>
      </c>
      <c r="O1121">
        <f t="shared" si="125"/>
        <v>0</v>
      </c>
    </row>
    <row r="1122" spans="1:15" x14ac:dyDescent="0.2">
      <c r="A1122">
        <v>23</v>
      </c>
      <c r="B1122" t="str" cm="1">
        <f t="array" ref="B1122">_xlfn.IFS(A1122&lt;=25,"18-25", A1122&lt;=35,"26-35", A1122&lt;=45,"36-45", A1122&lt;=55,"46-55", A1122&lt;=64,"56-64")</f>
        <v>18-25</v>
      </c>
      <c r="C1122" t="s">
        <v>7</v>
      </c>
      <c r="D1122">
        <v>31.4</v>
      </c>
      <c r="E1122">
        <v>0</v>
      </c>
      <c r="F1122" t="s">
        <v>8</v>
      </c>
      <c r="G1122" t="s">
        <v>52</v>
      </c>
      <c r="H1122" s="2">
        <v>34166.273000000001</v>
      </c>
      <c r="I1122" s="2">
        <f t="shared" si="119"/>
        <v>34166.273000000001</v>
      </c>
      <c r="J1122" t="str">
        <f t="shared" si="120"/>
        <v>High</v>
      </c>
      <c r="K1122" s="1">
        <f t="shared" si="121"/>
        <v>0.89300000000000002</v>
      </c>
      <c r="L1122" t="str">
        <f t="shared" si="122"/>
        <v>Obese</v>
      </c>
      <c r="M1122" t="str">
        <f t="shared" si="123"/>
        <v>High Risk</v>
      </c>
      <c r="N1122" t="str">
        <f t="shared" si="124"/>
        <v>Tier 3</v>
      </c>
      <c r="O1122">
        <f t="shared" si="125"/>
        <v>5</v>
      </c>
    </row>
    <row r="1123" spans="1:15" x14ac:dyDescent="0.2">
      <c r="A1123">
        <v>46</v>
      </c>
      <c r="B1123" t="str" cm="1">
        <f t="array" ref="B1123">_xlfn.IFS(A1123&lt;=25,"18-25", A1123&lt;=35,"26-35", A1123&lt;=45,"36-45", A1123&lt;=55,"46-55", A1123&lt;=64,"56-64")</f>
        <v>46-55</v>
      </c>
      <c r="C1123" t="s">
        <v>10</v>
      </c>
      <c r="D1123">
        <v>38.17</v>
      </c>
      <c r="E1123">
        <v>2</v>
      </c>
      <c r="F1123" t="s">
        <v>11</v>
      </c>
      <c r="G1123" t="s">
        <v>51</v>
      </c>
      <c r="H1123" s="2">
        <v>8347.1643000000004</v>
      </c>
      <c r="I1123" s="2">
        <f t="shared" si="119"/>
        <v>2782.3881000000001</v>
      </c>
      <c r="J1123" t="str">
        <f t="shared" si="120"/>
        <v>Low</v>
      </c>
      <c r="K1123" s="1">
        <f t="shared" si="121"/>
        <v>0.44700000000000001</v>
      </c>
      <c r="L1123" t="str">
        <f t="shared" si="122"/>
        <v>Obese</v>
      </c>
      <c r="M1123" t="str">
        <f t="shared" si="123"/>
        <v>Standard</v>
      </c>
      <c r="N1123" t="str">
        <f t="shared" si="124"/>
        <v>Tier 1</v>
      </c>
      <c r="O1123">
        <f t="shared" si="125"/>
        <v>3</v>
      </c>
    </row>
    <row r="1124" spans="1:15" x14ac:dyDescent="0.2">
      <c r="A1124">
        <v>53</v>
      </c>
      <c r="B1124" t="str" cm="1">
        <f t="array" ref="B1124">_xlfn.IFS(A1124&lt;=25,"18-25", A1124&lt;=35,"26-35", A1124&lt;=45,"36-45", A1124&lt;=55,"46-55", A1124&lt;=64,"56-64")</f>
        <v>46-55</v>
      </c>
      <c r="C1124" t="s">
        <v>7</v>
      </c>
      <c r="D1124">
        <v>36.86</v>
      </c>
      <c r="E1124">
        <v>3</v>
      </c>
      <c r="F1124" t="s">
        <v>8</v>
      </c>
      <c r="G1124" t="s">
        <v>54</v>
      </c>
      <c r="H1124" s="2">
        <v>46661.4424</v>
      </c>
      <c r="I1124" s="2">
        <f t="shared" si="119"/>
        <v>11665.3606</v>
      </c>
      <c r="J1124" t="str">
        <f t="shared" si="120"/>
        <v>High</v>
      </c>
      <c r="K1124" s="1">
        <f t="shared" si="121"/>
        <v>0.97899999999999998</v>
      </c>
      <c r="L1124" t="str">
        <f t="shared" si="122"/>
        <v>Obese</v>
      </c>
      <c r="M1124" t="str">
        <f t="shared" si="123"/>
        <v>High Risk</v>
      </c>
      <c r="N1124" t="str">
        <f t="shared" si="124"/>
        <v>Tier 4</v>
      </c>
      <c r="O1124">
        <f t="shared" si="125"/>
        <v>5</v>
      </c>
    </row>
    <row r="1125" spans="1:15" x14ac:dyDescent="0.2">
      <c r="A1125">
        <v>27</v>
      </c>
      <c r="B1125" t="str" cm="1">
        <f t="array" ref="B1125">_xlfn.IFS(A1125&lt;=25,"18-25", A1125&lt;=35,"26-35", A1125&lt;=45,"36-45", A1125&lt;=55,"46-55", A1125&lt;=64,"56-64")</f>
        <v>26-35</v>
      </c>
      <c r="C1125" t="s">
        <v>7</v>
      </c>
      <c r="D1125">
        <v>32.395000000000003</v>
      </c>
      <c r="E1125">
        <v>1</v>
      </c>
      <c r="F1125" t="s">
        <v>11</v>
      </c>
      <c r="G1125" t="s">
        <v>53</v>
      </c>
      <c r="H1125" s="2">
        <v>18903.491409999999</v>
      </c>
      <c r="I1125" s="2">
        <f t="shared" si="119"/>
        <v>9451.7457049999994</v>
      </c>
      <c r="J1125" t="str">
        <f t="shared" si="120"/>
        <v>High</v>
      </c>
      <c r="K1125" s="1">
        <f t="shared" si="121"/>
        <v>0.77700000000000002</v>
      </c>
      <c r="L1125" t="str">
        <f t="shared" si="122"/>
        <v>Obese</v>
      </c>
      <c r="M1125" t="str">
        <f t="shared" si="123"/>
        <v>Standard</v>
      </c>
      <c r="N1125" t="str">
        <f t="shared" si="124"/>
        <v>Tier 2</v>
      </c>
      <c r="O1125">
        <f t="shared" si="125"/>
        <v>2</v>
      </c>
    </row>
    <row r="1126" spans="1:15" x14ac:dyDescent="0.2">
      <c r="A1126">
        <v>23</v>
      </c>
      <c r="B1126" t="str" cm="1">
        <f t="array" ref="B1126">_xlfn.IFS(A1126&lt;=25,"18-25", A1126&lt;=35,"26-35", A1126&lt;=45,"36-45", A1126&lt;=55,"46-55", A1126&lt;=64,"56-64")</f>
        <v>18-25</v>
      </c>
      <c r="C1126" t="s">
        <v>7</v>
      </c>
      <c r="D1126">
        <v>42.75</v>
      </c>
      <c r="E1126">
        <v>1</v>
      </c>
      <c r="F1126" t="s">
        <v>8</v>
      </c>
      <c r="G1126" t="s">
        <v>53</v>
      </c>
      <c r="H1126" s="2">
        <v>40904.199500000002</v>
      </c>
      <c r="I1126" s="2">
        <f t="shared" si="119"/>
        <v>20452.099750000001</v>
      </c>
      <c r="J1126" t="str">
        <f t="shared" si="120"/>
        <v>High</v>
      </c>
      <c r="K1126" s="1">
        <f t="shared" si="121"/>
        <v>0.94599999999999995</v>
      </c>
      <c r="L1126" t="str">
        <f t="shared" si="122"/>
        <v>Obese</v>
      </c>
      <c r="M1126" t="str">
        <f t="shared" si="123"/>
        <v>High Risk</v>
      </c>
      <c r="N1126" t="str">
        <f t="shared" si="124"/>
        <v>Tier 2</v>
      </c>
      <c r="O1126">
        <f t="shared" si="125"/>
        <v>5</v>
      </c>
    </row>
    <row r="1127" spans="1:15" x14ac:dyDescent="0.2">
      <c r="A1127">
        <v>63</v>
      </c>
      <c r="B1127" t="str" cm="1">
        <f t="array" ref="B1127">_xlfn.IFS(A1127&lt;=25,"18-25", A1127&lt;=35,"26-35", A1127&lt;=45,"36-45", A1127&lt;=55,"46-55", A1127&lt;=64,"56-64")</f>
        <v>56-64</v>
      </c>
      <c r="C1127" t="s">
        <v>7</v>
      </c>
      <c r="D1127">
        <v>25.08</v>
      </c>
      <c r="E1127">
        <v>0</v>
      </c>
      <c r="F1127" t="s">
        <v>11</v>
      </c>
      <c r="G1127" t="s">
        <v>54</v>
      </c>
      <c r="H1127" s="2">
        <v>14254.608200000001</v>
      </c>
      <c r="I1127" s="2">
        <f t="shared" si="119"/>
        <v>14254.608200000001</v>
      </c>
      <c r="J1127" t="str">
        <f t="shared" si="120"/>
        <v>High</v>
      </c>
      <c r="K1127" s="1">
        <f t="shared" si="121"/>
        <v>0.71499999999999997</v>
      </c>
      <c r="L1127" t="str">
        <f t="shared" si="122"/>
        <v>Overweight</v>
      </c>
      <c r="M1127" t="str">
        <f t="shared" si="123"/>
        <v>Standard</v>
      </c>
      <c r="N1127" t="str">
        <f t="shared" si="124"/>
        <v>Tier 4</v>
      </c>
      <c r="O1127">
        <f t="shared" si="125"/>
        <v>1</v>
      </c>
    </row>
    <row r="1128" spans="1:15" x14ac:dyDescent="0.2">
      <c r="A1128">
        <v>55</v>
      </c>
      <c r="B1128" t="str" cm="1">
        <f t="array" ref="B1128">_xlfn.IFS(A1128&lt;=25,"18-25", A1128&lt;=35,"26-35", A1128&lt;=45,"36-45", A1128&lt;=55,"46-55", A1128&lt;=64,"56-64")</f>
        <v>46-55</v>
      </c>
      <c r="C1128" t="s">
        <v>10</v>
      </c>
      <c r="D1128">
        <v>29.9</v>
      </c>
      <c r="E1128">
        <v>0</v>
      </c>
      <c r="F1128" t="s">
        <v>11</v>
      </c>
      <c r="G1128" t="s">
        <v>52</v>
      </c>
      <c r="H1128" s="2">
        <v>10214.636</v>
      </c>
      <c r="I1128" s="2">
        <f t="shared" si="119"/>
        <v>10214.636</v>
      </c>
      <c r="J1128" t="str">
        <f t="shared" si="120"/>
        <v>Low</v>
      </c>
      <c r="K1128" s="1">
        <f t="shared" si="121"/>
        <v>0.54100000000000004</v>
      </c>
      <c r="L1128" t="str">
        <f t="shared" si="122"/>
        <v>Overweight</v>
      </c>
      <c r="M1128" t="str">
        <f t="shared" si="123"/>
        <v>Standard</v>
      </c>
      <c r="N1128" t="str">
        <f t="shared" si="124"/>
        <v>Tier 3</v>
      </c>
      <c r="O1128">
        <f t="shared" si="125"/>
        <v>1</v>
      </c>
    </row>
    <row r="1129" spans="1:15" x14ac:dyDescent="0.2">
      <c r="A1129">
        <v>35</v>
      </c>
      <c r="B1129" t="str" cm="1">
        <f t="array" ref="B1129">_xlfn.IFS(A1129&lt;=25,"18-25", A1129&lt;=35,"26-35", A1129&lt;=45,"36-45", A1129&lt;=55,"46-55", A1129&lt;=64,"56-64")</f>
        <v>26-35</v>
      </c>
      <c r="C1129" t="s">
        <v>7</v>
      </c>
      <c r="D1129">
        <v>35.86</v>
      </c>
      <c r="E1129">
        <v>2</v>
      </c>
      <c r="F1129" t="s">
        <v>11</v>
      </c>
      <c r="G1129" t="s">
        <v>51</v>
      </c>
      <c r="H1129" s="2">
        <v>5836.5204000000003</v>
      </c>
      <c r="I1129" s="2">
        <f t="shared" si="119"/>
        <v>1945.5068000000001</v>
      </c>
      <c r="J1129" t="str">
        <f t="shared" si="120"/>
        <v>Low</v>
      </c>
      <c r="K1129" s="1">
        <f t="shared" si="121"/>
        <v>0.31</v>
      </c>
      <c r="L1129" t="str">
        <f t="shared" si="122"/>
        <v>Obese</v>
      </c>
      <c r="M1129" t="str">
        <f t="shared" si="123"/>
        <v>Standard</v>
      </c>
      <c r="N1129" t="str">
        <f t="shared" si="124"/>
        <v>Tier 1</v>
      </c>
      <c r="O1129">
        <f t="shared" si="125"/>
        <v>3</v>
      </c>
    </row>
    <row r="1130" spans="1:15" x14ac:dyDescent="0.2">
      <c r="A1130">
        <v>34</v>
      </c>
      <c r="B1130" t="str" cm="1">
        <f t="array" ref="B1130">_xlfn.IFS(A1130&lt;=25,"18-25", A1130&lt;=35,"26-35", A1130&lt;=45,"36-45", A1130&lt;=55,"46-55", A1130&lt;=64,"56-64")</f>
        <v>26-35</v>
      </c>
      <c r="C1130" t="s">
        <v>10</v>
      </c>
      <c r="D1130">
        <v>32.799999999999997</v>
      </c>
      <c r="E1130">
        <v>1</v>
      </c>
      <c r="F1130" t="s">
        <v>11</v>
      </c>
      <c r="G1130" t="s">
        <v>52</v>
      </c>
      <c r="H1130" s="2">
        <v>14358.364369999999</v>
      </c>
      <c r="I1130" s="2">
        <f t="shared" si="119"/>
        <v>7179.1821849999997</v>
      </c>
      <c r="J1130" t="str">
        <f t="shared" si="120"/>
        <v>High</v>
      </c>
      <c r="K1130" s="1">
        <f t="shared" si="121"/>
        <v>0.71899999999999997</v>
      </c>
      <c r="L1130" t="str">
        <f t="shared" si="122"/>
        <v>Obese</v>
      </c>
      <c r="M1130" t="str">
        <f t="shared" si="123"/>
        <v>Standard</v>
      </c>
      <c r="N1130" t="str">
        <f t="shared" si="124"/>
        <v>Tier 3</v>
      </c>
      <c r="O1130">
        <f t="shared" si="125"/>
        <v>2</v>
      </c>
    </row>
    <row r="1131" spans="1:15" x14ac:dyDescent="0.2">
      <c r="A1131">
        <v>19</v>
      </c>
      <c r="B1131" t="str" cm="1">
        <f t="array" ref="B1131">_xlfn.IFS(A1131&lt;=25,"18-25", A1131&lt;=35,"26-35", A1131&lt;=45,"36-45", A1131&lt;=55,"46-55", A1131&lt;=64,"56-64")</f>
        <v>18-25</v>
      </c>
      <c r="C1131" t="s">
        <v>7</v>
      </c>
      <c r="D1131">
        <v>18.600000000000001</v>
      </c>
      <c r="E1131">
        <v>0</v>
      </c>
      <c r="F1131" t="s">
        <v>11</v>
      </c>
      <c r="G1131" t="s">
        <v>52</v>
      </c>
      <c r="H1131" s="2">
        <v>1728.8969999999999</v>
      </c>
      <c r="I1131" s="2">
        <f t="shared" si="119"/>
        <v>1728.8969999999999</v>
      </c>
      <c r="J1131" t="str">
        <f t="shared" si="120"/>
        <v>Low</v>
      </c>
      <c r="K1131" s="1">
        <f t="shared" si="121"/>
        <v>4.4999999999999998E-2</v>
      </c>
      <c r="L1131" t="str">
        <f t="shared" si="122"/>
        <v>Normal</v>
      </c>
      <c r="M1131" t="str">
        <f t="shared" si="123"/>
        <v>Standard</v>
      </c>
      <c r="N1131" t="str">
        <f t="shared" si="124"/>
        <v>Tier 3</v>
      </c>
      <c r="O1131">
        <f t="shared" si="125"/>
        <v>0</v>
      </c>
    </row>
    <row r="1132" spans="1:15" x14ac:dyDescent="0.2">
      <c r="A1132">
        <v>39</v>
      </c>
      <c r="B1132" t="str" cm="1">
        <f t="array" ref="B1132">_xlfn.IFS(A1132&lt;=25,"18-25", A1132&lt;=35,"26-35", A1132&lt;=45,"36-45", A1132&lt;=55,"46-55", A1132&lt;=64,"56-64")</f>
        <v>36-45</v>
      </c>
      <c r="C1132" t="s">
        <v>7</v>
      </c>
      <c r="D1132">
        <v>23.87</v>
      </c>
      <c r="E1132">
        <v>5</v>
      </c>
      <c r="F1132" t="s">
        <v>11</v>
      </c>
      <c r="G1132" t="s">
        <v>51</v>
      </c>
      <c r="H1132" s="2">
        <v>8582.3022999999994</v>
      </c>
      <c r="I1132" s="2">
        <f t="shared" si="119"/>
        <v>1430.3837166666665</v>
      </c>
      <c r="J1132" t="str">
        <f t="shared" si="120"/>
        <v>Low</v>
      </c>
      <c r="K1132" s="1">
        <f t="shared" si="121"/>
        <v>0.46100000000000002</v>
      </c>
      <c r="L1132" t="str">
        <f t="shared" si="122"/>
        <v>Normal</v>
      </c>
      <c r="M1132" t="str">
        <f t="shared" si="123"/>
        <v>Standard</v>
      </c>
      <c r="N1132" t="str">
        <f t="shared" si="124"/>
        <v>Tier 1</v>
      </c>
      <c r="O1132">
        <f t="shared" si="125"/>
        <v>1</v>
      </c>
    </row>
    <row r="1133" spans="1:15" x14ac:dyDescent="0.2">
      <c r="A1133">
        <v>27</v>
      </c>
      <c r="B1133" t="str" cm="1">
        <f t="array" ref="B1133">_xlfn.IFS(A1133&lt;=25,"18-25", A1133&lt;=35,"26-35", A1133&lt;=45,"36-45", A1133&lt;=55,"46-55", A1133&lt;=64,"56-64")</f>
        <v>26-35</v>
      </c>
      <c r="C1133" t="s">
        <v>10</v>
      </c>
      <c r="D1133">
        <v>45.9</v>
      </c>
      <c r="E1133">
        <v>2</v>
      </c>
      <c r="F1133" t="s">
        <v>11</v>
      </c>
      <c r="G1133" t="s">
        <v>52</v>
      </c>
      <c r="H1133" s="2">
        <v>3693.4279999999999</v>
      </c>
      <c r="I1133" s="2">
        <f t="shared" si="119"/>
        <v>1231.1426666666666</v>
      </c>
      <c r="J1133" t="str">
        <f t="shared" si="120"/>
        <v>Low</v>
      </c>
      <c r="K1133" s="1">
        <f t="shared" si="121"/>
        <v>0.182</v>
      </c>
      <c r="L1133" t="str">
        <f t="shared" si="122"/>
        <v>Obese</v>
      </c>
      <c r="M1133" t="str">
        <f t="shared" si="123"/>
        <v>Standard</v>
      </c>
      <c r="N1133" t="str">
        <f t="shared" si="124"/>
        <v>Tier 3</v>
      </c>
      <c r="O1133">
        <f t="shared" si="125"/>
        <v>2</v>
      </c>
    </row>
    <row r="1134" spans="1:15" x14ac:dyDescent="0.2">
      <c r="A1134">
        <v>57</v>
      </c>
      <c r="B1134" t="str" cm="1">
        <f t="array" ref="B1134">_xlfn.IFS(A1134&lt;=25,"18-25", A1134&lt;=35,"26-35", A1134&lt;=45,"36-45", A1134&lt;=55,"46-55", A1134&lt;=64,"56-64")</f>
        <v>56-64</v>
      </c>
      <c r="C1134" t="s">
        <v>10</v>
      </c>
      <c r="D1134">
        <v>40.28</v>
      </c>
      <c r="E1134">
        <v>0</v>
      </c>
      <c r="F1134" t="s">
        <v>11</v>
      </c>
      <c r="G1134" t="s">
        <v>53</v>
      </c>
      <c r="H1134" s="2">
        <v>20709.020339999999</v>
      </c>
      <c r="I1134" s="2">
        <f t="shared" si="119"/>
        <v>20709.020339999999</v>
      </c>
      <c r="J1134" t="str">
        <f t="shared" si="120"/>
        <v>High</v>
      </c>
      <c r="K1134" s="1">
        <f t="shared" si="121"/>
        <v>0.80400000000000005</v>
      </c>
      <c r="L1134" t="str">
        <f t="shared" si="122"/>
        <v>Obese</v>
      </c>
      <c r="M1134" t="str">
        <f t="shared" si="123"/>
        <v>Standard</v>
      </c>
      <c r="N1134" t="str">
        <f t="shared" si="124"/>
        <v>Tier 2</v>
      </c>
      <c r="O1134">
        <f t="shared" si="125"/>
        <v>2</v>
      </c>
    </row>
    <row r="1135" spans="1:15" x14ac:dyDescent="0.2">
      <c r="A1135">
        <v>52</v>
      </c>
      <c r="B1135" t="str" cm="1">
        <f t="array" ref="B1135">_xlfn.IFS(A1135&lt;=25,"18-25", A1135&lt;=35,"26-35", A1135&lt;=45,"36-45", A1135&lt;=55,"46-55", A1135&lt;=64,"56-64")</f>
        <v>46-55</v>
      </c>
      <c r="C1135" t="s">
        <v>7</v>
      </c>
      <c r="D1135">
        <v>18.335000000000001</v>
      </c>
      <c r="E1135">
        <v>0</v>
      </c>
      <c r="F1135" t="s">
        <v>11</v>
      </c>
      <c r="G1135" t="s">
        <v>54</v>
      </c>
      <c r="H1135" s="2">
        <v>9991.0376500000002</v>
      </c>
      <c r="I1135" s="2">
        <f t="shared" si="119"/>
        <v>9991.0376500000002</v>
      </c>
      <c r="J1135" t="str">
        <f t="shared" si="120"/>
        <v>Low</v>
      </c>
      <c r="K1135" s="1">
        <f t="shared" si="121"/>
        <v>0.53100000000000003</v>
      </c>
      <c r="L1135" t="str">
        <f t="shared" si="122"/>
        <v>Underweight</v>
      </c>
      <c r="M1135" t="str">
        <f t="shared" si="123"/>
        <v>Standard</v>
      </c>
      <c r="N1135" t="str">
        <f t="shared" si="124"/>
        <v>Tier 4</v>
      </c>
      <c r="O1135">
        <f t="shared" si="125"/>
        <v>0</v>
      </c>
    </row>
    <row r="1136" spans="1:15" x14ac:dyDescent="0.2">
      <c r="A1136">
        <v>28</v>
      </c>
      <c r="B1136" t="str" cm="1">
        <f t="array" ref="B1136">_xlfn.IFS(A1136&lt;=25,"18-25", A1136&lt;=35,"26-35", A1136&lt;=45,"36-45", A1136&lt;=55,"46-55", A1136&lt;=64,"56-64")</f>
        <v>26-35</v>
      </c>
      <c r="C1136" t="s">
        <v>10</v>
      </c>
      <c r="D1136">
        <v>33.82</v>
      </c>
      <c r="E1136">
        <v>0</v>
      </c>
      <c r="F1136" t="s">
        <v>11</v>
      </c>
      <c r="G1136" t="s">
        <v>54</v>
      </c>
      <c r="H1136" s="2">
        <v>19673.335729999999</v>
      </c>
      <c r="I1136" s="2">
        <f t="shared" si="119"/>
        <v>19673.335729999999</v>
      </c>
      <c r="J1136" t="str">
        <f t="shared" si="120"/>
        <v>High</v>
      </c>
      <c r="K1136" s="1">
        <f t="shared" si="121"/>
        <v>0.79200000000000004</v>
      </c>
      <c r="L1136" t="str">
        <f t="shared" si="122"/>
        <v>Obese</v>
      </c>
      <c r="M1136" t="str">
        <f t="shared" si="123"/>
        <v>Standard</v>
      </c>
      <c r="N1136" t="str">
        <f t="shared" si="124"/>
        <v>Tier 4</v>
      </c>
      <c r="O1136">
        <f t="shared" si="125"/>
        <v>2</v>
      </c>
    </row>
    <row r="1137" spans="1:15" x14ac:dyDescent="0.2">
      <c r="A1137">
        <v>50</v>
      </c>
      <c r="B1137" t="str" cm="1">
        <f t="array" ref="B1137">_xlfn.IFS(A1137&lt;=25,"18-25", A1137&lt;=35,"26-35", A1137&lt;=45,"36-45", A1137&lt;=55,"46-55", A1137&lt;=64,"56-64")</f>
        <v>46-55</v>
      </c>
      <c r="C1137" t="s">
        <v>7</v>
      </c>
      <c r="D1137">
        <v>28.12</v>
      </c>
      <c r="E1137">
        <v>3</v>
      </c>
      <c r="F1137" t="s">
        <v>11</v>
      </c>
      <c r="G1137" t="s">
        <v>54</v>
      </c>
      <c r="H1137" s="2">
        <v>11085.586799999999</v>
      </c>
      <c r="I1137" s="2">
        <f t="shared" si="119"/>
        <v>2771.3966999999998</v>
      </c>
      <c r="J1137" t="str">
        <f t="shared" si="120"/>
        <v>Low</v>
      </c>
      <c r="K1137" s="1">
        <f t="shared" si="121"/>
        <v>0.58099999999999996</v>
      </c>
      <c r="L1137" t="str">
        <f t="shared" si="122"/>
        <v>Overweight</v>
      </c>
      <c r="M1137" t="str">
        <f t="shared" si="123"/>
        <v>Standard</v>
      </c>
      <c r="N1137" t="str">
        <f t="shared" si="124"/>
        <v>Tier 4</v>
      </c>
      <c r="O1137">
        <f t="shared" si="125"/>
        <v>1</v>
      </c>
    </row>
    <row r="1138" spans="1:15" x14ac:dyDescent="0.2">
      <c r="A1138">
        <v>44</v>
      </c>
      <c r="B1138" t="str" cm="1">
        <f t="array" ref="B1138">_xlfn.IFS(A1138&lt;=25,"18-25", A1138&lt;=35,"26-35", A1138&lt;=45,"36-45", A1138&lt;=55,"46-55", A1138&lt;=64,"56-64")</f>
        <v>36-45</v>
      </c>
      <c r="C1138" t="s">
        <v>7</v>
      </c>
      <c r="D1138">
        <v>25</v>
      </c>
      <c r="E1138">
        <v>1</v>
      </c>
      <c r="F1138" t="s">
        <v>11</v>
      </c>
      <c r="G1138" t="s">
        <v>52</v>
      </c>
      <c r="H1138" s="2">
        <v>7623.518</v>
      </c>
      <c r="I1138" s="2">
        <f t="shared" si="119"/>
        <v>3811.759</v>
      </c>
      <c r="J1138" t="str">
        <f t="shared" si="120"/>
        <v>Low</v>
      </c>
      <c r="K1138" s="1">
        <f t="shared" si="121"/>
        <v>0.40899999999999997</v>
      </c>
      <c r="L1138" t="str">
        <f t="shared" si="122"/>
        <v>Overweight</v>
      </c>
      <c r="M1138" t="str">
        <f t="shared" si="123"/>
        <v>Standard</v>
      </c>
      <c r="N1138" t="str">
        <f t="shared" si="124"/>
        <v>Tier 3</v>
      </c>
      <c r="O1138">
        <f t="shared" si="125"/>
        <v>1</v>
      </c>
    </row>
    <row r="1139" spans="1:15" x14ac:dyDescent="0.2">
      <c r="A1139">
        <v>26</v>
      </c>
      <c r="B1139" t="str" cm="1">
        <f t="array" ref="B1139">_xlfn.IFS(A1139&lt;=25,"18-25", A1139&lt;=35,"26-35", A1139&lt;=45,"36-45", A1139&lt;=55,"46-55", A1139&lt;=64,"56-64")</f>
        <v>26-35</v>
      </c>
      <c r="C1139" t="s">
        <v>7</v>
      </c>
      <c r="D1139">
        <v>22.23</v>
      </c>
      <c r="E1139">
        <v>0</v>
      </c>
      <c r="F1139" t="s">
        <v>11</v>
      </c>
      <c r="G1139" t="s">
        <v>54</v>
      </c>
      <c r="H1139" s="2">
        <v>3176.2876999999999</v>
      </c>
      <c r="I1139" s="2">
        <f t="shared" si="119"/>
        <v>3176.2876999999999</v>
      </c>
      <c r="J1139" t="str">
        <f t="shared" si="120"/>
        <v>Low</v>
      </c>
      <c r="K1139" s="1">
        <f t="shared" si="121"/>
        <v>0.151</v>
      </c>
      <c r="L1139" t="str">
        <f t="shared" si="122"/>
        <v>Normal</v>
      </c>
      <c r="M1139" t="str">
        <f t="shared" si="123"/>
        <v>Standard</v>
      </c>
      <c r="N1139" t="str">
        <f t="shared" si="124"/>
        <v>Tier 4</v>
      </c>
      <c r="O1139">
        <f t="shared" si="125"/>
        <v>0</v>
      </c>
    </row>
    <row r="1140" spans="1:15" x14ac:dyDescent="0.2">
      <c r="A1140">
        <v>33</v>
      </c>
      <c r="B1140" t="str" cm="1">
        <f t="array" ref="B1140">_xlfn.IFS(A1140&lt;=25,"18-25", A1140&lt;=35,"26-35", A1140&lt;=45,"36-45", A1140&lt;=55,"46-55", A1140&lt;=64,"56-64")</f>
        <v>26-35</v>
      </c>
      <c r="C1140" t="s">
        <v>10</v>
      </c>
      <c r="D1140">
        <v>30.25</v>
      </c>
      <c r="E1140">
        <v>0</v>
      </c>
      <c r="F1140" t="s">
        <v>11</v>
      </c>
      <c r="G1140" t="s">
        <v>51</v>
      </c>
      <c r="H1140" s="2">
        <v>3704.3544999999999</v>
      </c>
      <c r="I1140" s="2">
        <f t="shared" si="119"/>
        <v>3704.3544999999999</v>
      </c>
      <c r="J1140" t="str">
        <f t="shared" si="120"/>
        <v>Low</v>
      </c>
      <c r="K1140" s="1">
        <f t="shared" si="121"/>
        <v>0.183</v>
      </c>
      <c r="L1140" t="str">
        <f t="shared" si="122"/>
        <v>Obese</v>
      </c>
      <c r="M1140" t="str">
        <f t="shared" si="123"/>
        <v>Standard</v>
      </c>
      <c r="N1140" t="str">
        <f t="shared" si="124"/>
        <v>Tier 1</v>
      </c>
      <c r="O1140">
        <f t="shared" si="125"/>
        <v>3</v>
      </c>
    </row>
    <row r="1141" spans="1:15" x14ac:dyDescent="0.2">
      <c r="A1141">
        <v>19</v>
      </c>
      <c r="B1141" t="str" cm="1">
        <f t="array" ref="B1141">_xlfn.IFS(A1141&lt;=25,"18-25", A1141&lt;=35,"26-35", A1141&lt;=45,"36-45", A1141&lt;=55,"46-55", A1141&lt;=64,"56-64")</f>
        <v>18-25</v>
      </c>
      <c r="C1141" t="s">
        <v>7</v>
      </c>
      <c r="D1141">
        <v>32.49</v>
      </c>
      <c r="E1141">
        <v>0</v>
      </c>
      <c r="F1141" t="s">
        <v>8</v>
      </c>
      <c r="G1141" t="s">
        <v>54</v>
      </c>
      <c r="H1141" s="2">
        <v>36898.733079999998</v>
      </c>
      <c r="I1141" s="2">
        <f t="shared" si="119"/>
        <v>36898.733079999998</v>
      </c>
      <c r="J1141" t="str">
        <f t="shared" si="120"/>
        <v>High</v>
      </c>
      <c r="K1141" s="1">
        <f t="shared" si="121"/>
        <v>0.91300000000000003</v>
      </c>
      <c r="L1141" t="str">
        <f t="shared" si="122"/>
        <v>Obese</v>
      </c>
      <c r="M1141" t="str">
        <f t="shared" si="123"/>
        <v>High Risk</v>
      </c>
      <c r="N1141" t="str">
        <f t="shared" si="124"/>
        <v>Tier 4</v>
      </c>
      <c r="O1141">
        <f t="shared" si="125"/>
        <v>5</v>
      </c>
    </row>
    <row r="1142" spans="1:15" x14ac:dyDescent="0.2">
      <c r="A1142">
        <v>50</v>
      </c>
      <c r="B1142" t="str" cm="1">
        <f t="array" ref="B1142">_xlfn.IFS(A1142&lt;=25,"18-25", A1142&lt;=35,"26-35", A1142&lt;=45,"36-45", A1142&lt;=55,"46-55", A1142&lt;=64,"56-64")</f>
        <v>46-55</v>
      </c>
      <c r="C1142" t="s">
        <v>10</v>
      </c>
      <c r="D1142">
        <v>37.07</v>
      </c>
      <c r="E1142">
        <v>1</v>
      </c>
      <c r="F1142" t="s">
        <v>11</v>
      </c>
      <c r="G1142" t="s">
        <v>51</v>
      </c>
      <c r="H1142" s="2">
        <v>9048.0272999999997</v>
      </c>
      <c r="I1142" s="2">
        <f t="shared" si="119"/>
        <v>4524.0136499999999</v>
      </c>
      <c r="J1142" t="str">
        <f t="shared" si="120"/>
        <v>Low</v>
      </c>
      <c r="K1142" s="1">
        <f t="shared" si="121"/>
        <v>0.48399999999999999</v>
      </c>
      <c r="L1142" t="str">
        <f t="shared" si="122"/>
        <v>Obese</v>
      </c>
      <c r="M1142" t="str">
        <f t="shared" si="123"/>
        <v>Standard</v>
      </c>
      <c r="N1142" t="str">
        <f t="shared" si="124"/>
        <v>Tier 1</v>
      </c>
      <c r="O1142">
        <f t="shared" si="125"/>
        <v>3</v>
      </c>
    </row>
    <row r="1143" spans="1:15" x14ac:dyDescent="0.2">
      <c r="A1143">
        <v>41</v>
      </c>
      <c r="B1143" t="str" cm="1">
        <f t="array" ref="B1143">_xlfn.IFS(A1143&lt;=25,"18-25", A1143&lt;=35,"26-35", A1143&lt;=45,"36-45", A1143&lt;=55,"46-55", A1143&lt;=64,"56-64")</f>
        <v>36-45</v>
      </c>
      <c r="C1143" t="s">
        <v>7</v>
      </c>
      <c r="D1143">
        <v>32.6</v>
      </c>
      <c r="E1143">
        <v>3</v>
      </c>
      <c r="F1143" t="s">
        <v>11</v>
      </c>
      <c r="G1143" t="s">
        <v>52</v>
      </c>
      <c r="H1143" s="2">
        <v>7954.5169999999998</v>
      </c>
      <c r="I1143" s="2">
        <f t="shared" si="119"/>
        <v>1988.62925</v>
      </c>
      <c r="J1143" t="str">
        <f t="shared" si="120"/>
        <v>Low</v>
      </c>
      <c r="K1143" s="1">
        <f t="shared" si="121"/>
        <v>0.42399999999999999</v>
      </c>
      <c r="L1143" t="str">
        <f t="shared" si="122"/>
        <v>Obese</v>
      </c>
      <c r="M1143" t="str">
        <f t="shared" si="123"/>
        <v>Standard</v>
      </c>
      <c r="N1143" t="str">
        <f t="shared" si="124"/>
        <v>Tier 3</v>
      </c>
      <c r="O1143">
        <f t="shared" si="125"/>
        <v>2</v>
      </c>
    </row>
    <row r="1144" spans="1:15" x14ac:dyDescent="0.2">
      <c r="A1144">
        <v>52</v>
      </c>
      <c r="B1144" t="str" cm="1">
        <f t="array" ref="B1144">_xlfn.IFS(A1144&lt;=25,"18-25", A1144&lt;=35,"26-35", A1144&lt;=45,"36-45", A1144&lt;=55,"46-55", A1144&lt;=64,"56-64")</f>
        <v>46-55</v>
      </c>
      <c r="C1144" t="s">
        <v>7</v>
      </c>
      <c r="D1144">
        <v>24.86</v>
      </c>
      <c r="E1144">
        <v>0</v>
      </c>
      <c r="F1144" t="s">
        <v>11</v>
      </c>
      <c r="G1144" t="s">
        <v>51</v>
      </c>
      <c r="H1144" s="2">
        <v>27117.993780000001</v>
      </c>
      <c r="I1144" s="2">
        <f t="shared" si="119"/>
        <v>27117.993780000001</v>
      </c>
      <c r="J1144" t="str">
        <f t="shared" si="120"/>
        <v>High</v>
      </c>
      <c r="K1144" s="1">
        <f t="shared" si="121"/>
        <v>0.86299999999999999</v>
      </c>
      <c r="L1144" t="str">
        <f t="shared" si="122"/>
        <v>Normal</v>
      </c>
      <c r="M1144" t="str">
        <f t="shared" si="123"/>
        <v>Standard</v>
      </c>
      <c r="N1144" t="str">
        <f t="shared" si="124"/>
        <v>Tier 1</v>
      </c>
      <c r="O1144">
        <f t="shared" si="125"/>
        <v>1</v>
      </c>
    </row>
    <row r="1145" spans="1:15" x14ac:dyDescent="0.2">
      <c r="A1145">
        <v>39</v>
      </c>
      <c r="B1145" t="str" cm="1">
        <f t="array" ref="B1145">_xlfn.IFS(A1145&lt;=25,"18-25", A1145&lt;=35,"26-35", A1145&lt;=45,"36-45", A1145&lt;=55,"46-55", A1145&lt;=64,"56-64")</f>
        <v>36-45</v>
      </c>
      <c r="C1145" t="s">
        <v>10</v>
      </c>
      <c r="D1145">
        <v>32.340000000000003</v>
      </c>
      <c r="E1145">
        <v>2</v>
      </c>
      <c r="F1145" t="s">
        <v>11</v>
      </c>
      <c r="G1145" t="s">
        <v>51</v>
      </c>
      <c r="H1145" s="2">
        <v>6338.0756000000001</v>
      </c>
      <c r="I1145" s="2">
        <f t="shared" si="119"/>
        <v>2112.6918666666666</v>
      </c>
      <c r="J1145" t="str">
        <f t="shared" si="120"/>
        <v>Low</v>
      </c>
      <c r="K1145" s="1">
        <f t="shared" si="121"/>
        <v>0.33800000000000002</v>
      </c>
      <c r="L1145" t="str">
        <f t="shared" si="122"/>
        <v>Obese</v>
      </c>
      <c r="M1145" t="str">
        <f t="shared" si="123"/>
        <v>Standard</v>
      </c>
      <c r="N1145" t="str">
        <f t="shared" si="124"/>
        <v>Tier 1</v>
      </c>
      <c r="O1145">
        <f t="shared" si="125"/>
        <v>3</v>
      </c>
    </row>
    <row r="1146" spans="1:15" x14ac:dyDescent="0.2">
      <c r="A1146">
        <v>50</v>
      </c>
      <c r="B1146" t="str" cm="1">
        <f t="array" ref="B1146">_xlfn.IFS(A1146&lt;=25,"18-25", A1146&lt;=35,"26-35", A1146&lt;=45,"36-45", A1146&lt;=55,"46-55", A1146&lt;=64,"56-64")</f>
        <v>46-55</v>
      </c>
      <c r="C1146" t="s">
        <v>10</v>
      </c>
      <c r="D1146">
        <v>32.299999999999997</v>
      </c>
      <c r="E1146">
        <v>2</v>
      </c>
      <c r="F1146" t="s">
        <v>11</v>
      </c>
      <c r="G1146" t="s">
        <v>52</v>
      </c>
      <c r="H1146" s="2">
        <v>9630.3970000000008</v>
      </c>
      <c r="I1146" s="2">
        <f t="shared" si="119"/>
        <v>3210.1323333333335</v>
      </c>
      <c r="J1146" t="str">
        <f t="shared" si="120"/>
        <v>Low</v>
      </c>
      <c r="K1146" s="1">
        <f t="shared" si="121"/>
        <v>0.51300000000000001</v>
      </c>
      <c r="L1146" t="str">
        <f t="shared" si="122"/>
        <v>Obese</v>
      </c>
      <c r="M1146" t="str">
        <f t="shared" si="123"/>
        <v>Standard</v>
      </c>
      <c r="N1146" t="str">
        <f t="shared" si="124"/>
        <v>Tier 3</v>
      </c>
      <c r="O1146">
        <f t="shared" si="125"/>
        <v>2</v>
      </c>
    </row>
    <row r="1147" spans="1:15" x14ac:dyDescent="0.2">
      <c r="A1147">
        <v>52</v>
      </c>
      <c r="B1147" t="str" cm="1">
        <f t="array" ref="B1147">_xlfn.IFS(A1147&lt;=25,"18-25", A1147&lt;=35,"26-35", A1147&lt;=45,"36-45", A1147&lt;=55,"46-55", A1147&lt;=64,"56-64")</f>
        <v>46-55</v>
      </c>
      <c r="C1147" t="s">
        <v>10</v>
      </c>
      <c r="D1147">
        <v>32.774999999999999</v>
      </c>
      <c r="E1147">
        <v>3</v>
      </c>
      <c r="F1147" t="s">
        <v>11</v>
      </c>
      <c r="G1147" t="s">
        <v>54</v>
      </c>
      <c r="H1147" s="2">
        <v>11289.10925</v>
      </c>
      <c r="I1147" s="2">
        <f t="shared" si="119"/>
        <v>2822.2773124999999</v>
      </c>
      <c r="J1147" t="str">
        <f t="shared" si="120"/>
        <v>Low</v>
      </c>
      <c r="K1147" s="1">
        <f t="shared" si="121"/>
        <v>0.59</v>
      </c>
      <c r="L1147" t="str">
        <f t="shared" si="122"/>
        <v>Obese</v>
      </c>
      <c r="M1147" t="str">
        <f t="shared" si="123"/>
        <v>Standard</v>
      </c>
      <c r="N1147" t="str">
        <f t="shared" si="124"/>
        <v>Tier 4</v>
      </c>
      <c r="O1147">
        <f t="shared" si="125"/>
        <v>2</v>
      </c>
    </row>
    <row r="1148" spans="1:15" x14ac:dyDescent="0.2">
      <c r="A1148">
        <v>60</v>
      </c>
      <c r="B1148" t="str" cm="1">
        <f t="array" ref="B1148">_xlfn.IFS(A1148&lt;=25,"18-25", A1148&lt;=35,"26-35", A1148&lt;=45,"36-45", A1148&lt;=55,"46-55", A1148&lt;=64,"56-64")</f>
        <v>56-64</v>
      </c>
      <c r="C1148" t="s">
        <v>10</v>
      </c>
      <c r="D1148">
        <v>32.799999999999997</v>
      </c>
      <c r="E1148">
        <v>0</v>
      </c>
      <c r="F1148" t="s">
        <v>8</v>
      </c>
      <c r="G1148" t="s">
        <v>52</v>
      </c>
      <c r="H1148" s="2">
        <v>52590.829389999999</v>
      </c>
      <c r="I1148" s="2">
        <f t="shared" si="119"/>
        <v>52590.829389999999</v>
      </c>
      <c r="J1148" t="str">
        <f t="shared" si="120"/>
        <v>High</v>
      </c>
      <c r="K1148" s="1">
        <f t="shared" si="121"/>
        <v>0.996</v>
      </c>
      <c r="L1148" t="str">
        <f t="shared" si="122"/>
        <v>Obese</v>
      </c>
      <c r="M1148" t="str">
        <f t="shared" si="123"/>
        <v>High Risk</v>
      </c>
      <c r="N1148" t="str">
        <f t="shared" si="124"/>
        <v>Tier 3</v>
      </c>
      <c r="O1148">
        <f t="shared" si="125"/>
        <v>5</v>
      </c>
    </row>
    <row r="1149" spans="1:15" x14ac:dyDescent="0.2">
      <c r="A1149">
        <v>20</v>
      </c>
      <c r="B1149" t="str" cm="1">
        <f t="array" ref="B1149">_xlfn.IFS(A1149&lt;=25,"18-25", A1149&lt;=35,"26-35", A1149&lt;=45,"36-45", A1149&lt;=55,"46-55", A1149&lt;=64,"56-64")</f>
        <v>18-25</v>
      </c>
      <c r="C1149" t="s">
        <v>7</v>
      </c>
      <c r="D1149">
        <v>31.92</v>
      </c>
      <c r="E1149">
        <v>0</v>
      </c>
      <c r="F1149" t="s">
        <v>11</v>
      </c>
      <c r="G1149" t="s">
        <v>54</v>
      </c>
      <c r="H1149" s="2">
        <v>2261.5688</v>
      </c>
      <c r="I1149" s="2">
        <f t="shared" si="119"/>
        <v>2261.5688</v>
      </c>
      <c r="J1149" t="str">
        <f t="shared" si="120"/>
        <v>Low</v>
      </c>
      <c r="K1149" s="1">
        <f t="shared" si="121"/>
        <v>9.6000000000000002E-2</v>
      </c>
      <c r="L1149" t="str">
        <f t="shared" si="122"/>
        <v>Obese</v>
      </c>
      <c r="M1149" t="str">
        <f t="shared" si="123"/>
        <v>Standard</v>
      </c>
      <c r="N1149" t="str">
        <f t="shared" si="124"/>
        <v>Tier 4</v>
      </c>
      <c r="O1149">
        <f t="shared" si="125"/>
        <v>2</v>
      </c>
    </row>
    <row r="1150" spans="1:15" x14ac:dyDescent="0.2">
      <c r="A1150">
        <v>55</v>
      </c>
      <c r="B1150" t="str" cm="1">
        <f t="array" ref="B1150">_xlfn.IFS(A1150&lt;=25,"18-25", A1150&lt;=35,"26-35", A1150&lt;=45,"36-45", A1150&lt;=55,"46-55", A1150&lt;=64,"56-64")</f>
        <v>46-55</v>
      </c>
      <c r="C1150" t="s">
        <v>10</v>
      </c>
      <c r="D1150">
        <v>21.5</v>
      </c>
      <c r="E1150">
        <v>1</v>
      </c>
      <c r="F1150" t="s">
        <v>11</v>
      </c>
      <c r="G1150" t="s">
        <v>52</v>
      </c>
      <c r="H1150" s="2">
        <v>10791.96</v>
      </c>
      <c r="I1150" s="2">
        <f t="shared" si="119"/>
        <v>5395.98</v>
      </c>
      <c r="J1150" t="str">
        <f t="shared" si="120"/>
        <v>Low</v>
      </c>
      <c r="K1150" s="1">
        <f t="shared" si="121"/>
        <v>0.56399999999999995</v>
      </c>
      <c r="L1150" t="str">
        <f t="shared" si="122"/>
        <v>Normal</v>
      </c>
      <c r="M1150" t="str">
        <f t="shared" si="123"/>
        <v>Standard</v>
      </c>
      <c r="N1150" t="str">
        <f t="shared" si="124"/>
        <v>Tier 3</v>
      </c>
      <c r="O1150">
        <f t="shared" si="125"/>
        <v>0</v>
      </c>
    </row>
    <row r="1151" spans="1:15" x14ac:dyDescent="0.2">
      <c r="A1151">
        <v>42</v>
      </c>
      <c r="B1151" t="str" cm="1">
        <f t="array" ref="B1151">_xlfn.IFS(A1151&lt;=25,"18-25", A1151&lt;=35,"26-35", A1151&lt;=45,"36-45", A1151&lt;=55,"46-55", A1151&lt;=64,"56-64")</f>
        <v>36-45</v>
      </c>
      <c r="C1151" t="s">
        <v>10</v>
      </c>
      <c r="D1151">
        <v>34.1</v>
      </c>
      <c r="E1151">
        <v>0</v>
      </c>
      <c r="F1151" t="s">
        <v>11</v>
      </c>
      <c r="G1151" t="s">
        <v>52</v>
      </c>
      <c r="H1151" s="2">
        <v>5979.7309999999998</v>
      </c>
      <c r="I1151" s="2">
        <f t="shared" si="119"/>
        <v>5979.7309999999998</v>
      </c>
      <c r="J1151" t="str">
        <f t="shared" si="120"/>
        <v>Low</v>
      </c>
      <c r="K1151" s="1">
        <f t="shared" si="121"/>
        <v>0.31900000000000001</v>
      </c>
      <c r="L1151" t="str">
        <f t="shared" si="122"/>
        <v>Obese</v>
      </c>
      <c r="M1151" t="str">
        <f t="shared" si="123"/>
        <v>Standard</v>
      </c>
      <c r="N1151" t="str">
        <f t="shared" si="124"/>
        <v>Tier 3</v>
      </c>
      <c r="O1151">
        <f t="shared" si="125"/>
        <v>2</v>
      </c>
    </row>
    <row r="1152" spans="1:15" x14ac:dyDescent="0.2">
      <c r="A1152">
        <v>18</v>
      </c>
      <c r="B1152" t="str" cm="1">
        <f t="array" ref="B1152">_xlfn.IFS(A1152&lt;=25,"18-25", A1152&lt;=35,"26-35", A1152&lt;=45,"36-45", A1152&lt;=55,"46-55", A1152&lt;=64,"56-64")</f>
        <v>18-25</v>
      </c>
      <c r="C1152" t="s">
        <v>7</v>
      </c>
      <c r="D1152">
        <v>30.305</v>
      </c>
      <c r="E1152">
        <v>0</v>
      </c>
      <c r="F1152" t="s">
        <v>11</v>
      </c>
      <c r="G1152" t="s">
        <v>53</v>
      </c>
      <c r="H1152" s="2">
        <v>2203.7359499999998</v>
      </c>
      <c r="I1152" s="2">
        <f t="shared" si="119"/>
        <v>2203.7359499999998</v>
      </c>
      <c r="J1152" t="str">
        <f t="shared" si="120"/>
        <v>Low</v>
      </c>
      <c r="K1152" s="1">
        <f t="shared" si="121"/>
        <v>8.7999999999999995E-2</v>
      </c>
      <c r="L1152" t="str">
        <f t="shared" si="122"/>
        <v>Obese</v>
      </c>
      <c r="M1152" t="str">
        <f t="shared" si="123"/>
        <v>Standard</v>
      </c>
      <c r="N1152" t="str">
        <f t="shared" si="124"/>
        <v>Tier 2</v>
      </c>
      <c r="O1152">
        <f t="shared" si="125"/>
        <v>2</v>
      </c>
    </row>
    <row r="1153" spans="1:15" x14ac:dyDescent="0.2">
      <c r="A1153">
        <v>58</v>
      </c>
      <c r="B1153" t="str" cm="1">
        <f t="array" ref="B1153">_xlfn.IFS(A1153&lt;=25,"18-25", A1153&lt;=35,"26-35", A1153&lt;=45,"36-45", A1153&lt;=55,"46-55", A1153&lt;=64,"56-64")</f>
        <v>56-64</v>
      </c>
      <c r="C1153" t="s">
        <v>7</v>
      </c>
      <c r="D1153">
        <v>36.479999999999997</v>
      </c>
      <c r="E1153">
        <v>0</v>
      </c>
      <c r="F1153" t="s">
        <v>11</v>
      </c>
      <c r="G1153" t="s">
        <v>54</v>
      </c>
      <c r="H1153" s="2">
        <v>12235.8392</v>
      </c>
      <c r="I1153" s="2">
        <f t="shared" si="119"/>
        <v>12235.8392</v>
      </c>
      <c r="J1153" t="str">
        <f t="shared" si="120"/>
        <v>Low</v>
      </c>
      <c r="K1153" s="1">
        <f t="shared" si="121"/>
        <v>0.64300000000000002</v>
      </c>
      <c r="L1153" t="str">
        <f t="shared" si="122"/>
        <v>Obese</v>
      </c>
      <c r="M1153" t="str">
        <f t="shared" si="123"/>
        <v>Standard</v>
      </c>
      <c r="N1153" t="str">
        <f t="shared" si="124"/>
        <v>Tier 4</v>
      </c>
      <c r="O1153">
        <f t="shared" si="125"/>
        <v>2</v>
      </c>
    </row>
    <row r="1154" spans="1:15" x14ac:dyDescent="0.2">
      <c r="A1154">
        <v>43</v>
      </c>
      <c r="B1154" t="str" cm="1">
        <f t="array" ref="B1154">_xlfn.IFS(A1154&lt;=25,"18-25", A1154&lt;=35,"26-35", A1154&lt;=45,"36-45", A1154&lt;=55,"46-55", A1154&lt;=64,"56-64")</f>
        <v>36-45</v>
      </c>
      <c r="C1154" t="s">
        <v>7</v>
      </c>
      <c r="D1154">
        <v>32.56</v>
      </c>
      <c r="E1154">
        <v>3</v>
      </c>
      <c r="F1154" t="s">
        <v>8</v>
      </c>
      <c r="G1154" t="s">
        <v>51</v>
      </c>
      <c r="H1154" s="2">
        <v>40941.285400000001</v>
      </c>
      <c r="I1154" s="2">
        <f t="shared" ref="I1154:I1217" si="126">H1154/(E1154+1)</f>
        <v>10235.32135</v>
      </c>
      <c r="J1154" t="str">
        <f t="shared" ref="J1154:J1217" si="127">IF(H1154&gt;AVERAGE($H$2:$H$1339),"High","Low")</f>
        <v>High</v>
      </c>
      <c r="K1154" s="1">
        <f t="shared" ref="K1154:K1217" si="128">PERCENTRANK($H$2:$H$1339,H1154)</f>
        <v>0.94699999999999995</v>
      </c>
      <c r="L1154" t="str">
        <f t="shared" ref="L1154:L1217" si="129">IF(D1154&lt;18.5,"Underweight",IF(D1154&lt;25,"Normal",IF(D1154&lt;30,"Overweight","Obese")))</f>
        <v>Obese</v>
      </c>
      <c r="M1154" t="str">
        <f t="shared" ref="M1154:M1217" si="130">IF(F1154="yes","High Risk","Standard")</f>
        <v>High Risk</v>
      </c>
      <c r="N1154" t="str">
        <f t="shared" ref="N1154:N1217" si="131">IF(G1154="southeast","Tier 1",IF(G1154="northeast","Tier 2",IF(G1154="southwest","Tier 3","Tier 4")))</f>
        <v>Tier 1</v>
      </c>
      <c r="O1154">
        <f t="shared" ref="O1154:O1217" si="132">IF(F1154="yes",3,0)+IF(D1154&gt;=30,2,IF(D1154&gt;=25,1,0))+IF(G1154="southeast",1,0)</f>
        <v>6</v>
      </c>
    </row>
    <row r="1155" spans="1:15" x14ac:dyDescent="0.2">
      <c r="A1155">
        <v>35</v>
      </c>
      <c r="B1155" t="str" cm="1">
        <f t="array" ref="B1155">_xlfn.IFS(A1155&lt;=25,"18-25", A1155&lt;=35,"26-35", A1155&lt;=45,"36-45", A1155&lt;=55,"46-55", A1155&lt;=64,"56-64")</f>
        <v>26-35</v>
      </c>
      <c r="C1155" t="s">
        <v>7</v>
      </c>
      <c r="D1155">
        <v>35.814999999999998</v>
      </c>
      <c r="E1155">
        <v>1</v>
      </c>
      <c r="F1155" t="s">
        <v>11</v>
      </c>
      <c r="G1155" t="s">
        <v>54</v>
      </c>
      <c r="H1155" s="2">
        <v>5630.4578499999998</v>
      </c>
      <c r="I1155" s="2">
        <f t="shared" si="126"/>
        <v>2815.2289249999999</v>
      </c>
      <c r="J1155" t="str">
        <f t="shared" si="127"/>
        <v>Low</v>
      </c>
      <c r="K1155" s="1">
        <f t="shared" si="128"/>
        <v>0.30299999999999999</v>
      </c>
      <c r="L1155" t="str">
        <f t="shared" si="129"/>
        <v>Obese</v>
      </c>
      <c r="M1155" t="str">
        <f t="shared" si="130"/>
        <v>Standard</v>
      </c>
      <c r="N1155" t="str">
        <f t="shared" si="131"/>
        <v>Tier 4</v>
      </c>
      <c r="O1155">
        <f t="shared" si="132"/>
        <v>2</v>
      </c>
    </row>
    <row r="1156" spans="1:15" x14ac:dyDescent="0.2">
      <c r="A1156">
        <v>48</v>
      </c>
      <c r="B1156" t="str" cm="1">
        <f t="array" ref="B1156">_xlfn.IFS(A1156&lt;=25,"18-25", A1156&lt;=35,"26-35", A1156&lt;=45,"36-45", A1156&lt;=55,"46-55", A1156&lt;=64,"56-64")</f>
        <v>46-55</v>
      </c>
      <c r="C1156" t="s">
        <v>7</v>
      </c>
      <c r="D1156">
        <v>27.93</v>
      </c>
      <c r="E1156">
        <v>4</v>
      </c>
      <c r="F1156" t="s">
        <v>11</v>
      </c>
      <c r="G1156" t="s">
        <v>54</v>
      </c>
      <c r="H1156" s="2">
        <v>11015.1747</v>
      </c>
      <c r="I1156" s="2">
        <f t="shared" si="126"/>
        <v>2203.03494</v>
      </c>
      <c r="J1156" t="str">
        <f t="shared" si="127"/>
        <v>Low</v>
      </c>
      <c r="K1156" s="1">
        <f t="shared" si="128"/>
        <v>0.57799999999999996</v>
      </c>
      <c r="L1156" t="str">
        <f t="shared" si="129"/>
        <v>Overweight</v>
      </c>
      <c r="M1156" t="str">
        <f t="shared" si="130"/>
        <v>Standard</v>
      </c>
      <c r="N1156" t="str">
        <f t="shared" si="131"/>
        <v>Tier 4</v>
      </c>
      <c r="O1156">
        <f t="shared" si="132"/>
        <v>1</v>
      </c>
    </row>
    <row r="1157" spans="1:15" x14ac:dyDescent="0.2">
      <c r="A1157">
        <v>36</v>
      </c>
      <c r="B1157" t="str" cm="1">
        <f t="array" ref="B1157">_xlfn.IFS(A1157&lt;=25,"18-25", A1157&lt;=35,"26-35", A1157&lt;=45,"36-45", A1157&lt;=55,"46-55", A1157&lt;=64,"56-64")</f>
        <v>36-45</v>
      </c>
      <c r="C1157" t="s">
        <v>7</v>
      </c>
      <c r="D1157">
        <v>22.135000000000002</v>
      </c>
      <c r="E1157">
        <v>3</v>
      </c>
      <c r="F1157" t="s">
        <v>11</v>
      </c>
      <c r="G1157" t="s">
        <v>53</v>
      </c>
      <c r="H1157" s="2">
        <v>7228.2156500000001</v>
      </c>
      <c r="I1157" s="2">
        <f t="shared" si="126"/>
        <v>1807.0539125</v>
      </c>
      <c r="J1157" t="str">
        <f t="shared" si="127"/>
        <v>Low</v>
      </c>
      <c r="K1157" s="1">
        <f t="shared" si="128"/>
        <v>0.39</v>
      </c>
      <c r="L1157" t="str">
        <f t="shared" si="129"/>
        <v>Normal</v>
      </c>
      <c r="M1157" t="str">
        <f t="shared" si="130"/>
        <v>Standard</v>
      </c>
      <c r="N1157" t="str">
        <f t="shared" si="131"/>
        <v>Tier 2</v>
      </c>
      <c r="O1157">
        <f t="shared" si="132"/>
        <v>0</v>
      </c>
    </row>
    <row r="1158" spans="1:15" x14ac:dyDescent="0.2">
      <c r="A1158">
        <v>19</v>
      </c>
      <c r="B1158" t="str" cm="1">
        <f t="array" ref="B1158">_xlfn.IFS(A1158&lt;=25,"18-25", A1158&lt;=35,"26-35", A1158&lt;=45,"36-45", A1158&lt;=55,"46-55", A1158&lt;=64,"56-64")</f>
        <v>18-25</v>
      </c>
      <c r="C1158" t="s">
        <v>10</v>
      </c>
      <c r="D1158">
        <v>44.88</v>
      </c>
      <c r="E1158">
        <v>0</v>
      </c>
      <c r="F1158" t="s">
        <v>8</v>
      </c>
      <c r="G1158" t="s">
        <v>51</v>
      </c>
      <c r="H1158" s="2">
        <v>39722.746200000001</v>
      </c>
      <c r="I1158" s="2">
        <f t="shared" si="126"/>
        <v>39722.746200000001</v>
      </c>
      <c r="J1158" t="str">
        <f t="shared" si="127"/>
        <v>High</v>
      </c>
      <c r="K1158" s="1">
        <f t="shared" si="128"/>
        <v>0.93600000000000005</v>
      </c>
      <c r="L1158" t="str">
        <f t="shared" si="129"/>
        <v>Obese</v>
      </c>
      <c r="M1158" t="str">
        <f t="shared" si="130"/>
        <v>High Risk</v>
      </c>
      <c r="N1158" t="str">
        <f t="shared" si="131"/>
        <v>Tier 1</v>
      </c>
      <c r="O1158">
        <f t="shared" si="132"/>
        <v>6</v>
      </c>
    </row>
    <row r="1159" spans="1:15" x14ac:dyDescent="0.2">
      <c r="A1159">
        <v>23</v>
      </c>
      <c r="B1159" t="str" cm="1">
        <f t="array" ref="B1159">_xlfn.IFS(A1159&lt;=25,"18-25", A1159&lt;=35,"26-35", A1159&lt;=45,"36-45", A1159&lt;=55,"46-55", A1159&lt;=64,"56-64")</f>
        <v>18-25</v>
      </c>
      <c r="C1159" t="s">
        <v>7</v>
      </c>
      <c r="D1159">
        <v>23.18</v>
      </c>
      <c r="E1159">
        <v>2</v>
      </c>
      <c r="F1159" t="s">
        <v>11</v>
      </c>
      <c r="G1159" t="s">
        <v>54</v>
      </c>
      <c r="H1159" s="2">
        <v>14426.073850000001</v>
      </c>
      <c r="I1159" s="2">
        <f t="shared" si="126"/>
        <v>4808.6912833333336</v>
      </c>
      <c r="J1159" t="str">
        <f t="shared" si="127"/>
        <v>High</v>
      </c>
      <c r="K1159" s="1">
        <f t="shared" si="128"/>
        <v>0.72399999999999998</v>
      </c>
      <c r="L1159" t="str">
        <f t="shared" si="129"/>
        <v>Normal</v>
      </c>
      <c r="M1159" t="str">
        <f t="shared" si="130"/>
        <v>Standard</v>
      </c>
      <c r="N1159" t="str">
        <f t="shared" si="131"/>
        <v>Tier 4</v>
      </c>
      <c r="O1159">
        <f t="shared" si="132"/>
        <v>0</v>
      </c>
    </row>
    <row r="1160" spans="1:15" x14ac:dyDescent="0.2">
      <c r="A1160">
        <v>20</v>
      </c>
      <c r="B1160" t="str" cm="1">
        <f t="array" ref="B1160">_xlfn.IFS(A1160&lt;=25,"18-25", A1160&lt;=35,"26-35", A1160&lt;=45,"36-45", A1160&lt;=55,"46-55", A1160&lt;=64,"56-64")</f>
        <v>18-25</v>
      </c>
      <c r="C1160" t="s">
        <v>7</v>
      </c>
      <c r="D1160">
        <v>30.59</v>
      </c>
      <c r="E1160">
        <v>0</v>
      </c>
      <c r="F1160" t="s">
        <v>11</v>
      </c>
      <c r="G1160" t="s">
        <v>53</v>
      </c>
      <c r="H1160" s="2">
        <v>2459.7201</v>
      </c>
      <c r="I1160" s="2">
        <f t="shared" si="126"/>
        <v>2459.7201</v>
      </c>
      <c r="J1160" t="str">
        <f t="shared" si="127"/>
        <v>Low</v>
      </c>
      <c r="K1160" s="1">
        <f t="shared" si="128"/>
        <v>0.106</v>
      </c>
      <c r="L1160" t="str">
        <f t="shared" si="129"/>
        <v>Obese</v>
      </c>
      <c r="M1160" t="str">
        <f t="shared" si="130"/>
        <v>Standard</v>
      </c>
      <c r="N1160" t="str">
        <f t="shared" si="131"/>
        <v>Tier 2</v>
      </c>
      <c r="O1160">
        <f t="shared" si="132"/>
        <v>2</v>
      </c>
    </row>
    <row r="1161" spans="1:15" x14ac:dyDescent="0.2">
      <c r="A1161">
        <v>32</v>
      </c>
      <c r="B1161" t="str" cm="1">
        <f t="array" ref="B1161">_xlfn.IFS(A1161&lt;=25,"18-25", A1161&lt;=35,"26-35", A1161&lt;=45,"36-45", A1161&lt;=55,"46-55", A1161&lt;=64,"56-64")</f>
        <v>26-35</v>
      </c>
      <c r="C1161" t="s">
        <v>7</v>
      </c>
      <c r="D1161">
        <v>41.1</v>
      </c>
      <c r="E1161">
        <v>0</v>
      </c>
      <c r="F1161" t="s">
        <v>11</v>
      </c>
      <c r="G1161" t="s">
        <v>52</v>
      </c>
      <c r="H1161" s="2">
        <v>3989.8409999999999</v>
      </c>
      <c r="I1161" s="2">
        <f t="shared" si="126"/>
        <v>3989.8409999999999</v>
      </c>
      <c r="J1161" t="str">
        <f t="shared" si="127"/>
        <v>Low</v>
      </c>
      <c r="K1161" s="1">
        <f t="shared" si="128"/>
        <v>0.19900000000000001</v>
      </c>
      <c r="L1161" t="str">
        <f t="shared" si="129"/>
        <v>Obese</v>
      </c>
      <c r="M1161" t="str">
        <f t="shared" si="130"/>
        <v>Standard</v>
      </c>
      <c r="N1161" t="str">
        <f t="shared" si="131"/>
        <v>Tier 3</v>
      </c>
      <c r="O1161">
        <f t="shared" si="132"/>
        <v>2</v>
      </c>
    </row>
    <row r="1162" spans="1:15" x14ac:dyDescent="0.2">
      <c r="A1162">
        <v>43</v>
      </c>
      <c r="B1162" t="str" cm="1">
        <f t="array" ref="B1162">_xlfn.IFS(A1162&lt;=25,"18-25", A1162&lt;=35,"26-35", A1162&lt;=45,"36-45", A1162&lt;=55,"46-55", A1162&lt;=64,"56-64")</f>
        <v>36-45</v>
      </c>
      <c r="C1162" t="s">
        <v>7</v>
      </c>
      <c r="D1162">
        <v>34.58</v>
      </c>
      <c r="E1162">
        <v>1</v>
      </c>
      <c r="F1162" t="s">
        <v>11</v>
      </c>
      <c r="G1162" t="s">
        <v>54</v>
      </c>
      <c r="H1162" s="2">
        <v>7727.2532000000001</v>
      </c>
      <c r="I1162" s="2">
        <f t="shared" si="126"/>
        <v>3863.6266000000001</v>
      </c>
      <c r="J1162" t="str">
        <f t="shared" si="127"/>
        <v>Low</v>
      </c>
      <c r="K1162" s="1">
        <f t="shared" si="128"/>
        <v>0.41599999999999998</v>
      </c>
      <c r="L1162" t="str">
        <f t="shared" si="129"/>
        <v>Obese</v>
      </c>
      <c r="M1162" t="str">
        <f t="shared" si="130"/>
        <v>Standard</v>
      </c>
      <c r="N1162" t="str">
        <f t="shared" si="131"/>
        <v>Tier 4</v>
      </c>
      <c r="O1162">
        <f t="shared" si="132"/>
        <v>2</v>
      </c>
    </row>
    <row r="1163" spans="1:15" x14ac:dyDescent="0.2">
      <c r="A1163">
        <v>34</v>
      </c>
      <c r="B1163" t="str" cm="1">
        <f t="array" ref="B1163">_xlfn.IFS(A1163&lt;=25,"18-25", A1163&lt;=35,"26-35", A1163&lt;=45,"36-45", A1163&lt;=55,"46-55", A1163&lt;=64,"56-64")</f>
        <v>26-35</v>
      </c>
      <c r="C1163" t="s">
        <v>10</v>
      </c>
      <c r="D1163">
        <v>42.13</v>
      </c>
      <c r="E1163">
        <v>2</v>
      </c>
      <c r="F1163" t="s">
        <v>11</v>
      </c>
      <c r="G1163" t="s">
        <v>51</v>
      </c>
      <c r="H1163" s="2">
        <v>5124.1886999999997</v>
      </c>
      <c r="I1163" s="2">
        <f t="shared" si="126"/>
        <v>1708.0628999999999</v>
      </c>
      <c r="J1163" t="str">
        <f t="shared" si="127"/>
        <v>Low</v>
      </c>
      <c r="K1163" s="1">
        <f t="shared" si="128"/>
        <v>0.27300000000000002</v>
      </c>
      <c r="L1163" t="str">
        <f t="shared" si="129"/>
        <v>Obese</v>
      </c>
      <c r="M1163" t="str">
        <f t="shared" si="130"/>
        <v>Standard</v>
      </c>
      <c r="N1163" t="str">
        <f t="shared" si="131"/>
        <v>Tier 1</v>
      </c>
      <c r="O1163">
        <f t="shared" si="132"/>
        <v>3</v>
      </c>
    </row>
    <row r="1164" spans="1:15" x14ac:dyDescent="0.2">
      <c r="A1164">
        <v>30</v>
      </c>
      <c r="B1164" t="str" cm="1">
        <f t="array" ref="B1164">_xlfn.IFS(A1164&lt;=25,"18-25", A1164&lt;=35,"26-35", A1164&lt;=45,"36-45", A1164&lt;=55,"46-55", A1164&lt;=64,"56-64")</f>
        <v>26-35</v>
      </c>
      <c r="C1164" t="s">
        <v>10</v>
      </c>
      <c r="D1164">
        <v>38.83</v>
      </c>
      <c r="E1164">
        <v>1</v>
      </c>
      <c r="F1164" t="s">
        <v>11</v>
      </c>
      <c r="G1164" t="s">
        <v>51</v>
      </c>
      <c r="H1164" s="2">
        <v>18963.171920000001</v>
      </c>
      <c r="I1164" s="2">
        <f t="shared" si="126"/>
        <v>9481.5859600000003</v>
      </c>
      <c r="J1164" t="str">
        <f t="shared" si="127"/>
        <v>High</v>
      </c>
      <c r="K1164" s="1">
        <f t="shared" si="128"/>
        <v>0.77900000000000003</v>
      </c>
      <c r="L1164" t="str">
        <f t="shared" si="129"/>
        <v>Obese</v>
      </c>
      <c r="M1164" t="str">
        <f t="shared" si="130"/>
        <v>Standard</v>
      </c>
      <c r="N1164" t="str">
        <f t="shared" si="131"/>
        <v>Tier 1</v>
      </c>
      <c r="O1164">
        <f t="shared" si="132"/>
        <v>3</v>
      </c>
    </row>
    <row r="1165" spans="1:15" x14ac:dyDescent="0.2">
      <c r="A1165">
        <v>18</v>
      </c>
      <c r="B1165" t="str" cm="1">
        <f t="array" ref="B1165">_xlfn.IFS(A1165&lt;=25,"18-25", A1165&lt;=35,"26-35", A1165&lt;=45,"36-45", A1165&lt;=55,"46-55", A1165&lt;=64,"56-64")</f>
        <v>18-25</v>
      </c>
      <c r="C1165" t="s">
        <v>7</v>
      </c>
      <c r="D1165">
        <v>28.215</v>
      </c>
      <c r="E1165">
        <v>0</v>
      </c>
      <c r="F1165" t="s">
        <v>11</v>
      </c>
      <c r="G1165" t="s">
        <v>53</v>
      </c>
      <c r="H1165" s="2">
        <v>2200.8308499999998</v>
      </c>
      <c r="I1165" s="2">
        <f t="shared" si="126"/>
        <v>2200.8308499999998</v>
      </c>
      <c r="J1165" t="str">
        <f t="shared" si="127"/>
        <v>Low</v>
      </c>
      <c r="K1165" s="1">
        <f t="shared" si="128"/>
        <v>8.5999999999999993E-2</v>
      </c>
      <c r="L1165" t="str">
        <f t="shared" si="129"/>
        <v>Overweight</v>
      </c>
      <c r="M1165" t="str">
        <f t="shared" si="130"/>
        <v>Standard</v>
      </c>
      <c r="N1165" t="str">
        <f t="shared" si="131"/>
        <v>Tier 2</v>
      </c>
      <c r="O1165">
        <f t="shared" si="132"/>
        <v>1</v>
      </c>
    </row>
    <row r="1166" spans="1:15" x14ac:dyDescent="0.2">
      <c r="A1166">
        <v>41</v>
      </c>
      <c r="B1166" t="str" cm="1">
        <f t="array" ref="B1166">_xlfn.IFS(A1166&lt;=25,"18-25", A1166&lt;=35,"26-35", A1166&lt;=45,"36-45", A1166&lt;=55,"46-55", A1166&lt;=64,"56-64")</f>
        <v>36-45</v>
      </c>
      <c r="C1166" t="s">
        <v>7</v>
      </c>
      <c r="D1166">
        <v>28.31</v>
      </c>
      <c r="E1166">
        <v>1</v>
      </c>
      <c r="F1166" t="s">
        <v>11</v>
      </c>
      <c r="G1166" t="s">
        <v>54</v>
      </c>
      <c r="H1166" s="2">
        <v>7153.5538999999999</v>
      </c>
      <c r="I1166" s="2">
        <f t="shared" si="126"/>
        <v>3576.7769499999999</v>
      </c>
      <c r="J1166" t="str">
        <f t="shared" si="127"/>
        <v>Low</v>
      </c>
      <c r="K1166" s="1">
        <f t="shared" si="128"/>
        <v>0.38300000000000001</v>
      </c>
      <c r="L1166" t="str">
        <f t="shared" si="129"/>
        <v>Overweight</v>
      </c>
      <c r="M1166" t="str">
        <f t="shared" si="130"/>
        <v>Standard</v>
      </c>
      <c r="N1166" t="str">
        <f t="shared" si="131"/>
        <v>Tier 4</v>
      </c>
      <c r="O1166">
        <f t="shared" si="132"/>
        <v>1</v>
      </c>
    </row>
    <row r="1167" spans="1:15" x14ac:dyDescent="0.2">
      <c r="A1167">
        <v>35</v>
      </c>
      <c r="B1167" t="str" cm="1">
        <f t="array" ref="B1167">_xlfn.IFS(A1167&lt;=25,"18-25", A1167&lt;=35,"26-35", A1167&lt;=45,"36-45", A1167&lt;=55,"46-55", A1167&lt;=64,"56-64")</f>
        <v>26-35</v>
      </c>
      <c r="C1167" t="s">
        <v>7</v>
      </c>
      <c r="D1167">
        <v>26.125</v>
      </c>
      <c r="E1167">
        <v>0</v>
      </c>
      <c r="F1167" t="s">
        <v>11</v>
      </c>
      <c r="G1167" t="s">
        <v>53</v>
      </c>
      <c r="H1167" s="2">
        <v>5227.9887500000004</v>
      </c>
      <c r="I1167" s="2">
        <f t="shared" si="126"/>
        <v>5227.9887500000004</v>
      </c>
      <c r="J1167" t="str">
        <f t="shared" si="127"/>
        <v>Low</v>
      </c>
      <c r="K1167" s="1">
        <f t="shared" si="128"/>
        <v>0.27800000000000002</v>
      </c>
      <c r="L1167" t="str">
        <f t="shared" si="129"/>
        <v>Overweight</v>
      </c>
      <c r="M1167" t="str">
        <f t="shared" si="130"/>
        <v>Standard</v>
      </c>
      <c r="N1167" t="str">
        <f t="shared" si="131"/>
        <v>Tier 2</v>
      </c>
      <c r="O1167">
        <f t="shared" si="132"/>
        <v>1</v>
      </c>
    </row>
    <row r="1168" spans="1:15" x14ac:dyDescent="0.2">
      <c r="A1168">
        <v>57</v>
      </c>
      <c r="B1168" t="str" cm="1">
        <f t="array" ref="B1168">_xlfn.IFS(A1168&lt;=25,"18-25", A1168&lt;=35,"26-35", A1168&lt;=45,"36-45", A1168&lt;=55,"46-55", A1168&lt;=64,"56-64")</f>
        <v>56-64</v>
      </c>
      <c r="C1168" t="s">
        <v>10</v>
      </c>
      <c r="D1168">
        <v>40.369999999999997</v>
      </c>
      <c r="E1168">
        <v>0</v>
      </c>
      <c r="F1168" t="s">
        <v>11</v>
      </c>
      <c r="G1168" t="s">
        <v>51</v>
      </c>
      <c r="H1168" s="2">
        <v>10982.5013</v>
      </c>
      <c r="I1168" s="2">
        <f t="shared" si="126"/>
        <v>10982.5013</v>
      </c>
      <c r="J1168" t="str">
        <f t="shared" si="127"/>
        <v>Low</v>
      </c>
      <c r="K1168" s="1">
        <f t="shared" si="128"/>
        <v>0.57599999999999996</v>
      </c>
      <c r="L1168" t="str">
        <f t="shared" si="129"/>
        <v>Obese</v>
      </c>
      <c r="M1168" t="str">
        <f t="shared" si="130"/>
        <v>Standard</v>
      </c>
      <c r="N1168" t="str">
        <f t="shared" si="131"/>
        <v>Tier 1</v>
      </c>
      <c r="O1168">
        <f t="shared" si="132"/>
        <v>3</v>
      </c>
    </row>
    <row r="1169" spans="1:15" x14ac:dyDescent="0.2">
      <c r="A1169">
        <v>29</v>
      </c>
      <c r="B1169" t="str" cm="1">
        <f t="array" ref="B1169">_xlfn.IFS(A1169&lt;=25,"18-25", A1169&lt;=35,"26-35", A1169&lt;=45,"36-45", A1169&lt;=55,"46-55", A1169&lt;=64,"56-64")</f>
        <v>26-35</v>
      </c>
      <c r="C1169" t="s">
        <v>7</v>
      </c>
      <c r="D1169">
        <v>24.6</v>
      </c>
      <c r="E1169">
        <v>2</v>
      </c>
      <c r="F1169" t="s">
        <v>11</v>
      </c>
      <c r="G1169" t="s">
        <v>52</v>
      </c>
      <c r="H1169" s="2">
        <v>4529.4769999999999</v>
      </c>
      <c r="I1169" s="2">
        <f t="shared" si="126"/>
        <v>1509.8256666666666</v>
      </c>
      <c r="J1169" t="str">
        <f t="shared" si="127"/>
        <v>Low</v>
      </c>
      <c r="K1169" s="1">
        <f t="shared" si="128"/>
        <v>0.23599999999999999</v>
      </c>
      <c r="L1169" t="str">
        <f t="shared" si="129"/>
        <v>Normal</v>
      </c>
      <c r="M1169" t="str">
        <f t="shared" si="130"/>
        <v>Standard</v>
      </c>
      <c r="N1169" t="str">
        <f t="shared" si="131"/>
        <v>Tier 3</v>
      </c>
      <c r="O1169">
        <f t="shared" si="132"/>
        <v>0</v>
      </c>
    </row>
    <row r="1170" spans="1:15" x14ac:dyDescent="0.2">
      <c r="A1170">
        <v>32</v>
      </c>
      <c r="B1170" t="str" cm="1">
        <f t="array" ref="B1170">_xlfn.IFS(A1170&lt;=25,"18-25", A1170&lt;=35,"26-35", A1170&lt;=45,"36-45", A1170&lt;=55,"46-55", A1170&lt;=64,"56-64")</f>
        <v>26-35</v>
      </c>
      <c r="C1170" t="s">
        <v>10</v>
      </c>
      <c r="D1170">
        <v>35.200000000000003</v>
      </c>
      <c r="E1170">
        <v>2</v>
      </c>
      <c r="F1170" t="s">
        <v>11</v>
      </c>
      <c r="G1170" t="s">
        <v>52</v>
      </c>
      <c r="H1170" s="2">
        <v>4670.6400000000003</v>
      </c>
      <c r="I1170" s="2">
        <f t="shared" si="126"/>
        <v>1556.88</v>
      </c>
      <c r="J1170" t="str">
        <f t="shared" si="127"/>
        <v>Low</v>
      </c>
      <c r="K1170" s="1">
        <f t="shared" si="128"/>
        <v>0.24399999999999999</v>
      </c>
      <c r="L1170" t="str">
        <f t="shared" si="129"/>
        <v>Obese</v>
      </c>
      <c r="M1170" t="str">
        <f t="shared" si="130"/>
        <v>Standard</v>
      </c>
      <c r="N1170" t="str">
        <f t="shared" si="131"/>
        <v>Tier 3</v>
      </c>
      <c r="O1170">
        <f t="shared" si="132"/>
        <v>2</v>
      </c>
    </row>
    <row r="1171" spans="1:15" x14ac:dyDescent="0.2">
      <c r="A1171">
        <v>37</v>
      </c>
      <c r="B1171" t="str" cm="1">
        <f t="array" ref="B1171">_xlfn.IFS(A1171&lt;=25,"18-25", A1171&lt;=35,"26-35", A1171&lt;=45,"36-45", A1171&lt;=55,"46-55", A1171&lt;=64,"56-64")</f>
        <v>36-45</v>
      </c>
      <c r="C1171" t="s">
        <v>7</v>
      </c>
      <c r="D1171">
        <v>34.104999999999997</v>
      </c>
      <c r="E1171">
        <v>1</v>
      </c>
      <c r="F1171" t="s">
        <v>11</v>
      </c>
      <c r="G1171" t="s">
        <v>54</v>
      </c>
      <c r="H1171" s="2">
        <v>6112.3529500000004</v>
      </c>
      <c r="I1171" s="2">
        <f t="shared" si="126"/>
        <v>3056.1764750000002</v>
      </c>
      <c r="J1171" t="str">
        <f t="shared" si="127"/>
        <v>Low</v>
      </c>
      <c r="K1171" s="1">
        <f t="shared" si="128"/>
        <v>0.32300000000000001</v>
      </c>
      <c r="L1171" t="str">
        <f t="shared" si="129"/>
        <v>Obese</v>
      </c>
      <c r="M1171" t="str">
        <f t="shared" si="130"/>
        <v>Standard</v>
      </c>
      <c r="N1171" t="str">
        <f t="shared" si="131"/>
        <v>Tier 4</v>
      </c>
      <c r="O1171">
        <f t="shared" si="132"/>
        <v>2</v>
      </c>
    </row>
    <row r="1172" spans="1:15" x14ac:dyDescent="0.2">
      <c r="A1172">
        <v>18</v>
      </c>
      <c r="B1172" t="str" cm="1">
        <f t="array" ref="B1172">_xlfn.IFS(A1172&lt;=25,"18-25", A1172&lt;=35,"26-35", A1172&lt;=45,"36-45", A1172&lt;=55,"46-55", A1172&lt;=64,"56-64")</f>
        <v>18-25</v>
      </c>
      <c r="C1172" t="s">
        <v>10</v>
      </c>
      <c r="D1172">
        <v>27.36</v>
      </c>
      <c r="E1172">
        <v>1</v>
      </c>
      <c r="F1172" t="s">
        <v>8</v>
      </c>
      <c r="G1172" t="s">
        <v>53</v>
      </c>
      <c r="H1172" s="2">
        <v>17178.682400000002</v>
      </c>
      <c r="I1172" s="2">
        <f t="shared" si="126"/>
        <v>8589.3412000000008</v>
      </c>
      <c r="J1172" t="str">
        <f t="shared" si="127"/>
        <v>High</v>
      </c>
      <c r="K1172" s="1">
        <f t="shared" si="128"/>
        <v>0.75600000000000001</v>
      </c>
      <c r="L1172" t="str">
        <f t="shared" si="129"/>
        <v>Overweight</v>
      </c>
      <c r="M1172" t="str">
        <f t="shared" si="130"/>
        <v>High Risk</v>
      </c>
      <c r="N1172" t="str">
        <f t="shared" si="131"/>
        <v>Tier 2</v>
      </c>
      <c r="O1172">
        <f t="shared" si="132"/>
        <v>4</v>
      </c>
    </row>
    <row r="1173" spans="1:15" x14ac:dyDescent="0.2">
      <c r="A1173">
        <v>43</v>
      </c>
      <c r="B1173" t="str" cm="1">
        <f t="array" ref="B1173">_xlfn.IFS(A1173&lt;=25,"18-25", A1173&lt;=35,"26-35", A1173&lt;=45,"36-45", A1173&lt;=55,"46-55", A1173&lt;=64,"56-64")</f>
        <v>36-45</v>
      </c>
      <c r="C1173" t="s">
        <v>7</v>
      </c>
      <c r="D1173">
        <v>26.7</v>
      </c>
      <c r="E1173">
        <v>2</v>
      </c>
      <c r="F1173" t="s">
        <v>8</v>
      </c>
      <c r="G1173" t="s">
        <v>52</v>
      </c>
      <c r="H1173" s="2">
        <v>22478.6</v>
      </c>
      <c r="I1173" s="2">
        <f t="shared" si="126"/>
        <v>7492.8666666666659</v>
      </c>
      <c r="J1173" t="str">
        <f t="shared" si="127"/>
        <v>High</v>
      </c>
      <c r="K1173" s="1">
        <f t="shared" si="128"/>
        <v>0.82699999999999996</v>
      </c>
      <c r="L1173" t="str">
        <f t="shared" si="129"/>
        <v>Overweight</v>
      </c>
      <c r="M1173" t="str">
        <f t="shared" si="130"/>
        <v>High Risk</v>
      </c>
      <c r="N1173" t="str">
        <f t="shared" si="131"/>
        <v>Tier 3</v>
      </c>
      <c r="O1173">
        <f t="shared" si="132"/>
        <v>4</v>
      </c>
    </row>
    <row r="1174" spans="1:15" x14ac:dyDescent="0.2">
      <c r="A1174">
        <v>56</v>
      </c>
      <c r="B1174" t="str" cm="1">
        <f t="array" ref="B1174">_xlfn.IFS(A1174&lt;=25,"18-25", A1174&lt;=35,"26-35", A1174&lt;=45,"36-45", A1174&lt;=55,"46-55", A1174&lt;=64,"56-64")</f>
        <v>56-64</v>
      </c>
      <c r="C1174" t="s">
        <v>7</v>
      </c>
      <c r="D1174">
        <v>41.91</v>
      </c>
      <c r="E1174">
        <v>0</v>
      </c>
      <c r="F1174" t="s">
        <v>11</v>
      </c>
      <c r="G1174" t="s">
        <v>51</v>
      </c>
      <c r="H1174" s="2">
        <v>11093.6229</v>
      </c>
      <c r="I1174" s="2">
        <f t="shared" si="126"/>
        <v>11093.6229</v>
      </c>
      <c r="J1174" t="str">
        <f t="shared" si="127"/>
        <v>Low</v>
      </c>
      <c r="K1174" s="1">
        <f t="shared" si="128"/>
        <v>0.58299999999999996</v>
      </c>
      <c r="L1174" t="str">
        <f t="shared" si="129"/>
        <v>Obese</v>
      </c>
      <c r="M1174" t="str">
        <f t="shared" si="130"/>
        <v>Standard</v>
      </c>
      <c r="N1174" t="str">
        <f t="shared" si="131"/>
        <v>Tier 1</v>
      </c>
      <c r="O1174">
        <f t="shared" si="132"/>
        <v>3</v>
      </c>
    </row>
    <row r="1175" spans="1:15" x14ac:dyDescent="0.2">
      <c r="A1175">
        <v>38</v>
      </c>
      <c r="B1175" t="str" cm="1">
        <f t="array" ref="B1175">_xlfn.IFS(A1175&lt;=25,"18-25", A1175&lt;=35,"26-35", A1175&lt;=45,"36-45", A1175&lt;=55,"46-55", A1175&lt;=64,"56-64")</f>
        <v>36-45</v>
      </c>
      <c r="C1175" t="s">
        <v>10</v>
      </c>
      <c r="D1175">
        <v>29.26</v>
      </c>
      <c r="E1175">
        <v>2</v>
      </c>
      <c r="F1175" t="s">
        <v>11</v>
      </c>
      <c r="G1175" t="s">
        <v>54</v>
      </c>
      <c r="H1175" s="2">
        <v>6457.8433999999997</v>
      </c>
      <c r="I1175" s="2">
        <f t="shared" si="126"/>
        <v>2152.6144666666664</v>
      </c>
      <c r="J1175" t="str">
        <f t="shared" si="127"/>
        <v>Low</v>
      </c>
      <c r="K1175" s="1">
        <f t="shared" si="128"/>
        <v>0.34699999999999998</v>
      </c>
      <c r="L1175" t="str">
        <f t="shared" si="129"/>
        <v>Overweight</v>
      </c>
      <c r="M1175" t="str">
        <f t="shared" si="130"/>
        <v>Standard</v>
      </c>
      <c r="N1175" t="str">
        <f t="shared" si="131"/>
        <v>Tier 4</v>
      </c>
      <c r="O1175">
        <f t="shared" si="132"/>
        <v>1</v>
      </c>
    </row>
    <row r="1176" spans="1:15" x14ac:dyDescent="0.2">
      <c r="A1176">
        <v>29</v>
      </c>
      <c r="B1176" t="str" cm="1">
        <f t="array" ref="B1176">_xlfn.IFS(A1176&lt;=25,"18-25", A1176&lt;=35,"26-35", A1176&lt;=45,"36-45", A1176&lt;=55,"46-55", A1176&lt;=64,"56-64")</f>
        <v>26-35</v>
      </c>
      <c r="C1176" t="s">
        <v>10</v>
      </c>
      <c r="D1176">
        <v>32.11</v>
      </c>
      <c r="E1176">
        <v>2</v>
      </c>
      <c r="F1176" t="s">
        <v>11</v>
      </c>
      <c r="G1176" t="s">
        <v>54</v>
      </c>
      <c r="H1176" s="2">
        <v>4433.9159</v>
      </c>
      <c r="I1176" s="2">
        <f t="shared" si="126"/>
        <v>1477.9719666666667</v>
      </c>
      <c r="J1176" t="str">
        <f t="shared" si="127"/>
        <v>Low</v>
      </c>
      <c r="K1176" s="1">
        <f t="shared" si="128"/>
        <v>0.22600000000000001</v>
      </c>
      <c r="L1176" t="str">
        <f t="shared" si="129"/>
        <v>Obese</v>
      </c>
      <c r="M1176" t="str">
        <f t="shared" si="130"/>
        <v>Standard</v>
      </c>
      <c r="N1176" t="str">
        <f t="shared" si="131"/>
        <v>Tier 4</v>
      </c>
      <c r="O1176">
        <f t="shared" si="132"/>
        <v>2</v>
      </c>
    </row>
    <row r="1177" spans="1:15" x14ac:dyDescent="0.2">
      <c r="A1177">
        <v>22</v>
      </c>
      <c r="B1177" t="str" cm="1">
        <f t="array" ref="B1177">_xlfn.IFS(A1177&lt;=25,"18-25", A1177&lt;=35,"26-35", A1177&lt;=45,"36-45", A1177&lt;=55,"46-55", A1177&lt;=64,"56-64")</f>
        <v>18-25</v>
      </c>
      <c r="C1177" t="s">
        <v>7</v>
      </c>
      <c r="D1177">
        <v>27.1</v>
      </c>
      <c r="E1177">
        <v>0</v>
      </c>
      <c r="F1177" t="s">
        <v>11</v>
      </c>
      <c r="G1177" t="s">
        <v>52</v>
      </c>
      <c r="H1177" s="2">
        <v>2154.3609999999999</v>
      </c>
      <c r="I1177" s="2">
        <f t="shared" si="126"/>
        <v>2154.3609999999999</v>
      </c>
      <c r="J1177" t="str">
        <f t="shared" si="127"/>
        <v>Low</v>
      </c>
      <c r="K1177" s="1">
        <f t="shared" si="128"/>
        <v>8.1000000000000003E-2</v>
      </c>
      <c r="L1177" t="str">
        <f t="shared" si="129"/>
        <v>Overweight</v>
      </c>
      <c r="M1177" t="str">
        <f t="shared" si="130"/>
        <v>Standard</v>
      </c>
      <c r="N1177" t="str">
        <f t="shared" si="131"/>
        <v>Tier 3</v>
      </c>
      <c r="O1177">
        <f t="shared" si="132"/>
        <v>1</v>
      </c>
    </row>
    <row r="1178" spans="1:15" x14ac:dyDescent="0.2">
      <c r="A1178">
        <v>52</v>
      </c>
      <c r="B1178" t="str" cm="1">
        <f t="array" ref="B1178">_xlfn.IFS(A1178&lt;=25,"18-25", A1178&lt;=35,"26-35", A1178&lt;=45,"36-45", A1178&lt;=55,"46-55", A1178&lt;=64,"56-64")</f>
        <v>46-55</v>
      </c>
      <c r="C1178" t="s">
        <v>7</v>
      </c>
      <c r="D1178">
        <v>24.13</v>
      </c>
      <c r="E1178">
        <v>1</v>
      </c>
      <c r="F1178" t="s">
        <v>8</v>
      </c>
      <c r="G1178" t="s">
        <v>54</v>
      </c>
      <c r="H1178" s="2">
        <v>23887.662700000001</v>
      </c>
      <c r="I1178" s="2">
        <f t="shared" si="126"/>
        <v>11943.83135</v>
      </c>
      <c r="J1178" t="str">
        <f t="shared" si="127"/>
        <v>High</v>
      </c>
      <c r="K1178" s="1">
        <f t="shared" si="128"/>
        <v>0.83599999999999997</v>
      </c>
      <c r="L1178" t="str">
        <f t="shared" si="129"/>
        <v>Normal</v>
      </c>
      <c r="M1178" t="str">
        <f t="shared" si="130"/>
        <v>High Risk</v>
      </c>
      <c r="N1178" t="str">
        <f t="shared" si="131"/>
        <v>Tier 4</v>
      </c>
      <c r="O1178">
        <f t="shared" si="132"/>
        <v>3</v>
      </c>
    </row>
    <row r="1179" spans="1:15" x14ac:dyDescent="0.2">
      <c r="A1179">
        <v>40</v>
      </c>
      <c r="B1179" t="str" cm="1">
        <f t="array" ref="B1179">_xlfn.IFS(A1179&lt;=25,"18-25", A1179&lt;=35,"26-35", A1179&lt;=45,"36-45", A1179&lt;=55,"46-55", A1179&lt;=64,"56-64")</f>
        <v>36-45</v>
      </c>
      <c r="C1179" t="s">
        <v>7</v>
      </c>
      <c r="D1179">
        <v>27.4</v>
      </c>
      <c r="E1179">
        <v>1</v>
      </c>
      <c r="F1179" t="s">
        <v>11</v>
      </c>
      <c r="G1179" t="s">
        <v>52</v>
      </c>
      <c r="H1179" s="2">
        <v>6496.8860000000004</v>
      </c>
      <c r="I1179" s="2">
        <f t="shared" si="126"/>
        <v>3248.4430000000002</v>
      </c>
      <c r="J1179" t="str">
        <f t="shared" si="127"/>
        <v>Low</v>
      </c>
      <c r="K1179" s="1">
        <f t="shared" si="128"/>
        <v>0.34799999999999998</v>
      </c>
      <c r="L1179" t="str">
        <f t="shared" si="129"/>
        <v>Overweight</v>
      </c>
      <c r="M1179" t="str">
        <f t="shared" si="130"/>
        <v>Standard</v>
      </c>
      <c r="N1179" t="str">
        <f t="shared" si="131"/>
        <v>Tier 3</v>
      </c>
      <c r="O1179">
        <f t="shared" si="132"/>
        <v>1</v>
      </c>
    </row>
    <row r="1180" spans="1:15" x14ac:dyDescent="0.2">
      <c r="A1180">
        <v>23</v>
      </c>
      <c r="B1180" t="str" cm="1">
        <f t="array" ref="B1180">_xlfn.IFS(A1180&lt;=25,"18-25", A1180&lt;=35,"26-35", A1180&lt;=45,"36-45", A1180&lt;=55,"46-55", A1180&lt;=64,"56-64")</f>
        <v>18-25</v>
      </c>
      <c r="C1180" t="s">
        <v>7</v>
      </c>
      <c r="D1180">
        <v>34.865000000000002</v>
      </c>
      <c r="E1180">
        <v>0</v>
      </c>
      <c r="F1180" t="s">
        <v>11</v>
      </c>
      <c r="G1180" t="s">
        <v>53</v>
      </c>
      <c r="H1180" s="2">
        <v>2899.4893499999998</v>
      </c>
      <c r="I1180" s="2">
        <f t="shared" si="126"/>
        <v>2899.4893499999998</v>
      </c>
      <c r="J1180" t="str">
        <f t="shared" si="127"/>
        <v>Low</v>
      </c>
      <c r="K1180" s="1">
        <f t="shared" si="128"/>
        <v>0.13800000000000001</v>
      </c>
      <c r="L1180" t="str">
        <f t="shared" si="129"/>
        <v>Obese</v>
      </c>
      <c r="M1180" t="str">
        <f t="shared" si="130"/>
        <v>Standard</v>
      </c>
      <c r="N1180" t="str">
        <f t="shared" si="131"/>
        <v>Tier 2</v>
      </c>
      <c r="O1180">
        <f t="shared" si="132"/>
        <v>2</v>
      </c>
    </row>
    <row r="1181" spans="1:15" x14ac:dyDescent="0.2">
      <c r="A1181">
        <v>31</v>
      </c>
      <c r="B1181" t="str" cm="1">
        <f t="array" ref="B1181">_xlfn.IFS(A1181&lt;=25,"18-25", A1181&lt;=35,"26-35", A1181&lt;=45,"36-45", A1181&lt;=55,"46-55", A1181&lt;=64,"56-64")</f>
        <v>26-35</v>
      </c>
      <c r="C1181" t="s">
        <v>10</v>
      </c>
      <c r="D1181">
        <v>29.81</v>
      </c>
      <c r="E1181">
        <v>0</v>
      </c>
      <c r="F1181" t="s">
        <v>8</v>
      </c>
      <c r="G1181" t="s">
        <v>51</v>
      </c>
      <c r="H1181" s="2">
        <v>19350.368900000001</v>
      </c>
      <c r="I1181" s="2">
        <f t="shared" si="126"/>
        <v>19350.368900000001</v>
      </c>
      <c r="J1181" t="str">
        <f t="shared" si="127"/>
        <v>High</v>
      </c>
      <c r="K1181" s="1">
        <f t="shared" si="128"/>
        <v>0.78500000000000003</v>
      </c>
      <c r="L1181" t="str">
        <f t="shared" si="129"/>
        <v>Overweight</v>
      </c>
      <c r="M1181" t="str">
        <f t="shared" si="130"/>
        <v>High Risk</v>
      </c>
      <c r="N1181" t="str">
        <f t="shared" si="131"/>
        <v>Tier 1</v>
      </c>
      <c r="O1181">
        <f t="shared" si="132"/>
        <v>5</v>
      </c>
    </row>
    <row r="1182" spans="1:15" x14ac:dyDescent="0.2">
      <c r="A1182">
        <v>42</v>
      </c>
      <c r="B1182" t="str" cm="1">
        <f t="array" ref="B1182">_xlfn.IFS(A1182&lt;=25,"18-25", A1182&lt;=35,"26-35", A1182&lt;=45,"36-45", A1182&lt;=55,"46-55", A1182&lt;=64,"56-64")</f>
        <v>36-45</v>
      </c>
      <c r="C1182" t="s">
        <v>7</v>
      </c>
      <c r="D1182">
        <v>41.325000000000003</v>
      </c>
      <c r="E1182">
        <v>1</v>
      </c>
      <c r="F1182" t="s">
        <v>11</v>
      </c>
      <c r="G1182" t="s">
        <v>53</v>
      </c>
      <c r="H1182" s="2">
        <v>7650.7737500000003</v>
      </c>
      <c r="I1182" s="2">
        <f t="shared" si="126"/>
        <v>3825.3868750000001</v>
      </c>
      <c r="J1182" t="str">
        <f t="shared" si="127"/>
        <v>Low</v>
      </c>
      <c r="K1182" s="1">
        <f t="shared" si="128"/>
        <v>0.41399999999999998</v>
      </c>
      <c r="L1182" t="str">
        <f t="shared" si="129"/>
        <v>Obese</v>
      </c>
      <c r="M1182" t="str">
        <f t="shared" si="130"/>
        <v>Standard</v>
      </c>
      <c r="N1182" t="str">
        <f t="shared" si="131"/>
        <v>Tier 2</v>
      </c>
      <c r="O1182">
        <f t="shared" si="132"/>
        <v>2</v>
      </c>
    </row>
    <row r="1183" spans="1:15" x14ac:dyDescent="0.2">
      <c r="A1183">
        <v>24</v>
      </c>
      <c r="B1183" t="str" cm="1">
        <f t="array" ref="B1183">_xlfn.IFS(A1183&lt;=25,"18-25", A1183&lt;=35,"26-35", A1183&lt;=45,"36-45", A1183&lt;=55,"46-55", A1183&lt;=64,"56-64")</f>
        <v>18-25</v>
      </c>
      <c r="C1183" t="s">
        <v>7</v>
      </c>
      <c r="D1183">
        <v>29.925000000000001</v>
      </c>
      <c r="E1183">
        <v>0</v>
      </c>
      <c r="F1183" t="s">
        <v>11</v>
      </c>
      <c r="G1183" t="s">
        <v>54</v>
      </c>
      <c r="H1183" s="2">
        <v>2850.6837500000001</v>
      </c>
      <c r="I1183" s="2">
        <f t="shared" si="126"/>
        <v>2850.6837500000001</v>
      </c>
      <c r="J1183" t="str">
        <f t="shared" si="127"/>
        <v>Low</v>
      </c>
      <c r="K1183" s="1">
        <f t="shared" si="128"/>
        <v>0.13400000000000001</v>
      </c>
      <c r="L1183" t="str">
        <f t="shared" si="129"/>
        <v>Overweight</v>
      </c>
      <c r="M1183" t="str">
        <f t="shared" si="130"/>
        <v>Standard</v>
      </c>
      <c r="N1183" t="str">
        <f t="shared" si="131"/>
        <v>Tier 4</v>
      </c>
      <c r="O1183">
        <f t="shared" si="132"/>
        <v>1</v>
      </c>
    </row>
    <row r="1184" spans="1:15" x14ac:dyDescent="0.2">
      <c r="A1184">
        <v>25</v>
      </c>
      <c r="B1184" t="str" cm="1">
        <f t="array" ref="B1184">_xlfn.IFS(A1184&lt;=25,"18-25", A1184&lt;=35,"26-35", A1184&lt;=45,"36-45", A1184&lt;=55,"46-55", A1184&lt;=64,"56-64")</f>
        <v>18-25</v>
      </c>
      <c r="C1184" t="s">
        <v>7</v>
      </c>
      <c r="D1184">
        <v>30.3</v>
      </c>
      <c r="E1184">
        <v>0</v>
      </c>
      <c r="F1184" t="s">
        <v>11</v>
      </c>
      <c r="G1184" t="s">
        <v>52</v>
      </c>
      <c r="H1184" s="2">
        <v>2632.9920000000002</v>
      </c>
      <c r="I1184" s="2">
        <f t="shared" si="126"/>
        <v>2632.9920000000002</v>
      </c>
      <c r="J1184" t="str">
        <f t="shared" si="127"/>
        <v>Low</v>
      </c>
      <c r="K1184" s="1">
        <f t="shared" si="128"/>
        <v>0.11799999999999999</v>
      </c>
      <c r="L1184" t="str">
        <f t="shared" si="129"/>
        <v>Obese</v>
      </c>
      <c r="M1184" t="str">
        <f t="shared" si="130"/>
        <v>Standard</v>
      </c>
      <c r="N1184" t="str">
        <f t="shared" si="131"/>
        <v>Tier 3</v>
      </c>
      <c r="O1184">
        <f t="shared" si="132"/>
        <v>2</v>
      </c>
    </row>
    <row r="1185" spans="1:15" x14ac:dyDescent="0.2">
      <c r="A1185">
        <v>48</v>
      </c>
      <c r="B1185" t="str" cm="1">
        <f t="array" ref="B1185">_xlfn.IFS(A1185&lt;=25,"18-25", A1185&lt;=35,"26-35", A1185&lt;=45,"36-45", A1185&lt;=55,"46-55", A1185&lt;=64,"56-64")</f>
        <v>46-55</v>
      </c>
      <c r="C1185" t="s">
        <v>7</v>
      </c>
      <c r="D1185">
        <v>27.36</v>
      </c>
      <c r="E1185">
        <v>1</v>
      </c>
      <c r="F1185" t="s">
        <v>11</v>
      </c>
      <c r="G1185" t="s">
        <v>53</v>
      </c>
      <c r="H1185" s="2">
        <v>9447.3824000000004</v>
      </c>
      <c r="I1185" s="2">
        <f t="shared" si="126"/>
        <v>4723.6912000000002</v>
      </c>
      <c r="J1185" t="str">
        <f t="shared" si="127"/>
        <v>Low</v>
      </c>
      <c r="K1185" s="1">
        <f t="shared" si="128"/>
        <v>0.504</v>
      </c>
      <c r="L1185" t="str">
        <f t="shared" si="129"/>
        <v>Overweight</v>
      </c>
      <c r="M1185" t="str">
        <f t="shared" si="130"/>
        <v>Standard</v>
      </c>
      <c r="N1185" t="str">
        <f t="shared" si="131"/>
        <v>Tier 2</v>
      </c>
      <c r="O1185">
        <f t="shared" si="132"/>
        <v>1</v>
      </c>
    </row>
    <row r="1186" spans="1:15" x14ac:dyDescent="0.2">
      <c r="A1186">
        <v>23</v>
      </c>
      <c r="B1186" t="str" cm="1">
        <f t="array" ref="B1186">_xlfn.IFS(A1186&lt;=25,"18-25", A1186&lt;=35,"26-35", A1186&lt;=45,"36-45", A1186&lt;=55,"46-55", A1186&lt;=64,"56-64")</f>
        <v>18-25</v>
      </c>
      <c r="C1186" t="s">
        <v>7</v>
      </c>
      <c r="D1186">
        <v>28.49</v>
      </c>
      <c r="E1186">
        <v>1</v>
      </c>
      <c r="F1186" t="s">
        <v>8</v>
      </c>
      <c r="G1186" t="s">
        <v>51</v>
      </c>
      <c r="H1186" s="2">
        <v>18328.238099999999</v>
      </c>
      <c r="I1186" s="2">
        <f t="shared" si="126"/>
        <v>9164.1190499999993</v>
      </c>
      <c r="J1186" t="str">
        <f t="shared" si="127"/>
        <v>High</v>
      </c>
      <c r="K1186" s="1">
        <f t="shared" si="128"/>
        <v>0.77100000000000002</v>
      </c>
      <c r="L1186" t="str">
        <f t="shared" si="129"/>
        <v>Overweight</v>
      </c>
      <c r="M1186" t="str">
        <f t="shared" si="130"/>
        <v>High Risk</v>
      </c>
      <c r="N1186" t="str">
        <f t="shared" si="131"/>
        <v>Tier 1</v>
      </c>
      <c r="O1186">
        <f t="shared" si="132"/>
        <v>5</v>
      </c>
    </row>
    <row r="1187" spans="1:15" x14ac:dyDescent="0.2">
      <c r="A1187">
        <v>45</v>
      </c>
      <c r="B1187" t="str" cm="1">
        <f t="array" ref="B1187">_xlfn.IFS(A1187&lt;=25,"18-25", A1187&lt;=35,"26-35", A1187&lt;=45,"36-45", A1187&lt;=55,"46-55", A1187&lt;=64,"56-64")</f>
        <v>36-45</v>
      </c>
      <c r="C1187" t="s">
        <v>10</v>
      </c>
      <c r="D1187">
        <v>23.56</v>
      </c>
      <c r="E1187">
        <v>2</v>
      </c>
      <c r="F1187" t="s">
        <v>11</v>
      </c>
      <c r="G1187" t="s">
        <v>53</v>
      </c>
      <c r="H1187" s="2">
        <v>8603.8233999999993</v>
      </c>
      <c r="I1187" s="2">
        <f t="shared" si="126"/>
        <v>2867.9411333333333</v>
      </c>
      <c r="J1187" t="str">
        <f t="shared" si="127"/>
        <v>Low</v>
      </c>
      <c r="K1187" s="1">
        <f t="shared" si="128"/>
        <v>0.46300000000000002</v>
      </c>
      <c r="L1187" t="str">
        <f t="shared" si="129"/>
        <v>Normal</v>
      </c>
      <c r="M1187" t="str">
        <f t="shared" si="130"/>
        <v>Standard</v>
      </c>
      <c r="N1187" t="str">
        <f t="shared" si="131"/>
        <v>Tier 2</v>
      </c>
      <c r="O1187">
        <f t="shared" si="132"/>
        <v>0</v>
      </c>
    </row>
    <row r="1188" spans="1:15" x14ac:dyDescent="0.2">
      <c r="A1188">
        <v>20</v>
      </c>
      <c r="B1188" t="str" cm="1">
        <f t="array" ref="B1188">_xlfn.IFS(A1188&lt;=25,"18-25", A1188&lt;=35,"26-35", A1188&lt;=45,"36-45", A1188&lt;=55,"46-55", A1188&lt;=64,"56-64")</f>
        <v>18-25</v>
      </c>
      <c r="C1188" t="s">
        <v>10</v>
      </c>
      <c r="D1188">
        <v>35.625</v>
      </c>
      <c r="E1188">
        <v>3</v>
      </c>
      <c r="F1188" t="s">
        <v>8</v>
      </c>
      <c r="G1188" t="s">
        <v>54</v>
      </c>
      <c r="H1188" s="2">
        <v>37465.34375</v>
      </c>
      <c r="I1188" s="2">
        <f t="shared" si="126"/>
        <v>9366.3359375</v>
      </c>
      <c r="J1188" t="str">
        <f t="shared" si="127"/>
        <v>High</v>
      </c>
      <c r="K1188" s="1">
        <f t="shared" si="128"/>
        <v>0.91900000000000004</v>
      </c>
      <c r="L1188" t="str">
        <f t="shared" si="129"/>
        <v>Obese</v>
      </c>
      <c r="M1188" t="str">
        <f t="shared" si="130"/>
        <v>High Risk</v>
      </c>
      <c r="N1188" t="str">
        <f t="shared" si="131"/>
        <v>Tier 4</v>
      </c>
      <c r="O1188">
        <f t="shared" si="132"/>
        <v>5</v>
      </c>
    </row>
    <row r="1189" spans="1:15" x14ac:dyDescent="0.2">
      <c r="A1189">
        <v>62</v>
      </c>
      <c r="B1189" t="str" cm="1">
        <f t="array" ref="B1189">_xlfn.IFS(A1189&lt;=25,"18-25", A1189&lt;=35,"26-35", A1189&lt;=45,"36-45", A1189&lt;=55,"46-55", A1189&lt;=64,"56-64")</f>
        <v>56-64</v>
      </c>
      <c r="C1189" t="s">
        <v>7</v>
      </c>
      <c r="D1189">
        <v>32.68</v>
      </c>
      <c r="E1189">
        <v>0</v>
      </c>
      <c r="F1189" t="s">
        <v>11</v>
      </c>
      <c r="G1189" t="s">
        <v>54</v>
      </c>
      <c r="H1189" s="2">
        <v>13844.797200000001</v>
      </c>
      <c r="I1189" s="2">
        <f t="shared" si="126"/>
        <v>13844.797200000001</v>
      </c>
      <c r="J1189" t="str">
        <f t="shared" si="127"/>
        <v>High</v>
      </c>
      <c r="K1189" s="1">
        <f t="shared" si="128"/>
        <v>0.70299999999999996</v>
      </c>
      <c r="L1189" t="str">
        <f t="shared" si="129"/>
        <v>Obese</v>
      </c>
      <c r="M1189" t="str">
        <f t="shared" si="130"/>
        <v>Standard</v>
      </c>
      <c r="N1189" t="str">
        <f t="shared" si="131"/>
        <v>Tier 4</v>
      </c>
      <c r="O1189">
        <f t="shared" si="132"/>
        <v>2</v>
      </c>
    </row>
    <row r="1190" spans="1:15" x14ac:dyDescent="0.2">
      <c r="A1190">
        <v>43</v>
      </c>
      <c r="B1190" t="str" cm="1">
        <f t="array" ref="B1190">_xlfn.IFS(A1190&lt;=25,"18-25", A1190&lt;=35,"26-35", A1190&lt;=45,"36-45", A1190&lt;=55,"46-55", A1190&lt;=64,"56-64")</f>
        <v>36-45</v>
      </c>
      <c r="C1190" t="s">
        <v>7</v>
      </c>
      <c r="D1190">
        <v>25.27</v>
      </c>
      <c r="E1190">
        <v>1</v>
      </c>
      <c r="F1190" t="s">
        <v>8</v>
      </c>
      <c r="G1190" t="s">
        <v>53</v>
      </c>
      <c r="H1190" s="2">
        <v>21771.3423</v>
      </c>
      <c r="I1190" s="2">
        <f t="shared" si="126"/>
        <v>10885.67115</v>
      </c>
      <c r="J1190" t="str">
        <f t="shared" si="127"/>
        <v>High</v>
      </c>
      <c r="K1190" s="1">
        <f t="shared" si="128"/>
        <v>0.81699999999999995</v>
      </c>
      <c r="L1190" t="str">
        <f t="shared" si="129"/>
        <v>Overweight</v>
      </c>
      <c r="M1190" t="str">
        <f t="shared" si="130"/>
        <v>High Risk</v>
      </c>
      <c r="N1190" t="str">
        <f t="shared" si="131"/>
        <v>Tier 2</v>
      </c>
      <c r="O1190">
        <f t="shared" si="132"/>
        <v>4</v>
      </c>
    </row>
    <row r="1191" spans="1:15" x14ac:dyDescent="0.2">
      <c r="A1191">
        <v>23</v>
      </c>
      <c r="B1191" t="str" cm="1">
        <f t="array" ref="B1191">_xlfn.IFS(A1191&lt;=25,"18-25", A1191&lt;=35,"26-35", A1191&lt;=45,"36-45", A1191&lt;=55,"46-55", A1191&lt;=64,"56-64")</f>
        <v>18-25</v>
      </c>
      <c r="C1191" t="s">
        <v>7</v>
      </c>
      <c r="D1191">
        <v>28</v>
      </c>
      <c r="E1191">
        <v>0</v>
      </c>
      <c r="F1191" t="s">
        <v>11</v>
      </c>
      <c r="G1191" t="s">
        <v>52</v>
      </c>
      <c r="H1191" s="2">
        <v>13126.677449999999</v>
      </c>
      <c r="I1191" s="2">
        <f t="shared" si="126"/>
        <v>13126.677449999999</v>
      </c>
      <c r="J1191" t="str">
        <f t="shared" si="127"/>
        <v>Low</v>
      </c>
      <c r="K1191" s="1">
        <f t="shared" si="128"/>
        <v>0.67900000000000005</v>
      </c>
      <c r="L1191" t="str">
        <f t="shared" si="129"/>
        <v>Overweight</v>
      </c>
      <c r="M1191" t="str">
        <f t="shared" si="130"/>
        <v>Standard</v>
      </c>
      <c r="N1191" t="str">
        <f t="shared" si="131"/>
        <v>Tier 3</v>
      </c>
      <c r="O1191">
        <f t="shared" si="132"/>
        <v>1</v>
      </c>
    </row>
    <row r="1192" spans="1:15" x14ac:dyDescent="0.2">
      <c r="A1192">
        <v>31</v>
      </c>
      <c r="B1192" t="str" cm="1">
        <f t="array" ref="B1192">_xlfn.IFS(A1192&lt;=25,"18-25", A1192&lt;=35,"26-35", A1192&lt;=45,"36-45", A1192&lt;=55,"46-55", A1192&lt;=64,"56-64")</f>
        <v>26-35</v>
      </c>
      <c r="C1192" t="s">
        <v>7</v>
      </c>
      <c r="D1192">
        <v>32.774999999999999</v>
      </c>
      <c r="E1192">
        <v>2</v>
      </c>
      <c r="F1192" t="s">
        <v>11</v>
      </c>
      <c r="G1192" t="s">
        <v>54</v>
      </c>
      <c r="H1192" s="2">
        <v>5327.4002499999997</v>
      </c>
      <c r="I1192" s="2">
        <f t="shared" si="126"/>
        <v>1775.8000833333333</v>
      </c>
      <c r="J1192" t="str">
        <f t="shared" si="127"/>
        <v>Low</v>
      </c>
      <c r="K1192" s="1">
        <f t="shared" si="128"/>
        <v>0.28699999999999998</v>
      </c>
      <c r="L1192" t="str">
        <f t="shared" si="129"/>
        <v>Obese</v>
      </c>
      <c r="M1192" t="str">
        <f t="shared" si="130"/>
        <v>Standard</v>
      </c>
      <c r="N1192" t="str">
        <f t="shared" si="131"/>
        <v>Tier 4</v>
      </c>
      <c r="O1192">
        <f t="shared" si="132"/>
        <v>2</v>
      </c>
    </row>
    <row r="1193" spans="1:15" x14ac:dyDescent="0.2">
      <c r="A1193">
        <v>41</v>
      </c>
      <c r="B1193" t="str" cm="1">
        <f t="array" ref="B1193">_xlfn.IFS(A1193&lt;=25,"18-25", A1193&lt;=35,"26-35", A1193&lt;=45,"36-45", A1193&lt;=55,"46-55", A1193&lt;=64,"56-64")</f>
        <v>36-45</v>
      </c>
      <c r="C1193" t="s">
        <v>7</v>
      </c>
      <c r="D1193">
        <v>21.754999999999999</v>
      </c>
      <c r="E1193">
        <v>1</v>
      </c>
      <c r="F1193" t="s">
        <v>11</v>
      </c>
      <c r="G1193" t="s">
        <v>53</v>
      </c>
      <c r="H1193" s="2">
        <v>13725.47184</v>
      </c>
      <c r="I1193" s="2">
        <f t="shared" si="126"/>
        <v>6862.7359200000001</v>
      </c>
      <c r="J1193" t="str">
        <f t="shared" si="127"/>
        <v>High</v>
      </c>
      <c r="K1193" s="1">
        <f t="shared" si="128"/>
        <v>0.69799999999999995</v>
      </c>
      <c r="L1193" t="str">
        <f t="shared" si="129"/>
        <v>Normal</v>
      </c>
      <c r="M1193" t="str">
        <f t="shared" si="130"/>
        <v>Standard</v>
      </c>
      <c r="N1193" t="str">
        <f t="shared" si="131"/>
        <v>Tier 2</v>
      </c>
      <c r="O1193">
        <f t="shared" si="132"/>
        <v>0</v>
      </c>
    </row>
    <row r="1194" spans="1:15" x14ac:dyDescent="0.2">
      <c r="A1194">
        <v>58</v>
      </c>
      <c r="B1194" t="str" cm="1">
        <f t="array" ref="B1194">_xlfn.IFS(A1194&lt;=25,"18-25", A1194&lt;=35,"26-35", A1194&lt;=45,"36-45", A1194&lt;=55,"46-55", A1194&lt;=64,"56-64")</f>
        <v>56-64</v>
      </c>
      <c r="C1194" t="s">
        <v>7</v>
      </c>
      <c r="D1194">
        <v>32.395000000000003</v>
      </c>
      <c r="E1194">
        <v>1</v>
      </c>
      <c r="F1194" t="s">
        <v>11</v>
      </c>
      <c r="G1194" t="s">
        <v>53</v>
      </c>
      <c r="H1194" s="2">
        <v>13019.161050000001</v>
      </c>
      <c r="I1194" s="2">
        <f t="shared" si="126"/>
        <v>6509.5805250000003</v>
      </c>
      <c r="J1194" t="str">
        <f t="shared" si="127"/>
        <v>Low</v>
      </c>
      <c r="K1194" s="1">
        <f t="shared" si="128"/>
        <v>0.67600000000000005</v>
      </c>
      <c r="L1194" t="str">
        <f t="shared" si="129"/>
        <v>Obese</v>
      </c>
      <c r="M1194" t="str">
        <f t="shared" si="130"/>
        <v>Standard</v>
      </c>
      <c r="N1194" t="str">
        <f t="shared" si="131"/>
        <v>Tier 2</v>
      </c>
      <c r="O1194">
        <f t="shared" si="132"/>
        <v>2</v>
      </c>
    </row>
    <row r="1195" spans="1:15" x14ac:dyDescent="0.2">
      <c r="A1195">
        <v>48</v>
      </c>
      <c r="B1195" t="str" cm="1">
        <f t="array" ref="B1195">_xlfn.IFS(A1195&lt;=25,"18-25", A1195&lt;=35,"26-35", A1195&lt;=45,"36-45", A1195&lt;=55,"46-55", A1195&lt;=64,"56-64")</f>
        <v>46-55</v>
      </c>
      <c r="C1195" t="s">
        <v>7</v>
      </c>
      <c r="D1195">
        <v>36.575000000000003</v>
      </c>
      <c r="E1195">
        <v>0</v>
      </c>
      <c r="F1195" t="s">
        <v>11</v>
      </c>
      <c r="G1195" t="s">
        <v>54</v>
      </c>
      <c r="H1195" s="2">
        <v>8671.1912499999999</v>
      </c>
      <c r="I1195" s="2">
        <f t="shared" si="126"/>
        <v>8671.1912499999999</v>
      </c>
      <c r="J1195" t="str">
        <f t="shared" si="127"/>
        <v>Low</v>
      </c>
      <c r="K1195" s="1">
        <f t="shared" si="128"/>
        <v>0.46800000000000003</v>
      </c>
      <c r="L1195" t="str">
        <f t="shared" si="129"/>
        <v>Obese</v>
      </c>
      <c r="M1195" t="str">
        <f t="shared" si="130"/>
        <v>Standard</v>
      </c>
      <c r="N1195" t="str">
        <f t="shared" si="131"/>
        <v>Tier 4</v>
      </c>
      <c r="O1195">
        <f t="shared" si="132"/>
        <v>2</v>
      </c>
    </row>
    <row r="1196" spans="1:15" x14ac:dyDescent="0.2">
      <c r="A1196">
        <v>31</v>
      </c>
      <c r="B1196" t="str" cm="1">
        <f t="array" ref="B1196">_xlfn.IFS(A1196&lt;=25,"18-25", A1196&lt;=35,"26-35", A1196&lt;=45,"36-45", A1196&lt;=55,"46-55", A1196&lt;=64,"56-64")</f>
        <v>26-35</v>
      </c>
      <c r="C1196" t="s">
        <v>7</v>
      </c>
      <c r="D1196">
        <v>21.754999999999999</v>
      </c>
      <c r="E1196">
        <v>0</v>
      </c>
      <c r="F1196" t="s">
        <v>11</v>
      </c>
      <c r="G1196" t="s">
        <v>54</v>
      </c>
      <c r="H1196" s="2">
        <v>4134.0824499999999</v>
      </c>
      <c r="I1196" s="2">
        <f t="shared" si="126"/>
        <v>4134.0824499999999</v>
      </c>
      <c r="J1196" t="str">
        <f t="shared" si="127"/>
        <v>Low</v>
      </c>
      <c r="K1196" s="1">
        <f t="shared" si="128"/>
        <v>0.20699999999999999</v>
      </c>
      <c r="L1196" t="str">
        <f t="shared" si="129"/>
        <v>Normal</v>
      </c>
      <c r="M1196" t="str">
        <f t="shared" si="130"/>
        <v>Standard</v>
      </c>
      <c r="N1196" t="str">
        <f t="shared" si="131"/>
        <v>Tier 4</v>
      </c>
      <c r="O1196">
        <f t="shared" si="132"/>
        <v>0</v>
      </c>
    </row>
    <row r="1197" spans="1:15" x14ac:dyDescent="0.2">
      <c r="A1197">
        <v>19</v>
      </c>
      <c r="B1197" t="str" cm="1">
        <f t="array" ref="B1197">_xlfn.IFS(A1197&lt;=25,"18-25", A1197&lt;=35,"26-35", A1197&lt;=45,"36-45", A1197&lt;=55,"46-55", A1197&lt;=64,"56-64")</f>
        <v>18-25</v>
      </c>
      <c r="C1197" t="s">
        <v>7</v>
      </c>
      <c r="D1197">
        <v>27.93</v>
      </c>
      <c r="E1197">
        <v>3</v>
      </c>
      <c r="F1197" t="s">
        <v>11</v>
      </c>
      <c r="G1197" t="s">
        <v>54</v>
      </c>
      <c r="H1197" s="2">
        <v>18838.703659999999</v>
      </c>
      <c r="I1197" s="2">
        <f t="shared" si="126"/>
        <v>4709.6759149999998</v>
      </c>
      <c r="J1197" t="str">
        <f t="shared" si="127"/>
        <v>High</v>
      </c>
      <c r="K1197" s="1">
        <f t="shared" si="128"/>
        <v>0.77700000000000002</v>
      </c>
      <c r="L1197" t="str">
        <f t="shared" si="129"/>
        <v>Overweight</v>
      </c>
      <c r="M1197" t="str">
        <f t="shared" si="130"/>
        <v>Standard</v>
      </c>
      <c r="N1197" t="str">
        <f t="shared" si="131"/>
        <v>Tier 4</v>
      </c>
      <c r="O1197">
        <f t="shared" si="132"/>
        <v>1</v>
      </c>
    </row>
    <row r="1198" spans="1:15" x14ac:dyDescent="0.2">
      <c r="A1198">
        <v>19</v>
      </c>
      <c r="B1198" t="str" cm="1">
        <f t="array" ref="B1198">_xlfn.IFS(A1198&lt;=25,"18-25", A1198&lt;=35,"26-35", A1198&lt;=45,"36-45", A1198&lt;=55,"46-55", A1198&lt;=64,"56-64")</f>
        <v>18-25</v>
      </c>
      <c r="C1198" t="s">
        <v>7</v>
      </c>
      <c r="D1198">
        <v>30.02</v>
      </c>
      <c r="E1198">
        <v>0</v>
      </c>
      <c r="F1198" t="s">
        <v>8</v>
      </c>
      <c r="G1198" t="s">
        <v>54</v>
      </c>
      <c r="H1198" s="2">
        <v>33307.550799999997</v>
      </c>
      <c r="I1198" s="2">
        <f t="shared" si="126"/>
        <v>33307.550799999997</v>
      </c>
      <c r="J1198" t="str">
        <f t="shared" si="127"/>
        <v>High</v>
      </c>
      <c r="K1198" s="1">
        <f t="shared" si="128"/>
        <v>0.88700000000000001</v>
      </c>
      <c r="L1198" t="str">
        <f t="shared" si="129"/>
        <v>Obese</v>
      </c>
      <c r="M1198" t="str">
        <f t="shared" si="130"/>
        <v>High Risk</v>
      </c>
      <c r="N1198" t="str">
        <f t="shared" si="131"/>
        <v>Tier 4</v>
      </c>
      <c r="O1198">
        <f t="shared" si="132"/>
        <v>5</v>
      </c>
    </row>
    <row r="1199" spans="1:15" x14ac:dyDescent="0.2">
      <c r="A1199">
        <v>41</v>
      </c>
      <c r="B1199" t="str" cm="1">
        <f t="array" ref="B1199">_xlfn.IFS(A1199&lt;=25,"18-25", A1199&lt;=35,"26-35", A1199&lt;=45,"36-45", A1199&lt;=55,"46-55", A1199&lt;=64,"56-64")</f>
        <v>36-45</v>
      </c>
      <c r="C1199" t="s">
        <v>10</v>
      </c>
      <c r="D1199">
        <v>33.549999999999997</v>
      </c>
      <c r="E1199">
        <v>0</v>
      </c>
      <c r="F1199" t="s">
        <v>11</v>
      </c>
      <c r="G1199" t="s">
        <v>51</v>
      </c>
      <c r="H1199" s="2">
        <v>5699.8374999999996</v>
      </c>
      <c r="I1199" s="2">
        <f t="shared" si="126"/>
        <v>5699.8374999999996</v>
      </c>
      <c r="J1199" t="str">
        <f t="shared" si="127"/>
        <v>Low</v>
      </c>
      <c r="K1199" s="1">
        <f t="shared" si="128"/>
        <v>0.30599999999999999</v>
      </c>
      <c r="L1199" t="str">
        <f t="shared" si="129"/>
        <v>Obese</v>
      </c>
      <c r="M1199" t="str">
        <f t="shared" si="130"/>
        <v>Standard</v>
      </c>
      <c r="N1199" t="str">
        <f t="shared" si="131"/>
        <v>Tier 1</v>
      </c>
      <c r="O1199">
        <f t="shared" si="132"/>
        <v>3</v>
      </c>
    </row>
    <row r="1200" spans="1:15" x14ac:dyDescent="0.2">
      <c r="A1200">
        <v>40</v>
      </c>
      <c r="B1200" t="str" cm="1">
        <f t="array" ref="B1200">_xlfn.IFS(A1200&lt;=25,"18-25", A1200&lt;=35,"26-35", A1200&lt;=45,"36-45", A1200&lt;=55,"46-55", A1200&lt;=64,"56-64")</f>
        <v>36-45</v>
      </c>
      <c r="C1200" t="s">
        <v>10</v>
      </c>
      <c r="D1200">
        <v>29.355</v>
      </c>
      <c r="E1200">
        <v>1</v>
      </c>
      <c r="F1200" t="s">
        <v>11</v>
      </c>
      <c r="G1200" t="s">
        <v>54</v>
      </c>
      <c r="H1200" s="2">
        <v>6393.6034499999996</v>
      </c>
      <c r="I1200" s="2">
        <f t="shared" si="126"/>
        <v>3196.8017249999998</v>
      </c>
      <c r="J1200" t="str">
        <f t="shared" si="127"/>
        <v>Low</v>
      </c>
      <c r="K1200" s="1">
        <f t="shared" si="128"/>
        <v>0.34200000000000003</v>
      </c>
      <c r="L1200" t="str">
        <f t="shared" si="129"/>
        <v>Overweight</v>
      </c>
      <c r="M1200" t="str">
        <f t="shared" si="130"/>
        <v>Standard</v>
      </c>
      <c r="N1200" t="str">
        <f t="shared" si="131"/>
        <v>Tier 4</v>
      </c>
      <c r="O1200">
        <f t="shared" si="132"/>
        <v>1</v>
      </c>
    </row>
    <row r="1201" spans="1:15" x14ac:dyDescent="0.2">
      <c r="A1201">
        <v>31</v>
      </c>
      <c r="B1201" t="str" cm="1">
        <f t="array" ref="B1201">_xlfn.IFS(A1201&lt;=25,"18-25", A1201&lt;=35,"26-35", A1201&lt;=45,"36-45", A1201&lt;=55,"46-55", A1201&lt;=64,"56-64")</f>
        <v>26-35</v>
      </c>
      <c r="C1201" t="s">
        <v>7</v>
      </c>
      <c r="D1201">
        <v>25.8</v>
      </c>
      <c r="E1201">
        <v>2</v>
      </c>
      <c r="F1201" t="s">
        <v>11</v>
      </c>
      <c r="G1201" t="s">
        <v>52</v>
      </c>
      <c r="H1201" s="2">
        <v>4934.7049999999999</v>
      </c>
      <c r="I1201" s="2">
        <f t="shared" si="126"/>
        <v>1644.9016666666666</v>
      </c>
      <c r="J1201" t="str">
        <f t="shared" si="127"/>
        <v>Low</v>
      </c>
      <c r="K1201" s="1">
        <f t="shared" si="128"/>
        <v>0.26600000000000001</v>
      </c>
      <c r="L1201" t="str">
        <f t="shared" si="129"/>
        <v>Overweight</v>
      </c>
      <c r="M1201" t="str">
        <f t="shared" si="130"/>
        <v>Standard</v>
      </c>
      <c r="N1201" t="str">
        <f t="shared" si="131"/>
        <v>Tier 3</v>
      </c>
      <c r="O1201">
        <f t="shared" si="132"/>
        <v>1</v>
      </c>
    </row>
    <row r="1202" spans="1:15" x14ac:dyDescent="0.2">
      <c r="A1202">
        <v>37</v>
      </c>
      <c r="B1202" t="str" cm="1">
        <f t="array" ref="B1202">_xlfn.IFS(A1202&lt;=25,"18-25", A1202&lt;=35,"26-35", A1202&lt;=45,"36-45", A1202&lt;=55,"46-55", A1202&lt;=64,"56-64")</f>
        <v>36-45</v>
      </c>
      <c r="C1202" t="s">
        <v>10</v>
      </c>
      <c r="D1202">
        <v>24.32</v>
      </c>
      <c r="E1202">
        <v>2</v>
      </c>
      <c r="F1202" t="s">
        <v>11</v>
      </c>
      <c r="G1202" t="s">
        <v>54</v>
      </c>
      <c r="H1202" s="2">
        <v>6198.7518</v>
      </c>
      <c r="I1202" s="2">
        <f t="shared" si="126"/>
        <v>2066.2505999999998</v>
      </c>
      <c r="J1202" t="str">
        <f t="shared" si="127"/>
        <v>Low</v>
      </c>
      <c r="K1202" s="1">
        <f t="shared" si="128"/>
        <v>0.33</v>
      </c>
      <c r="L1202" t="str">
        <f t="shared" si="129"/>
        <v>Normal</v>
      </c>
      <c r="M1202" t="str">
        <f t="shared" si="130"/>
        <v>Standard</v>
      </c>
      <c r="N1202" t="str">
        <f t="shared" si="131"/>
        <v>Tier 4</v>
      </c>
      <c r="O1202">
        <f t="shared" si="132"/>
        <v>0</v>
      </c>
    </row>
    <row r="1203" spans="1:15" x14ac:dyDescent="0.2">
      <c r="A1203">
        <v>46</v>
      </c>
      <c r="B1203" t="str" cm="1">
        <f t="array" ref="B1203">_xlfn.IFS(A1203&lt;=25,"18-25", A1203&lt;=35,"26-35", A1203&lt;=45,"36-45", A1203&lt;=55,"46-55", A1203&lt;=64,"56-64")</f>
        <v>46-55</v>
      </c>
      <c r="C1203" t="s">
        <v>10</v>
      </c>
      <c r="D1203">
        <v>40.375</v>
      </c>
      <c r="E1203">
        <v>2</v>
      </c>
      <c r="F1203" t="s">
        <v>11</v>
      </c>
      <c r="G1203" t="s">
        <v>54</v>
      </c>
      <c r="H1203" s="2">
        <v>8733.2292500000003</v>
      </c>
      <c r="I1203" s="2">
        <f t="shared" si="126"/>
        <v>2911.0764166666668</v>
      </c>
      <c r="J1203" t="str">
        <f t="shared" si="127"/>
        <v>Low</v>
      </c>
      <c r="K1203" s="1">
        <f t="shared" si="128"/>
        <v>0.47</v>
      </c>
      <c r="L1203" t="str">
        <f t="shared" si="129"/>
        <v>Obese</v>
      </c>
      <c r="M1203" t="str">
        <f t="shared" si="130"/>
        <v>Standard</v>
      </c>
      <c r="N1203" t="str">
        <f t="shared" si="131"/>
        <v>Tier 4</v>
      </c>
      <c r="O1203">
        <f t="shared" si="132"/>
        <v>2</v>
      </c>
    </row>
    <row r="1204" spans="1:15" x14ac:dyDescent="0.2">
      <c r="A1204">
        <v>22</v>
      </c>
      <c r="B1204" t="str" cm="1">
        <f t="array" ref="B1204">_xlfn.IFS(A1204&lt;=25,"18-25", A1204&lt;=35,"26-35", A1204&lt;=45,"36-45", A1204&lt;=55,"46-55", A1204&lt;=64,"56-64")</f>
        <v>18-25</v>
      </c>
      <c r="C1204" t="s">
        <v>10</v>
      </c>
      <c r="D1204">
        <v>32.11</v>
      </c>
      <c r="E1204">
        <v>0</v>
      </c>
      <c r="F1204" t="s">
        <v>11</v>
      </c>
      <c r="G1204" t="s">
        <v>54</v>
      </c>
      <c r="H1204" s="2">
        <v>2055.3249000000001</v>
      </c>
      <c r="I1204" s="2">
        <f t="shared" si="126"/>
        <v>2055.3249000000001</v>
      </c>
      <c r="J1204" t="str">
        <f t="shared" si="127"/>
        <v>Low</v>
      </c>
      <c r="K1204" s="1">
        <f t="shared" si="128"/>
        <v>7.1999999999999995E-2</v>
      </c>
      <c r="L1204" t="str">
        <f t="shared" si="129"/>
        <v>Obese</v>
      </c>
      <c r="M1204" t="str">
        <f t="shared" si="130"/>
        <v>Standard</v>
      </c>
      <c r="N1204" t="str">
        <f t="shared" si="131"/>
        <v>Tier 4</v>
      </c>
      <c r="O1204">
        <f t="shared" si="132"/>
        <v>2</v>
      </c>
    </row>
    <row r="1205" spans="1:15" x14ac:dyDescent="0.2">
      <c r="A1205">
        <v>51</v>
      </c>
      <c r="B1205" t="str" cm="1">
        <f t="array" ref="B1205">_xlfn.IFS(A1205&lt;=25,"18-25", A1205&lt;=35,"26-35", A1205&lt;=45,"36-45", A1205&lt;=55,"46-55", A1205&lt;=64,"56-64")</f>
        <v>46-55</v>
      </c>
      <c r="C1205" t="s">
        <v>10</v>
      </c>
      <c r="D1205">
        <v>32.299999999999997</v>
      </c>
      <c r="E1205">
        <v>1</v>
      </c>
      <c r="F1205" t="s">
        <v>11</v>
      </c>
      <c r="G1205" t="s">
        <v>53</v>
      </c>
      <c r="H1205" s="2">
        <v>9964.06</v>
      </c>
      <c r="I1205" s="2">
        <f t="shared" si="126"/>
        <v>4982.03</v>
      </c>
      <c r="J1205" t="str">
        <f t="shared" si="127"/>
        <v>Low</v>
      </c>
      <c r="K1205" s="1">
        <f t="shared" si="128"/>
        <v>0.53100000000000003</v>
      </c>
      <c r="L1205" t="str">
        <f t="shared" si="129"/>
        <v>Obese</v>
      </c>
      <c r="M1205" t="str">
        <f t="shared" si="130"/>
        <v>Standard</v>
      </c>
      <c r="N1205" t="str">
        <f t="shared" si="131"/>
        <v>Tier 2</v>
      </c>
      <c r="O1205">
        <f t="shared" si="132"/>
        <v>2</v>
      </c>
    </row>
    <row r="1206" spans="1:15" x14ac:dyDescent="0.2">
      <c r="A1206">
        <v>18</v>
      </c>
      <c r="B1206" t="str" cm="1">
        <f t="array" ref="B1206">_xlfn.IFS(A1206&lt;=25,"18-25", A1206&lt;=35,"26-35", A1206&lt;=45,"36-45", A1206&lt;=55,"46-55", A1206&lt;=64,"56-64")</f>
        <v>18-25</v>
      </c>
      <c r="C1206" t="s">
        <v>7</v>
      </c>
      <c r="D1206">
        <v>27.28</v>
      </c>
      <c r="E1206">
        <v>3</v>
      </c>
      <c r="F1206" t="s">
        <v>8</v>
      </c>
      <c r="G1206" t="s">
        <v>51</v>
      </c>
      <c r="H1206" s="2">
        <v>18223.4512</v>
      </c>
      <c r="I1206" s="2">
        <f t="shared" si="126"/>
        <v>4555.8627999999999</v>
      </c>
      <c r="J1206" t="str">
        <f t="shared" si="127"/>
        <v>High</v>
      </c>
      <c r="K1206" s="1">
        <f t="shared" si="128"/>
        <v>0.76800000000000002</v>
      </c>
      <c r="L1206" t="str">
        <f t="shared" si="129"/>
        <v>Overweight</v>
      </c>
      <c r="M1206" t="str">
        <f t="shared" si="130"/>
        <v>High Risk</v>
      </c>
      <c r="N1206" t="str">
        <f t="shared" si="131"/>
        <v>Tier 1</v>
      </c>
      <c r="O1206">
        <f t="shared" si="132"/>
        <v>5</v>
      </c>
    </row>
    <row r="1207" spans="1:15" x14ac:dyDescent="0.2">
      <c r="A1207">
        <v>35</v>
      </c>
      <c r="B1207" t="str" cm="1">
        <f t="array" ref="B1207">_xlfn.IFS(A1207&lt;=25,"18-25", A1207&lt;=35,"26-35", A1207&lt;=45,"36-45", A1207&lt;=55,"46-55", A1207&lt;=64,"56-64")</f>
        <v>26-35</v>
      </c>
      <c r="C1207" t="s">
        <v>10</v>
      </c>
      <c r="D1207">
        <v>17.86</v>
      </c>
      <c r="E1207">
        <v>1</v>
      </c>
      <c r="F1207" t="s">
        <v>11</v>
      </c>
      <c r="G1207" t="s">
        <v>54</v>
      </c>
      <c r="H1207" s="2">
        <v>5116.5003999999999</v>
      </c>
      <c r="I1207" s="2">
        <f t="shared" si="126"/>
        <v>2558.2501999999999</v>
      </c>
      <c r="J1207" t="str">
        <f t="shared" si="127"/>
        <v>Low</v>
      </c>
      <c r="K1207" s="1">
        <f t="shared" si="128"/>
        <v>0.27200000000000002</v>
      </c>
      <c r="L1207" t="str">
        <f t="shared" si="129"/>
        <v>Underweight</v>
      </c>
      <c r="M1207" t="str">
        <f t="shared" si="130"/>
        <v>Standard</v>
      </c>
      <c r="N1207" t="str">
        <f t="shared" si="131"/>
        <v>Tier 4</v>
      </c>
      <c r="O1207">
        <f t="shared" si="132"/>
        <v>0</v>
      </c>
    </row>
    <row r="1208" spans="1:15" x14ac:dyDescent="0.2">
      <c r="A1208">
        <v>59</v>
      </c>
      <c r="B1208" t="str" cm="1">
        <f t="array" ref="B1208">_xlfn.IFS(A1208&lt;=25,"18-25", A1208&lt;=35,"26-35", A1208&lt;=45,"36-45", A1208&lt;=55,"46-55", A1208&lt;=64,"56-64")</f>
        <v>56-64</v>
      </c>
      <c r="C1208" t="s">
        <v>7</v>
      </c>
      <c r="D1208">
        <v>34.799999999999997</v>
      </c>
      <c r="E1208">
        <v>2</v>
      </c>
      <c r="F1208" t="s">
        <v>11</v>
      </c>
      <c r="G1208" t="s">
        <v>52</v>
      </c>
      <c r="H1208" s="2">
        <v>36910.608030000003</v>
      </c>
      <c r="I1208" s="2">
        <f t="shared" si="126"/>
        <v>12303.536010000002</v>
      </c>
      <c r="J1208" t="str">
        <f t="shared" si="127"/>
        <v>High</v>
      </c>
      <c r="K1208" s="1">
        <f t="shared" si="128"/>
        <v>0.91400000000000003</v>
      </c>
      <c r="L1208" t="str">
        <f t="shared" si="129"/>
        <v>Obese</v>
      </c>
      <c r="M1208" t="str">
        <f t="shared" si="130"/>
        <v>Standard</v>
      </c>
      <c r="N1208" t="str">
        <f t="shared" si="131"/>
        <v>Tier 3</v>
      </c>
      <c r="O1208">
        <f t="shared" si="132"/>
        <v>2</v>
      </c>
    </row>
    <row r="1209" spans="1:15" x14ac:dyDescent="0.2">
      <c r="A1209">
        <v>36</v>
      </c>
      <c r="B1209" t="str" cm="1">
        <f t="array" ref="B1209">_xlfn.IFS(A1209&lt;=25,"18-25", A1209&lt;=35,"26-35", A1209&lt;=45,"36-45", A1209&lt;=55,"46-55", A1209&lt;=64,"56-64")</f>
        <v>36-45</v>
      </c>
      <c r="C1209" t="s">
        <v>10</v>
      </c>
      <c r="D1209">
        <v>33.4</v>
      </c>
      <c r="E1209">
        <v>2</v>
      </c>
      <c r="F1209" t="s">
        <v>8</v>
      </c>
      <c r="G1209" t="s">
        <v>52</v>
      </c>
      <c r="H1209" s="2">
        <v>38415.474000000002</v>
      </c>
      <c r="I1209" s="2">
        <f t="shared" si="126"/>
        <v>12805.158000000001</v>
      </c>
      <c r="J1209" t="str">
        <f t="shared" si="127"/>
        <v>High</v>
      </c>
      <c r="K1209" s="1">
        <f t="shared" si="128"/>
        <v>0.92600000000000005</v>
      </c>
      <c r="L1209" t="str">
        <f t="shared" si="129"/>
        <v>Obese</v>
      </c>
      <c r="M1209" t="str">
        <f t="shared" si="130"/>
        <v>High Risk</v>
      </c>
      <c r="N1209" t="str">
        <f t="shared" si="131"/>
        <v>Tier 3</v>
      </c>
      <c r="O1209">
        <f t="shared" si="132"/>
        <v>5</v>
      </c>
    </row>
    <row r="1210" spans="1:15" x14ac:dyDescent="0.2">
      <c r="A1210">
        <v>37</v>
      </c>
      <c r="B1210" t="str" cm="1">
        <f t="array" ref="B1210">_xlfn.IFS(A1210&lt;=25,"18-25", A1210&lt;=35,"26-35", A1210&lt;=45,"36-45", A1210&lt;=55,"46-55", A1210&lt;=64,"56-64")</f>
        <v>36-45</v>
      </c>
      <c r="C1210" t="s">
        <v>7</v>
      </c>
      <c r="D1210">
        <v>25.555</v>
      </c>
      <c r="E1210">
        <v>1</v>
      </c>
      <c r="F1210" t="s">
        <v>8</v>
      </c>
      <c r="G1210" t="s">
        <v>53</v>
      </c>
      <c r="H1210" s="2">
        <v>20296.863450000001</v>
      </c>
      <c r="I1210" s="2">
        <f t="shared" si="126"/>
        <v>10148.431725</v>
      </c>
      <c r="J1210" t="str">
        <f t="shared" si="127"/>
        <v>High</v>
      </c>
      <c r="K1210" s="1">
        <f t="shared" si="128"/>
        <v>0.80100000000000005</v>
      </c>
      <c r="L1210" t="str">
        <f t="shared" si="129"/>
        <v>Overweight</v>
      </c>
      <c r="M1210" t="str">
        <f t="shared" si="130"/>
        <v>High Risk</v>
      </c>
      <c r="N1210" t="str">
        <f t="shared" si="131"/>
        <v>Tier 2</v>
      </c>
      <c r="O1210">
        <f t="shared" si="132"/>
        <v>4</v>
      </c>
    </row>
    <row r="1211" spans="1:15" x14ac:dyDescent="0.2">
      <c r="A1211">
        <v>59</v>
      </c>
      <c r="B1211" t="str" cm="1">
        <f t="array" ref="B1211">_xlfn.IFS(A1211&lt;=25,"18-25", A1211&lt;=35,"26-35", A1211&lt;=45,"36-45", A1211&lt;=55,"46-55", A1211&lt;=64,"56-64")</f>
        <v>56-64</v>
      </c>
      <c r="C1211" t="s">
        <v>10</v>
      </c>
      <c r="D1211">
        <v>37.1</v>
      </c>
      <c r="E1211">
        <v>1</v>
      </c>
      <c r="F1211" t="s">
        <v>11</v>
      </c>
      <c r="G1211" t="s">
        <v>52</v>
      </c>
      <c r="H1211" s="2">
        <v>12347.172</v>
      </c>
      <c r="I1211" s="2">
        <f t="shared" si="126"/>
        <v>6173.5860000000002</v>
      </c>
      <c r="J1211" t="str">
        <f t="shared" si="127"/>
        <v>Low</v>
      </c>
      <c r="K1211" s="1">
        <f t="shared" si="128"/>
        <v>0.64800000000000002</v>
      </c>
      <c r="L1211" t="str">
        <f t="shared" si="129"/>
        <v>Obese</v>
      </c>
      <c r="M1211" t="str">
        <f t="shared" si="130"/>
        <v>Standard</v>
      </c>
      <c r="N1211" t="str">
        <f t="shared" si="131"/>
        <v>Tier 3</v>
      </c>
      <c r="O1211">
        <f t="shared" si="132"/>
        <v>2</v>
      </c>
    </row>
    <row r="1212" spans="1:15" x14ac:dyDescent="0.2">
      <c r="A1212">
        <v>36</v>
      </c>
      <c r="B1212" t="str" cm="1">
        <f t="array" ref="B1212">_xlfn.IFS(A1212&lt;=25,"18-25", A1212&lt;=35,"26-35", A1212&lt;=45,"36-45", A1212&lt;=55,"46-55", A1212&lt;=64,"56-64")</f>
        <v>36-45</v>
      </c>
      <c r="C1212" t="s">
        <v>10</v>
      </c>
      <c r="D1212">
        <v>30.875</v>
      </c>
      <c r="E1212">
        <v>1</v>
      </c>
      <c r="F1212" t="s">
        <v>11</v>
      </c>
      <c r="G1212" t="s">
        <v>54</v>
      </c>
      <c r="H1212" s="2">
        <v>5373.3642499999996</v>
      </c>
      <c r="I1212" s="2">
        <f t="shared" si="126"/>
        <v>2686.6821249999998</v>
      </c>
      <c r="J1212" t="str">
        <f t="shared" si="127"/>
        <v>Low</v>
      </c>
      <c r="K1212" s="1">
        <f t="shared" si="128"/>
        <v>0.28799999999999998</v>
      </c>
      <c r="L1212" t="str">
        <f t="shared" si="129"/>
        <v>Obese</v>
      </c>
      <c r="M1212" t="str">
        <f t="shared" si="130"/>
        <v>Standard</v>
      </c>
      <c r="N1212" t="str">
        <f t="shared" si="131"/>
        <v>Tier 4</v>
      </c>
      <c r="O1212">
        <f t="shared" si="132"/>
        <v>2</v>
      </c>
    </row>
    <row r="1213" spans="1:15" x14ac:dyDescent="0.2">
      <c r="A1213">
        <v>39</v>
      </c>
      <c r="B1213" t="str" cm="1">
        <f t="array" ref="B1213">_xlfn.IFS(A1213&lt;=25,"18-25", A1213&lt;=35,"26-35", A1213&lt;=45,"36-45", A1213&lt;=55,"46-55", A1213&lt;=64,"56-64")</f>
        <v>36-45</v>
      </c>
      <c r="C1213" t="s">
        <v>10</v>
      </c>
      <c r="D1213">
        <v>34.1</v>
      </c>
      <c r="E1213">
        <v>2</v>
      </c>
      <c r="F1213" t="s">
        <v>11</v>
      </c>
      <c r="G1213" t="s">
        <v>51</v>
      </c>
      <c r="H1213" s="2">
        <v>23563.016179999999</v>
      </c>
      <c r="I1213" s="2">
        <f t="shared" si="126"/>
        <v>7854.3387266666659</v>
      </c>
      <c r="J1213" t="str">
        <f t="shared" si="127"/>
        <v>High</v>
      </c>
      <c r="K1213" s="1">
        <f t="shared" si="128"/>
        <v>0.83399999999999996</v>
      </c>
      <c r="L1213" t="str">
        <f t="shared" si="129"/>
        <v>Obese</v>
      </c>
      <c r="M1213" t="str">
        <f t="shared" si="130"/>
        <v>Standard</v>
      </c>
      <c r="N1213" t="str">
        <f t="shared" si="131"/>
        <v>Tier 1</v>
      </c>
      <c r="O1213">
        <f t="shared" si="132"/>
        <v>3</v>
      </c>
    </row>
    <row r="1214" spans="1:15" x14ac:dyDescent="0.2">
      <c r="A1214">
        <v>18</v>
      </c>
      <c r="B1214" t="str" cm="1">
        <f t="array" ref="B1214">_xlfn.IFS(A1214&lt;=25,"18-25", A1214&lt;=35,"26-35", A1214&lt;=45,"36-45", A1214&lt;=55,"46-55", A1214&lt;=64,"56-64")</f>
        <v>18-25</v>
      </c>
      <c r="C1214" t="s">
        <v>10</v>
      </c>
      <c r="D1214">
        <v>21.47</v>
      </c>
      <c r="E1214">
        <v>0</v>
      </c>
      <c r="F1214" t="s">
        <v>11</v>
      </c>
      <c r="G1214" t="s">
        <v>53</v>
      </c>
      <c r="H1214" s="2">
        <v>1702.4553000000001</v>
      </c>
      <c r="I1214" s="2">
        <f t="shared" si="126"/>
        <v>1702.4553000000001</v>
      </c>
      <c r="J1214" t="str">
        <f t="shared" si="127"/>
        <v>Low</v>
      </c>
      <c r="K1214" s="1">
        <f t="shared" si="128"/>
        <v>3.5000000000000003E-2</v>
      </c>
      <c r="L1214" t="str">
        <f t="shared" si="129"/>
        <v>Normal</v>
      </c>
      <c r="M1214" t="str">
        <f t="shared" si="130"/>
        <v>Standard</v>
      </c>
      <c r="N1214" t="str">
        <f t="shared" si="131"/>
        <v>Tier 2</v>
      </c>
      <c r="O1214">
        <f t="shared" si="132"/>
        <v>0</v>
      </c>
    </row>
    <row r="1215" spans="1:15" x14ac:dyDescent="0.2">
      <c r="A1215">
        <v>52</v>
      </c>
      <c r="B1215" t="str" cm="1">
        <f t="array" ref="B1215">_xlfn.IFS(A1215&lt;=25,"18-25", A1215&lt;=35,"26-35", A1215&lt;=45,"36-45", A1215&lt;=55,"46-55", A1215&lt;=64,"56-64")</f>
        <v>46-55</v>
      </c>
      <c r="C1215" t="s">
        <v>7</v>
      </c>
      <c r="D1215">
        <v>33.299999999999997</v>
      </c>
      <c r="E1215">
        <v>2</v>
      </c>
      <c r="F1215" t="s">
        <v>11</v>
      </c>
      <c r="G1215" t="s">
        <v>52</v>
      </c>
      <c r="H1215" s="2">
        <v>10806.839</v>
      </c>
      <c r="I1215" s="2">
        <f t="shared" si="126"/>
        <v>3602.2796666666668</v>
      </c>
      <c r="J1215" t="str">
        <f t="shared" si="127"/>
        <v>Low</v>
      </c>
      <c r="K1215" s="1">
        <f t="shared" si="128"/>
        <v>0.56699999999999995</v>
      </c>
      <c r="L1215" t="str">
        <f t="shared" si="129"/>
        <v>Obese</v>
      </c>
      <c r="M1215" t="str">
        <f t="shared" si="130"/>
        <v>Standard</v>
      </c>
      <c r="N1215" t="str">
        <f t="shared" si="131"/>
        <v>Tier 3</v>
      </c>
      <c r="O1215">
        <f t="shared" si="132"/>
        <v>2</v>
      </c>
    </row>
    <row r="1216" spans="1:15" x14ac:dyDescent="0.2">
      <c r="A1216">
        <v>27</v>
      </c>
      <c r="B1216" t="str" cm="1">
        <f t="array" ref="B1216">_xlfn.IFS(A1216&lt;=25,"18-25", A1216&lt;=35,"26-35", A1216&lt;=45,"36-45", A1216&lt;=55,"46-55", A1216&lt;=64,"56-64")</f>
        <v>26-35</v>
      </c>
      <c r="C1216" t="s">
        <v>7</v>
      </c>
      <c r="D1216">
        <v>31.254999999999999</v>
      </c>
      <c r="E1216">
        <v>1</v>
      </c>
      <c r="F1216" t="s">
        <v>11</v>
      </c>
      <c r="G1216" t="s">
        <v>54</v>
      </c>
      <c r="H1216" s="2">
        <v>3956.0714499999999</v>
      </c>
      <c r="I1216" s="2">
        <f t="shared" si="126"/>
        <v>1978.035725</v>
      </c>
      <c r="J1216" t="str">
        <f t="shared" si="127"/>
        <v>Low</v>
      </c>
      <c r="K1216" s="1">
        <f t="shared" si="128"/>
        <v>0.19600000000000001</v>
      </c>
      <c r="L1216" t="str">
        <f t="shared" si="129"/>
        <v>Obese</v>
      </c>
      <c r="M1216" t="str">
        <f t="shared" si="130"/>
        <v>Standard</v>
      </c>
      <c r="N1216" t="str">
        <f t="shared" si="131"/>
        <v>Tier 4</v>
      </c>
      <c r="O1216">
        <f t="shared" si="132"/>
        <v>2</v>
      </c>
    </row>
    <row r="1217" spans="1:15" x14ac:dyDescent="0.2">
      <c r="A1217">
        <v>18</v>
      </c>
      <c r="B1217" t="str" cm="1">
        <f t="array" ref="B1217">_xlfn.IFS(A1217&lt;=25,"18-25", A1217&lt;=35,"26-35", A1217&lt;=45,"36-45", A1217&lt;=55,"46-55", A1217&lt;=64,"56-64")</f>
        <v>18-25</v>
      </c>
      <c r="C1217" t="s">
        <v>10</v>
      </c>
      <c r="D1217">
        <v>39.14</v>
      </c>
      <c r="E1217">
        <v>0</v>
      </c>
      <c r="F1217" t="s">
        <v>11</v>
      </c>
      <c r="G1217" t="s">
        <v>53</v>
      </c>
      <c r="H1217" s="2">
        <v>12890.057650000001</v>
      </c>
      <c r="I1217" s="2">
        <f t="shared" si="126"/>
        <v>12890.057650000001</v>
      </c>
      <c r="J1217" t="str">
        <f t="shared" si="127"/>
        <v>Low</v>
      </c>
      <c r="K1217" s="1">
        <f t="shared" si="128"/>
        <v>0.66700000000000004</v>
      </c>
      <c r="L1217" t="str">
        <f t="shared" si="129"/>
        <v>Obese</v>
      </c>
      <c r="M1217" t="str">
        <f t="shared" si="130"/>
        <v>Standard</v>
      </c>
      <c r="N1217" t="str">
        <f t="shared" si="131"/>
        <v>Tier 2</v>
      </c>
      <c r="O1217">
        <f t="shared" si="132"/>
        <v>2</v>
      </c>
    </row>
    <row r="1218" spans="1:15" x14ac:dyDescent="0.2">
      <c r="A1218">
        <v>40</v>
      </c>
      <c r="B1218" t="str" cm="1">
        <f t="array" ref="B1218">_xlfn.IFS(A1218&lt;=25,"18-25", A1218&lt;=35,"26-35", A1218&lt;=45,"36-45", A1218&lt;=55,"46-55", A1218&lt;=64,"56-64")</f>
        <v>36-45</v>
      </c>
      <c r="C1218" t="s">
        <v>10</v>
      </c>
      <c r="D1218">
        <v>25.08</v>
      </c>
      <c r="E1218">
        <v>0</v>
      </c>
      <c r="F1218" t="s">
        <v>11</v>
      </c>
      <c r="G1218" t="s">
        <v>51</v>
      </c>
      <c r="H1218" s="2">
        <v>5415.6611999999996</v>
      </c>
      <c r="I1218" s="2">
        <f t="shared" ref="I1218:I1281" si="133">H1218/(E1218+1)</f>
        <v>5415.6611999999996</v>
      </c>
      <c r="J1218" t="str">
        <f t="shared" ref="J1218:J1281" si="134">IF(H1218&gt;AVERAGE($H$2:$H$1339),"High","Low")</f>
        <v>Low</v>
      </c>
      <c r="K1218" s="1">
        <f t="shared" ref="K1218:K1281" si="135">PERCENTRANK($H$2:$H$1339,H1218)</f>
        <v>0.29299999999999998</v>
      </c>
      <c r="L1218" t="str">
        <f t="shared" ref="L1218:L1281" si="136">IF(D1218&lt;18.5,"Underweight",IF(D1218&lt;25,"Normal",IF(D1218&lt;30,"Overweight","Obese")))</f>
        <v>Overweight</v>
      </c>
      <c r="M1218" t="str">
        <f t="shared" ref="M1218:M1281" si="137">IF(F1218="yes","High Risk","Standard")</f>
        <v>Standard</v>
      </c>
      <c r="N1218" t="str">
        <f t="shared" ref="N1218:N1281" si="138">IF(G1218="southeast","Tier 1",IF(G1218="northeast","Tier 2",IF(G1218="southwest","Tier 3","Tier 4")))</f>
        <v>Tier 1</v>
      </c>
      <c r="O1218">
        <f t="shared" ref="O1218:O1281" si="139">IF(F1218="yes",3,0)+IF(D1218&gt;=30,2,IF(D1218&gt;=25,1,0))+IF(G1218="southeast",1,0)</f>
        <v>2</v>
      </c>
    </row>
    <row r="1219" spans="1:15" x14ac:dyDescent="0.2">
      <c r="A1219">
        <v>29</v>
      </c>
      <c r="B1219" t="str" cm="1">
        <f t="array" ref="B1219">_xlfn.IFS(A1219&lt;=25,"18-25", A1219&lt;=35,"26-35", A1219&lt;=45,"36-45", A1219&lt;=55,"46-55", A1219&lt;=64,"56-64")</f>
        <v>26-35</v>
      </c>
      <c r="C1219" t="s">
        <v>10</v>
      </c>
      <c r="D1219">
        <v>37.29</v>
      </c>
      <c r="E1219">
        <v>2</v>
      </c>
      <c r="F1219" t="s">
        <v>11</v>
      </c>
      <c r="G1219" t="s">
        <v>51</v>
      </c>
      <c r="H1219" s="2">
        <v>4058.1161000000002</v>
      </c>
      <c r="I1219" s="2">
        <f t="shared" si="133"/>
        <v>1352.7053666666668</v>
      </c>
      <c r="J1219" t="str">
        <f t="shared" si="134"/>
        <v>Low</v>
      </c>
      <c r="K1219" s="1">
        <f t="shared" si="135"/>
        <v>0.20300000000000001</v>
      </c>
      <c r="L1219" t="str">
        <f t="shared" si="136"/>
        <v>Obese</v>
      </c>
      <c r="M1219" t="str">
        <f t="shared" si="137"/>
        <v>Standard</v>
      </c>
      <c r="N1219" t="str">
        <f t="shared" si="138"/>
        <v>Tier 1</v>
      </c>
      <c r="O1219">
        <f t="shared" si="139"/>
        <v>3</v>
      </c>
    </row>
    <row r="1220" spans="1:15" x14ac:dyDescent="0.2">
      <c r="A1220">
        <v>46</v>
      </c>
      <c r="B1220" t="str" cm="1">
        <f t="array" ref="B1220">_xlfn.IFS(A1220&lt;=25,"18-25", A1220&lt;=35,"26-35", A1220&lt;=45,"36-45", A1220&lt;=55,"46-55", A1220&lt;=64,"56-64")</f>
        <v>46-55</v>
      </c>
      <c r="C1220" t="s">
        <v>7</v>
      </c>
      <c r="D1220">
        <v>34.6</v>
      </c>
      <c r="E1220">
        <v>1</v>
      </c>
      <c r="F1220" t="s">
        <v>8</v>
      </c>
      <c r="G1220" t="s">
        <v>52</v>
      </c>
      <c r="H1220" s="2">
        <v>41661.601999999999</v>
      </c>
      <c r="I1220" s="2">
        <f t="shared" si="133"/>
        <v>20830.800999999999</v>
      </c>
      <c r="J1220" t="str">
        <f t="shared" si="134"/>
        <v>High</v>
      </c>
      <c r="K1220" s="1">
        <f t="shared" si="135"/>
        <v>0.95</v>
      </c>
      <c r="L1220" t="str">
        <f t="shared" si="136"/>
        <v>Obese</v>
      </c>
      <c r="M1220" t="str">
        <f t="shared" si="137"/>
        <v>High Risk</v>
      </c>
      <c r="N1220" t="str">
        <f t="shared" si="138"/>
        <v>Tier 3</v>
      </c>
      <c r="O1220">
        <f t="shared" si="139"/>
        <v>5</v>
      </c>
    </row>
    <row r="1221" spans="1:15" x14ac:dyDescent="0.2">
      <c r="A1221">
        <v>38</v>
      </c>
      <c r="B1221" t="str" cm="1">
        <f t="array" ref="B1221">_xlfn.IFS(A1221&lt;=25,"18-25", A1221&lt;=35,"26-35", A1221&lt;=45,"36-45", A1221&lt;=55,"46-55", A1221&lt;=64,"56-64")</f>
        <v>36-45</v>
      </c>
      <c r="C1221" t="s">
        <v>7</v>
      </c>
      <c r="D1221">
        <v>30.21</v>
      </c>
      <c r="E1221">
        <v>3</v>
      </c>
      <c r="F1221" t="s">
        <v>11</v>
      </c>
      <c r="G1221" t="s">
        <v>54</v>
      </c>
      <c r="H1221" s="2">
        <v>7537.1638999999996</v>
      </c>
      <c r="I1221" s="2">
        <f t="shared" si="133"/>
        <v>1884.2909749999999</v>
      </c>
      <c r="J1221" t="str">
        <f t="shared" si="134"/>
        <v>Low</v>
      </c>
      <c r="K1221" s="1">
        <f t="shared" si="135"/>
        <v>0.40899999999999997</v>
      </c>
      <c r="L1221" t="str">
        <f t="shared" si="136"/>
        <v>Obese</v>
      </c>
      <c r="M1221" t="str">
        <f t="shared" si="137"/>
        <v>Standard</v>
      </c>
      <c r="N1221" t="str">
        <f t="shared" si="138"/>
        <v>Tier 4</v>
      </c>
      <c r="O1221">
        <f t="shared" si="139"/>
        <v>2</v>
      </c>
    </row>
    <row r="1222" spans="1:15" x14ac:dyDescent="0.2">
      <c r="A1222">
        <v>30</v>
      </c>
      <c r="B1222" t="str" cm="1">
        <f t="array" ref="B1222">_xlfn.IFS(A1222&lt;=25,"18-25", A1222&lt;=35,"26-35", A1222&lt;=45,"36-45", A1222&lt;=55,"46-55", A1222&lt;=64,"56-64")</f>
        <v>26-35</v>
      </c>
      <c r="C1222" t="s">
        <v>7</v>
      </c>
      <c r="D1222">
        <v>21.945</v>
      </c>
      <c r="E1222">
        <v>1</v>
      </c>
      <c r="F1222" t="s">
        <v>11</v>
      </c>
      <c r="G1222" t="s">
        <v>53</v>
      </c>
      <c r="H1222" s="2">
        <v>4718.2035500000002</v>
      </c>
      <c r="I1222" s="2">
        <f t="shared" si="133"/>
        <v>2359.1017750000001</v>
      </c>
      <c r="J1222" t="str">
        <f t="shared" si="134"/>
        <v>Low</v>
      </c>
      <c r="K1222" s="1">
        <f t="shared" si="135"/>
        <v>0.247</v>
      </c>
      <c r="L1222" t="str">
        <f t="shared" si="136"/>
        <v>Normal</v>
      </c>
      <c r="M1222" t="str">
        <f t="shared" si="137"/>
        <v>Standard</v>
      </c>
      <c r="N1222" t="str">
        <f t="shared" si="138"/>
        <v>Tier 2</v>
      </c>
      <c r="O1222">
        <f t="shared" si="139"/>
        <v>0</v>
      </c>
    </row>
    <row r="1223" spans="1:15" x14ac:dyDescent="0.2">
      <c r="A1223">
        <v>40</v>
      </c>
      <c r="B1223" t="str" cm="1">
        <f t="array" ref="B1223">_xlfn.IFS(A1223&lt;=25,"18-25", A1223&lt;=35,"26-35", A1223&lt;=45,"36-45", A1223&lt;=55,"46-55", A1223&lt;=64,"56-64")</f>
        <v>36-45</v>
      </c>
      <c r="C1223" t="s">
        <v>10</v>
      </c>
      <c r="D1223">
        <v>24.97</v>
      </c>
      <c r="E1223">
        <v>2</v>
      </c>
      <c r="F1223" t="s">
        <v>11</v>
      </c>
      <c r="G1223" t="s">
        <v>51</v>
      </c>
      <c r="H1223" s="2">
        <v>6593.5083000000004</v>
      </c>
      <c r="I1223" s="2">
        <f t="shared" si="133"/>
        <v>2197.8361</v>
      </c>
      <c r="J1223" t="str">
        <f t="shared" si="134"/>
        <v>Low</v>
      </c>
      <c r="K1223" s="1">
        <f t="shared" si="135"/>
        <v>0.35299999999999998</v>
      </c>
      <c r="L1223" t="str">
        <f t="shared" si="136"/>
        <v>Normal</v>
      </c>
      <c r="M1223" t="str">
        <f t="shared" si="137"/>
        <v>Standard</v>
      </c>
      <c r="N1223" t="str">
        <f t="shared" si="138"/>
        <v>Tier 1</v>
      </c>
      <c r="O1223">
        <f t="shared" si="139"/>
        <v>1</v>
      </c>
    </row>
    <row r="1224" spans="1:15" x14ac:dyDescent="0.2">
      <c r="A1224">
        <v>50</v>
      </c>
      <c r="B1224" t="str" cm="1">
        <f t="array" ref="B1224">_xlfn.IFS(A1224&lt;=25,"18-25", A1224&lt;=35,"26-35", A1224&lt;=45,"36-45", A1224&lt;=55,"46-55", A1224&lt;=64,"56-64")</f>
        <v>46-55</v>
      </c>
      <c r="C1224" t="s">
        <v>10</v>
      </c>
      <c r="D1224">
        <v>25.3</v>
      </c>
      <c r="E1224">
        <v>0</v>
      </c>
      <c r="F1224" t="s">
        <v>11</v>
      </c>
      <c r="G1224" t="s">
        <v>51</v>
      </c>
      <c r="H1224" s="2">
        <v>8442.6669999999995</v>
      </c>
      <c r="I1224" s="2">
        <f t="shared" si="133"/>
        <v>8442.6669999999995</v>
      </c>
      <c r="J1224" t="str">
        <f t="shared" si="134"/>
        <v>Low</v>
      </c>
      <c r="K1224" s="1">
        <f t="shared" si="135"/>
        <v>0.45</v>
      </c>
      <c r="L1224" t="str">
        <f t="shared" si="136"/>
        <v>Overweight</v>
      </c>
      <c r="M1224" t="str">
        <f t="shared" si="137"/>
        <v>Standard</v>
      </c>
      <c r="N1224" t="str">
        <f t="shared" si="138"/>
        <v>Tier 1</v>
      </c>
      <c r="O1224">
        <f t="shared" si="139"/>
        <v>2</v>
      </c>
    </row>
    <row r="1225" spans="1:15" x14ac:dyDescent="0.2">
      <c r="A1225">
        <v>20</v>
      </c>
      <c r="B1225" t="str" cm="1">
        <f t="array" ref="B1225">_xlfn.IFS(A1225&lt;=25,"18-25", A1225&lt;=35,"26-35", A1225&lt;=45,"36-45", A1225&lt;=55,"46-55", A1225&lt;=64,"56-64")</f>
        <v>18-25</v>
      </c>
      <c r="C1225" t="s">
        <v>7</v>
      </c>
      <c r="D1225">
        <v>24.42</v>
      </c>
      <c r="E1225">
        <v>0</v>
      </c>
      <c r="F1225" t="s">
        <v>8</v>
      </c>
      <c r="G1225" t="s">
        <v>51</v>
      </c>
      <c r="H1225" s="2">
        <v>26125.674770000001</v>
      </c>
      <c r="I1225" s="2">
        <f t="shared" si="133"/>
        <v>26125.674770000001</v>
      </c>
      <c r="J1225" t="str">
        <f t="shared" si="134"/>
        <v>High</v>
      </c>
      <c r="K1225" s="1">
        <f t="shared" si="135"/>
        <v>0.85699999999999998</v>
      </c>
      <c r="L1225" t="str">
        <f t="shared" si="136"/>
        <v>Normal</v>
      </c>
      <c r="M1225" t="str">
        <f t="shared" si="137"/>
        <v>High Risk</v>
      </c>
      <c r="N1225" t="str">
        <f t="shared" si="138"/>
        <v>Tier 1</v>
      </c>
      <c r="O1225">
        <f t="shared" si="139"/>
        <v>4</v>
      </c>
    </row>
    <row r="1226" spans="1:15" x14ac:dyDescent="0.2">
      <c r="A1226">
        <v>41</v>
      </c>
      <c r="B1226" t="str" cm="1">
        <f t="array" ref="B1226">_xlfn.IFS(A1226&lt;=25,"18-25", A1226&lt;=35,"26-35", A1226&lt;=45,"36-45", A1226&lt;=55,"46-55", A1226&lt;=64,"56-64")</f>
        <v>36-45</v>
      </c>
      <c r="C1226" t="s">
        <v>10</v>
      </c>
      <c r="D1226">
        <v>23.94</v>
      </c>
      <c r="E1226">
        <v>1</v>
      </c>
      <c r="F1226" t="s">
        <v>11</v>
      </c>
      <c r="G1226" t="s">
        <v>53</v>
      </c>
      <c r="H1226" s="2">
        <v>6858.4795999999997</v>
      </c>
      <c r="I1226" s="2">
        <f t="shared" si="133"/>
        <v>3429.2397999999998</v>
      </c>
      <c r="J1226" t="str">
        <f t="shared" si="134"/>
        <v>Low</v>
      </c>
      <c r="K1226" s="1">
        <f t="shared" si="135"/>
        <v>0.36899999999999999</v>
      </c>
      <c r="L1226" t="str">
        <f t="shared" si="136"/>
        <v>Normal</v>
      </c>
      <c r="M1226" t="str">
        <f t="shared" si="137"/>
        <v>Standard</v>
      </c>
      <c r="N1226" t="str">
        <f t="shared" si="138"/>
        <v>Tier 2</v>
      </c>
      <c r="O1226">
        <f t="shared" si="139"/>
        <v>0</v>
      </c>
    </row>
    <row r="1227" spans="1:15" x14ac:dyDescent="0.2">
      <c r="A1227">
        <v>33</v>
      </c>
      <c r="B1227" t="str" cm="1">
        <f t="array" ref="B1227">_xlfn.IFS(A1227&lt;=25,"18-25", A1227&lt;=35,"26-35", A1227&lt;=45,"36-45", A1227&lt;=55,"46-55", A1227&lt;=64,"56-64")</f>
        <v>26-35</v>
      </c>
      <c r="C1227" t="s">
        <v>7</v>
      </c>
      <c r="D1227">
        <v>39.82</v>
      </c>
      <c r="E1227">
        <v>1</v>
      </c>
      <c r="F1227" t="s">
        <v>11</v>
      </c>
      <c r="G1227" t="s">
        <v>51</v>
      </c>
      <c r="H1227" s="2">
        <v>4795.6567999999997</v>
      </c>
      <c r="I1227" s="2">
        <f t="shared" si="133"/>
        <v>2397.8283999999999</v>
      </c>
      <c r="J1227" t="str">
        <f t="shared" si="134"/>
        <v>Low</v>
      </c>
      <c r="K1227" s="1">
        <f t="shared" si="135"/>
        <v>0.255</v>
      </c>
      <c r="L1227" t="str">
        <f t="shared" si="136"/>
        <v>Obese</v>
      </c>
      <c r="M1227" t="str">
        <f t="shared" si="137"/>
        <v>Standard</v>
      </c>
      <c r="N1227" t="str">
        <f t="shared" si="138"/>
        <v>Tier 1</v>
      </c>
      <c r="O1227">
        <f t="shared" si="139"/>
        <v>3</v>
      </c>
    </row>
    <row r="1228" spans="1:15" x14ac:dyDescent="0.2">
      <c r="A1228">
        <v>38</v>
      </c>
      <c r="B1228" t="str" cm="1">
        <f t="array" ref="B1228">_xlfn.IFS(A1228&lt;=25,"18-25", A1228&lt;=35,"26-35", A1228&lt;=45,"36-45", A1228&lt;=55,"46-55", A1228&lt;=64,"56-64")</f>
        <v>36-45</v>
      </c>
      <c r="C1228" t="s">
        <v>10</v>
      </c>
      <c r="D1228">
        <v>16.815000000000001</v>
      </c>
      <c r="E1228">
        <v>2</v>
      </c>
      <c r="F1228" t="s">
        <v>11</v>
      </c>
      <c r="G1228" t="s">
        <v>53</v>
      </c>
      <c r="H1228" s="2">
        <v>6640.5448500000002</v>
      </c>
      <c r="I1228" s="2">
        <f t="shared" si="133"/>
        <v>2213.5149500000002</v>
      </c>
      <c r="J1228" t="str">
        <f t="shared" si="134"/>
        <v>Low</v>
      </c>
      <c r="K1228" s="1">
        <f t="shared" si="135"/>
        <v>0.35599999999999998</v>
      </c>
      <c r="L1228" t="str">
        <f t="shared" si="136"/>
        <v>Underweight</v>
      </c>
      <c r="M1228" t="str">
        <f t="shared" si="137"/>
        <v>Standard</v>
      </c>
      <c r="N1228" t="str">
        <f t="shared" si="138"/>
        <v>Tier 2</v>
      </c>
      <c r="O1228">
        <f t="shared" si="139"/>
        <v>0</v>
      </c>
    </row>
    <row r="1229" spans="1:15" x14ac:dyDescent="0.2">
      <c r="A1229">
        <v>42</v>
      </c>
      <c r="B1229" t="str" cm="1">
        <f t="array" ref="B1229">_xlfn.IFS(A1229&lt;=25,"18-25", A1229&lt;=35,"26-35", A1229&lt;=45,"36-45", A1229&lt;=55,"46-55", A1229&lt;=64,"56-64")</f>
        <v>36-45</v>
      </c>
      <c r="C1229" t="s">
        <v>10</v>
      </c>
      <c r="D1229">
        <v>37.18</v>
      </c>
      <c r="E1229">
        <v>2</v>
      </c>
      <c r="F1229" t="s">
        <v>11</v>
      </c>
      <c r="G1229" t="s">
        <v>51</v>
      </c>
      <c r="H1229" s="2">
        <v>7162.0122000000001</v>
      </c>
      <c r="I1229" s="2">
        <f t="shared" si="133"/>
        <v>2387.3373999999999</v>
      </c>
      <c r="J1229" t="str">
        <f t="shared" si="134"/>
        <v>Low</v>
      </c>
      <c r="K1229" s="1">
        <f t="shared" si="135"/>
        <v>0.38500000000000001</v>
      </c>
      <c r="L1229" t="str">
        <f t="shared" si="136"/>
        <v>Obese</v>
      </c>
      <c r="M1229" t="str">
        <f t="shared" si="137"/>
        <v>Standard</v>
      </c>
      <c r="N1229" t="str">
        <f t="shared" si="138"/>
        <v>Tier 1</v>
      </c>
      <c r="O1229">
        <f t="shared" si="139"/>
        <v>3</v>
      </c>
    </row>
    <row r="1230" spans="1:15" x14ac:dyDescent="0.2">
      <c r="A1230">
        <v>56</v>
      </c>
      <c r="B1230" t="str" cm="1">
        <f t="array" ref="B1230">_xlfn.IFS(A1230&lt;=25,"18-25", A1230&lt;=35,"26-35", A1230&lt;=45,"36-45", A1230&lt;=55,"46-55", A1230&lt;=64,"56-64")</f>
        <v>56-64</v>
      </c>
      <c r="C1230" t="s">
        <v>10</v>
      </c>
      <c r="D1230">
        <v>34.43</v>
      </c>
      <c r="E1230">
        <v>0</v>
      </c>
      <c r="F1230" t="s">
        <v>11</v>
      </c>
      <c r="G1230" t="s">
        <v>51</v>
      </c>
      <c r="H1230" s="2">
        <v>10594.225700000001</v>
      </c>
      <c r="I1230" s="2">
        <f t="shared" si="133"/>
        <v>10594.225700000001</v>
      </c>
      <c r="J1230" t="str">
        <f t="shared" si="134"/>
        <v>Low</v>
      </c>
      <c r="K1230" s="1">
        <f t="shared" si="135"/>
        <v>0.55700000000000005</v>
      </c>
      <c r="L1230" t="str">
        <f t="shared" si="136"/>
        <v>Obese</v>
      </c>
      <c r="M1230" t="str">
        <f t="shared" si="137"/>
        <v>Standard</v>
      </c>
      <c r="N1230" t="str">
        <f t="shared" si="138"/>
        <v>Tier 1</v>
      </c>
      <c r="O1230">
        <f t="shared" si="139"/>
        <v>3</v>
      </c>
    </row>
    <row r="1231" spans="1:15" x14ac:dyDescent="0.2">
      <c r="A1231">
        <v>58</v>
      </c>
      <c r="B1231" t="str" cm="1">
        <f t="array" ref="B1231">_xlfn.IFS(A1231&lt;=25,"18-25", A1231&lt;=35,"26-35", A1231&lt;=45,"36-45", A1231&lt;=55,"46-55", A1231&lt;=64,"56-64")</f>
        <v>56-64</v>
      </c>
      <c r="C1231" t="s">
        <v>10</v>
      </c>
      <c r="D1231">
        <v>30.305</v>
      </c>
      <c r="E1231">
        <v>0</v>
      </c>
      <c r="F1231" t="s">
        <v>11</v>
      </c>
      <c r="G1231" t="s">
        <v>53</v>
      </c>
      <c r="H1231" s="2">
        <v>11938.255950000001</v>
      </c>
      <c r="I1231" s="2">
        <f t="shared" si="133"/>
        <v>11938.255950000001</v>
      </c>
      <c r="J1231" t="str">
        <f t="shared" si="134"/>
        <v>Low</v>
      </c>
      <c r="K1231" s="1">
        <f t="shared" si="135"/>
        <v>0.629</v>
      </c>
      <c r="L1231" t="str">
        <f t="shared" si="136"/>
        <v>Obese</v>
      </c>
      <c r="M1231" t="str">
        <f t="shared" si="137"/>
        <v>Standard</v>
      </c>
      <c r="N1231" t="str">
        <f t="shared" si="138"/>
        <v>Tier 2</v>
      </c>
      <c r="O1231">
        <f t="shared" si="139"/>
        <v>2</v>
      </c>
    </row>
    <row r="1232" spans="1:15" x14ac:dyDescent="0.2">
      <c r="A1232">
        <v>52</v>
      </c>
      <c r="B1232" t="str" cm="1">
        <f t="array" ref="B1232">_xlfn.IFS(A1232&lt;=25,"18-25", A1232&lt;=35,"26-35", A1232&lt;=45,"36-45", A1232&lt;=55,"46-55", A1232&lt;=64,"56-64")</f>
        <v>46-55</v>
      </c>
      <c r="C1232" t="s">
        <v>10</v>
      </c>
      <c r="D1232">
        <v>34.484999999999999</v>
      </c>
      <c r="E1232">
        <v>3</v>
      </c>
      <c r="F1232" t="s">
        <v>8</v>
      </c>
      <c r="G1232" t="s">
        <v>54</v>
      </c>
      <c r="H1232" s="2">
        <v>60021.398970000002</v>
      </c>
      <c r="I1232" s="2">
        <f t="shared" si="133"/>
        <v>15005.349742500001</v>
      </c>
      <c r="J1232" t="str">
        <f t="shared" si="134"/>
        <v>High</v>
      </c>
      <c r="K1232" s="1">
        <f t="shared" si="135"/>
        <v>0.998</v>
      </c>
      <c r="L1232" t="str">
        <f t="shared" si="136"/>
        <v>Obese</v>
      </c>
      <c r="M1232" t="str">
        <f t="shared" si="137"/>
        <v>High Risk</v>
      </c>
      <c r="N1232" t="str">
        <f t="shared" si="138"/>
        <v>Tier 4</v>
      </c>
      <c r="O1232">
        <f t="shared" si="139"/>
        <v>5</v>
      </c>
    </row>
    <row r="1233" spans="1:15" x14ac:dyDescent="0.2">
      <c r="A1233">
        <v>20</v>
      </c>
      <c r="B1233" t="str" cm="1">
        <f t="array" ref="B1233">_xlfn.IFS(A1233&lt;=25,"18-25", A1233&lt;=35,"26-35", A1233&lt;=45,"36-45", A1233&lt;=55,"46-55", A1233&lt;=64,"56-64")</f>
        <v>18-25</v>
      </c>
      <c r="C1233" t="s">
        <v>7</v>
      </c>
      <c r="D1233">
        <v>21.8</v>
      </c>
      <c r="E1233">
        <v>0</v>
      </c>
      <c r="F1233" t="s">
        <v>8</v>
      </c>
      <c r="G1233" t="s">
        <v>52</v>
      </c>
      <c r="H1233" s="2">
        <v>20167.336029999999</v>
      </c>
      <c r="I1233" s="2">
        <f t="shared" si="133"/>
        <v>20167.336029999999</v>
      </c>
      <c r="J1233" t="str">
        <f t="shared" si="134"/>
        <v>High</v>
      </c>
      <c r="K1233" s="1">
        <f t="shared" si="135"/>
        <v>0.79800000000000004</v>
      </c>
      <c r="L1233" t="str">
        <f t="shared" si="136"/>
        <v>Normal</v>
      </c>
      <c r="M1233" t="str">
        <f t="shared" si="137"/>
        <v>High Risk</v>
      </c>
      <c r="N1233" t="str">
        <f t="shared" si="138"/>
        <v>Tier 3</v>
      </c>
      <c r="O1233">
        <f t="shared" si="139"/>
        <v>3</v>
      </c>
    </row>
    <row r="1234" spans="1:15" x14ac:dyDescent="0.2">
      <c r="A1234">
        <v>54</v>
      </c>
      <c r="B1234" t="str" cm="1">
        <f t="array" ref="B1234">_xlfn.IFS(A1234&lt;=25,"18-25", A1234&lt;=35,"26-35", A1234&lt;=45,"36-45", A1234&lt;=55,"46-55", A1234&lt;=64,"56-64")</f>
        <v>46-55</v>
      </c>
      <c r="C1234" t="s">
        <v>7</v>
      </c>
      <c r="D1234">
        <v>24.605</v>
      </c>
      <c r="E1234">
        <v>3</v>
      </c>
      <c r="F1234" t="s">
        <v>11</v>
      </c>
      <c r="G1234" t="s">
        <v>54</v>
      </c>
      <c r="H1234" s="2">
        <v>12479.70895</v>
      </c>
      <c r="I1234" s="2">
        <f t="shared" si="133"/>
        <v>3119.9272375</v>
      </c>
      <c r="J1234" t="str">
        <f t="shared" si="134"/>
        <v>Low</v>
      </c>
      <c r="K1234" s="1">
        <f t="shared" si="135"/>
        <v>0.65200000000000002</v>
      </c>
      <c r="L1234" t="str">
        <f t="shared" si="136"/>
        <v>Normal</v>
      </c>
      <c r="M1234" t="str">
        <f t="shared" si="137"/>
        <v>Standard</v>
      </c>
      <c r="N1234" t="str">
        <f t="shared" si="138"/>
        <v>Tier 4</v>
      </c>
      <c r="O1234">
        <f t="shared" si="139"/>
        <v>0</v>
      </c>
    </row>
    <row r="1235" spans="1:15" x14ac:dyDescent="0.2">
      <c r="A1235">
        <v>58</v>
      </c>
      <c r="B1235" t="str" cm="1">
        <f t="array" ref="B1235">_xlfn.IFS(A1235&lt;=25,"18-25", A1235&lt;=35,"26-35", A1235&lt;=45,"36-45", A1235&lt;=55,"46-55", A1235&lt;=64,"56-64")</f>
        <v>56-64</v>
      </c>
      <c r="C1235" t="s">
        <v>10</v>
      </c>
      <c r="D1235">
        <v>23.3</v>
      </c>
      <c r="E1235">
        <v>0</v>
      </c>
      <c r="F1235" t="s">
        <v>11</v>
      </c>
      <c r="G1235" t="s">
        <v>52</v>
      </c>
      <c r="H1235" s="2">
        <v>11345.519</v>
      </c>
      <c r="I1235" s="2">
        <f t="shared" si="133"/>
        <v>11345.519</v>
      </c>
      <c r="J1235" t="str">
        <f t="shared" si="134"/>
        <v>Low</v>
      </c>
      <c r="K1235" s="1">
        <f t="shared" si="135"/>
        <v>0.59299999999999997</v>
      </c>
      <c r="L1235" t="str">
        <f t="shared" si="136"/>
        <v>Normal</v>
      </c>
      <c r="M1235" t="str">
        <f t="shared" si="137"/>
        <v>Standard</v>
      </c>
      <c r="N1235" t="str">
        <f t="shared" si="138"/>
        <v>Tier 3</v>
      </c>
      <c r="O1235">
        <f t="shared" si="139"/>
        <v>0</v>
      </c>
    </row>
    <row r="1236" spans="1:15" x14ac:dyDescent="0.2">
      <c r="A1236">
        <v>45</v>
      </c>
      <c r="B1236" t="str" cm="1">
        <f t="array" ref="B1236">_xlfn.IFS(A1236&lt;=25,"18-25", A1236&lt;=35,"26-35", A1236&lt;=45,"36-45", A1236&lt;=55,"46-55", A1236&lt;=64,"56-64")</f>
        <v>36-45</v>
      </c>
      <c r="C1236" t="s">
        <v>7</v>
      </c>
      <c r="D1236">
        <v>27.83</v>
      </c>
      <c r="E1236">
        <v>2</v>
      </c>
      <c r="F1236" t="s">
        <v>11</v>
      </c>
      <c r="G1236" t="s">
        <v>51</v>
      </c>
      <c r="H1236" s="2">
        <v>8515.7587000000003</v>
      </c>
      <c r="I1236" s="2">
        <f t="shared" si="133"/>
        <v>2838.5862333333334</v>
      </c>
      <c r="J1236" t="str">
        <f t="shared" si="134"/>
        <v>Low</v>
      </c>
      <c r="K1236" s="1">
        <f t="shared" si="135"/>
        <v>0.45200000000000001</v>
      </c>
      <c r="L1236" t="str">
        <f t="shared" si="136"/>
        <v>Overweight</v>
      </c>
      <c r="M1236" t="str">
        <f t="shared" si="137"/>
        <v>Standard</v>
      </c>
      <c r="N1236" t="str">
        <f t="shared" si="138"/>
        <v>Tier 1</v>
      </c>
      <c r="O1236">
        <f t="shared" si="139"/>
        <v>2</v>
      </c>
    </row>
    <row r="1237" spans="1:15" x14ac:dyDescent="0.2">
      <c r="A1237">
        <v>26</v>
      </c>
      <c r="B1237" t="str" cm="1">
        <f t="array" ref="B1237">_xlfn.IFS(A1237&lt;=25,"18-25", A1237&lt;=35,"26-35", A1237&lt;=45,"36-45", A1237&lt;=55,"46-55", A1237&lt;=64,"56-64")</f>
        <v>26-35</v>
      </c>
      <c r="C1237" t="s">
        <v>10</v>
      </c>
      <c r="D1237">
        <v>31.065000000000001</v>
      </c>
      <c r="E1237">
        <v>0</v>
      </c>
      <c r="F1237" t="s">
        <v>11</v>
      </c>
      <c r="G1237" t="s">
        <v>54</v>
      </c>
      <c r="H1237" s="2">
        <v>2699.56835</v>
      </c>
      <c r="I1237" s="2">
        <f t="shared" si="133"/>
        <v>2699.56835</v>
      </c>
      <c r="J1237" t="str">
        <f t="shared" si="134"/>
        <v>Low</v>
      </c>
      <c r="K1237" s="1">
        <f t="shared" si="135"/>
        <v>0.122</v>
      </c>
      <c r="L1237" t="str">
        <f t="shared" si="136"/>
        <v>Obese</v>
      </c>
      <c r="M1237" t="str">
        <f t="shared" si="137"/>
        <v>Standard</v>
      </c>
      <c r="N1237" t="str">
        <f t="shared" si="138"/>
        <v>Tier 4</v>
      </c>
      <c r="O1237">
        <f t="shared" si="139"/>
        <v>2</v>
      </c>
    </row>
    <row r="1238" spans="1:15" x14ac:dyDescent="0.2">
      <c r="A1238">
        <v>63</v>
      </c>
      <c r="B1238" t="str" cm="1">
        <f t="array" ref="B1238">_xlfn.IFS(A1238&lt;=25,"18-25", A1238&lt;=35,"26-35", A1238&lt;=45,"36-45", A1238&lt;=55,"46-55", A1238&lt;=64,"56-64")</f>
        <v>56-64</v>
      </c>
      <c r="C1238" t="s">
        <v>7</v>
      </c>
      <c r="D1238">
        <v>21.66</v>
      </c>
      <c r="E1238">
        <v>0</v>
      </c>
      <c r="F1238" t="s">
        <v>11</v>
      </c>
      <c r="G1238" t="s">
        <v>53</v>
      </c>
      <c r="H1238" s="2">
        <v>14449.8544</v>
      </c>
      <c r="I1238" s="2">
        <f t="shared" si="133"/>
        <v>14449.8544</v>
      </c>
      <c r="J1238" t="str">
        <f t="shared" si="134"/>
        <v>High</v>
      </c>
      <c r="K1238" s="1">
        <f t="shared" si="135"/>
        <v>0.72399999999999998</v>
      </c>
      <c r="L1238" t="str">
        <f t="shared" si="136"/>
        <v>Normal</v>
      </c>
      <c r="M1238" t="str">
        <f t="shared" si="137"/>
        <v>Standard</v>
      </c>
      <c r="N1238" t="str">
        <f t="shared" si="138"/>
        <v>Tier 2</v>
      </c>
      <c r="O1238">
        <f t="shared" si="139"/>
        <v>0</v>
      </c>
    </row>
    <row r="1239" spans="1:15" x14ac:dyDescent="0.2">
      <c r="A1239">
        <v>58</v>
      </c>
      <c r="B1239" t="str" cm="1">
        <f t="array" ref="B1239">_xlfn.IFS(A1239&lt;=25,"18-25", A1239&lt;=35,"26-35", A1239&lt;=45,"36-45", A1239&lt;=55,"46-55", A1239&lt;=64,"56-64")</f>
        <v>56-64</v>
      </c>
      <c r="C1239" t="s">
        <v>7</v>
      </c>
      <c r="D1239">
        <v>28.215</v>
      </c>
      <c r="E1239">
        <v>0</v>
      </c>
      <c r="F1239" t="s">
        <v>11</v>
      </c>
      <c r="G1239" t="s">
        <v>54</v>
      </c>
      <c r="H1239" s="2">
        <v>12224.350850000001</v>
      </c>
      <c r="I1239" s="2">
        <f t="shared" si="133"/>
        <v>12224.350850000001</v>
      </c>
      <c r="J1239" t="str">
        <f t="shared" si="134"/>
        <v>Low</v>
      </c>
      <c r="K1239" s="1">
        <f t="shared" si="135"/>
        <v>0.64</v>
      </c>
      <c r="L1239" t="str">
        <f t="shared" si="136"/>
        <v>Overweight</v>
      </c>
      <c r="M1239" t="str">
        <f t="shared" si="137"/>
        <v>Standard</v>
      </c>
      <c r="N1239" t="str">
        <f t="shared" si="138"/>
        <v>Tier 4</v>
      </c>
      <c r="O1239">
        <f t="shared" si="139"/>
        <v>1</v>
      </c>
    </row>
    <row r="1240" spans="1:15" x14ac:dyDescent="0.2">
      <c r="A1240">
        <v>37</v>
      </c>
      <c r="B1240" t="str" cm="1">
        <f t="array" ref="B1240">_xlfn.IFS(A1240&lt;=25,"18-25", A1240&lt;=35,"26-35", A1240&lt;=45,"36-45", A1240&lt;=55,"46-55", A1240&lt;=64,"56-64")</f>
        <v>36-45</v>
      </c>
      <c r="C1240" t="s">
        <v>10</v>
      </c>
      <c r="D1240">
        <v>22.704999999999998</v>
      </c>
      <c r="E1240">
        <v>3</v>
      </c>
      <c r="F1240" t="s">
        <v>11</v>
      </c>
      <c r="G1240" t="s">
        <v>53</v>
      </c>
      <c r="H1240" s="2">
        <v>6985.50695</v>
      </c>
      <c r="I1240" s="2">
        <f t="shared" si="133"/>
        <v>1746.3767375</v>
      </c>
      <c r="J1240" t="str">
        <f t="shared" si="134"/>
        <v>Low</v>
      </c>
      <c r="K1240" s="1">
        <f t="shared" si="135"/>
        <v>0.373</v>
      </c>
      <c r="L1240" t="str">
        <f t="shared" si="136"/>
        <v>Normal</v>
      </c>
      <c r="M1240" t="str">
        <f t="shared" si="137"/>
        <v>Standard</v>
      </c>
      <c r="N1240" t="str">
        <f t="shared" si="138"/>
        <v>Tier 2</v>
      </c>
      <c r="O1240">
        <f t="shared" si="139"/>
        <v>0</v>
      </c>
    </row>
    <row r="1241" spans="1:15" x14ac:dyDescent="0.2">
      <c r="A1241">
        <v>25</v>
      </c>
      <c r="B1241" t="str" cm="1">
        <f t="array" ref="B1241">_xlfn.IFS(A1241&lt;=25,"18-25", A1241&lt;=35,"26-35", A1241&lt;=45,"36-45", A1241&lt;=55,"46-55", A1241&lt;=64,"56-64")</f>
        <v>18-25</v>
      </c>
      <c r="C1241" t="s">
        <v>7</v>
      </c>
      <c r="D1241">
        <v>42.13</v>
      </c>
      <c r="E1241">
        <v>1</v>
      </c>
      <c r="F1241" t="s">
        <v>11</v>
      </c>
      <c r="G1241" t="s">
        <v>51</v>
      </c>
      <c r="H1241" s="2">
        <v>3238.4357</v>
      </c>
      <c r="I1241" s="2">
        <f t="shared" si="133"/>
        <v>1619.21785</v>
      </c>
      <c r="J1241" t="str">
        <f t="shared" si="134"/>
        <v>Low</v>
      </c>
      <c r="K1241" s="1">
        <f t="shared" si="135"/>
        <v>0.157</v>
      </c>
      <c r="L1241" t="str">
        <f t="shared" si="136"/>
        <v>Obese</v>
      </c>
      <c r="M1241" t="str">
        <f t="shared" si="137"/>
        <v>Standard</v>
      </c>
      <c r="N1241" t="str">
        <f t="shared" si="138"/>
        <v>Tier 1</v>
      </c>
      <c r="O1241">
        <f t="shared" si="139"/>
        <v>3</v>
      </c>
    </row>
    <row r="1242" spans="1:15" x14ac:dyDescent="0.2">
      <c r="A1242">
        <v>52</v>
      </c>
      <c r="B1242" t="str" cm="1">
        <f t="array" ref="B1242">_xlfn.IFS(A1242&lt;=25,"18-25", A1242&lt;=35,"26-35", A1242&lt;=45,"36-45", A1242&lt;=55,"46-55", A1242&lt;=64,"56-64")</f>
        <v>46-55</v>
      </c>
      <c r="C1242" t="s">
        <v>10</v>
      </c>
      <c r="D1242">
        <v>41.8</v>
      </c>
      <c r="E1242">
        <v>2</v>
      </c>
      <c r="F1242" t="s">
        <v>8</v>
      </c>
      <c r="G1242" t="s">
        <v>51</v>
      </c>
      <c r="H1242" s="2">
        <v>47269.853999999999</v>
      </c>
      <c r="I1242" s="2">
        <f t="shared" si="133"/>
        <v>15756.618</v>
      </c>
      <c r="J1242" t="str">
        <f t="shared" si="134"/>
        <v>High</v>
      </c>
      <c r="K1242" s="1">
        <f t="shared" si="135"/>
        <v>0.98199999999999998</v>
      </c>
      <c r="L1242" t="str">
        <f t="shared" si="136"/>
        <v>Obese</v>
      </c>
      <c r="M1242" t="str">
        <f t="shared" si="137"/>
        <v>High Risk</v>
      </c>
      <c r="N1242" t="str">
        <f t="shared" si="138"/>
        <v>Tier 1</v>
      </c>
      <c r="O1242">
        <f t="shared" si="139"/>
        <v>6</v>
      </c>
    </row>
    <row r="1243" spans="1:15" x14ac:dyDescent="0.2">
      <c r="A1243">
        <v>64</v>
      </c>
      <c r="B1243" t="str" cm="1">
        <f t="array" ref="B1243">_xlfn.IFS(A1243&lt;=25,"18-25", A1243&lt;=35,"26-35", A1243&lt;=45,"36-45", A1243&lt;=55,"46-55", A1243&lt;=64,"56-64")</f>
        <v>56-64</v>
      </c>
      <c r="C1243" t="s">
        <v>10</v>
      </c>
      <c r="D1243">
        <v>36.96</v>
      </c>
      <c r="E1243">
        <v>2</v>
      </c>
      <c r="F1243" t="s">
        <v>8</v>
      </c>
      <c r="G1243" t="s">
        <v>51</v>
      </c>
      <c r="H1243" s="2">
        <v>49577.662400000001</v>
      </c>
      <c r="I1243" s="2">
        <f t="shared" si="133"/>
        <v>16525.887466666667</v>
      </c>
      <c r="J1243" t="str">
        <f t="shared" si="134"/>
        <v>High</v>
      </c>
      <c r="K1243" s="1">
        <f t="shared" si="135"/>
        <v>0.99399999999999999</v>
      </c>
      <c r="L1243" t="str">
        <f t="shared" si="136"/>
        <v>Obese</v>
      </c>
      <c r="M1243" t="str">
        <f t="shared" si="137"/>
        <v>High Risk</v>
      </c>
      <c r="N1243" t="str">
        <f t="shared" si="138"/>
        <v>Tier 1</v>
      </c>
      <c r="O1243">
        <f t="shared" si="139"/>
        <v>6</v>
      </c>
    </row>
    <row r="1244" spans="1:15" x14ac:dyDescent="0.2">
      <c r="A1244">
        <v>22</v>
      </c>
      <c r="B1244" t="str" cm="1">
        <f t="array" ref="B1244">_xlfn.IFS(A1244&lt;=25,"18-25", A1244&lt;=35,"26-35", A1244&lt;=45,"36-45", A1244&lt;=55,"46-55", A1244&lt;=64,"56-64")</f>
        <v>18-25</v>
      </c>
      <c r="C1244" t="s">
        <v>7</v>
      </c>
      <c r="D1244">
        <v>21.28</v>
      </c>
      <c r="E1244">
        <v>3</v>
      </c>
      <c r="F1244" t="s">
        <v>11</v>
      </c>
      <c r="G1244" t="s">
        <v>54</v>
      </c>
      <c r="H1244" s="2">
        <v>4296.2712000000001</v>
      </c>
      <c r="I1244" s="2">
        <f t="shared" si="133"/>
        <v>1074.0678</v>
      </c>
      <c r="J1244" t="str">
        <f t="shared" si="134"/>
        <v>Low</v>
      </c>
      <c r="K1244" s="1">
        <f t="shared" si="135"/>
        <v>0.216</v>
      </c>
      <c r="L1244" t="str">
        <f t="shared" si="136"/>
        <v>Normal</v>
      </c>
      <c r="M1244" t="str">
        <f t="shared" si="137"/>
        <v>Standard</v>
      </c>
      <c r="N1244" t="str">
        <f t="shared" si="138"/>
        <v>Tier 4</v>
      </c>
      <c r="O1244">
        <f t="shared" si="139"/>
        <v>0</v>
      </c>
    </row>
    <row r="1245" spans="1:15" x14ac:dyDescent="0.2">
      <c r="A1245">
        <v>28</v>
      </c>
      <c r="B1245" t="str" cm="1">
        <f t="array" ref="B1245">_xlfn.IFS(A1245&lt;=25,"18-25", A1245&lt;=35,"26-35", A1245&lt;=45,"36-45", A1245&lt;=55,"46-55", A1245&lt;=64,"56-64")</f>
        <v>26-35</v>
      </c>
      <c r="C1245" t="s">
        <v>7</v>
      </c>
      <c r="D1245">
        <v>33.11</v>
      </c>
      <c r="E1245">
        <v>0</v>
      </c>
      <c r="F1245" t="s">
        <v>11</v>
      </c>
      <c r="G1245" t="s">
        <v>51</v>
      </c>
      <c r="H1245" s="2">
        <v>3171.6149</v>
      </c>
      <c r="I1245" s="2">
        <f t="shared" si="133"/>
        <v>3171.6149</v>
      </c>
      <c r="J1245" t="str">
        <f t="shared" si="134"/>
        <v>Low</v>
      </c>
      <c r="K1245" s="1">
        <f t="shared" si="135"/>
        <v>0.14899999999999999</v>
      </c>
      <c r="L1245" t="str">
        <f t="shared" si="136"/>
        <v>Obese</v>
      </c>
      <c r="M1245" t="str">
        <f t="shared" si="137"/>
        <v>Standard</v>
      </c>
      <c r="N1245" t="str">
        <f t="shared" si="138"/>
        <v>Tier 1</v>
      </c>
      <c r="O1245">
        <f t="shared" si="139"/>
        <v>3</v>
      </c>
    </row>
    <row r="1246" spans="1:15" x14ac:dyDescent="0.2">
      <c r="A1246">
        <v>18</v>
      </c>
      <c r="B1246" t="str" cm="1">
        <f t="array" ref="B1246">_xlfn.IFS(A1246&lt;=25,"18-25", A1246&lt;=35,"26-35", A1246&lt;=45,"36-45", A1246&lt;=55,"46-55", A1246&lt;=64,"56-64")</f>
        <v>18-25</v>
      </c>
      <c r="C1246" t="s">
        <v>10</v>
      </c>
      <c r="D1246">
        <v>33.33</v>
      </c>
      <c r="E1246">
        <v>0</v>
      </c>
      <c r="F1246" t="s">
        <v>11</v>
      </c>
      <c r="G1246" t="s">
        <v>51</v>
      </c>
      <c r="H1246" s="2">
        <v>1135.9407000000001</v>
      </c>
      <c r="I1246" s="2">
        <f t="shared" si="133"/>
        <v>1135.9407000000001</v>
      </c>
      <c r="J1246" t="str">
        <f t="shared" si="134"/>
        <v>Low</v>
      </c>
      <c r="K1246" s="1">
        <f t="shared" si="135"/>
        <v>1E-3</v>
      </c>
      <c r="L1246" t="str">
        <f t="shared" si="136"/>
        <v>Obese</v>
      </c>
      <c r="M1246" t="str">
        <f t="shared" si="137"/>
        <v>Standard</v>
      </c>
      <c r="N1246" t="str">
        <f t="shared" si="138"/>
        <v>Tier 1</v>
      </c>
      <c r="O1246">
        <f t="shared" si="139"/>
        <v>3</v>
      </c>
    </row>
    <row r="1247" spans="1:15" x14ac:dyDescent="0.2">
      <c r="A1247">
        <v>28</v>
      </c>
      <c r="B1247" t="str" cm="1">
        <f t="array" ref="B1247">_xlfn.IFS(A1247&lt;=25,"18-25", A1247&lt;=35,"26-35", A1247&lt;=45,"36-45", A1247&lt;=55,"46-55", A1247&lt;=64,"56-64")</f>
        <v>26-35</v>
      </c>
      <c r="C1247" t="s">
        <v>10</v>
      </c>
      <c r="D1247">
        <v>24.3</v>
      </c>
      <c r="E1247">
        <v>5</v>
      </c>
      <c r="F1247" t="s">
        <v>11</v>
      </c>
      <c r="G1247" t="s">
        <v>52</v>
      </c>
      <c r="H1247" s="2">
        <v>5615.3689999999997</v>
      </c>
      <c r="I1247" s="2">
        <f t="shared" si="133"/>
        <v>935.89483333333328</v>
      </c>
      <c r="J1247" t="str">
        <f t="shared" si="134"/>
        <v>Low</v>
      </c>
      <c r="K1247" s="1">
        <f t="shared" si="135"/>
        <v>0.30199999999999999</v>
      </c>
      <c r="L1247" t="str">
        <f t="shared" si="136"/>
        <v>Normal</v>
      </c>
      <c r="M1247" t="str">
        <f t="shared" si="137"/>
        <v>Standard</v>
      </c>
      <c r="N1247" t="str">
        <f t="shared" si="138"/>
        <v>Tier 3</v>
      </c>
      <c r="O1247">
        <f t="shared" si="139"/>
        <v>0</v>
      </c>
    </row>
    <row r="1248" spans="1:15" x14ac:dyDescent="0.2">
      <c r="A1248">
        <v>45</v>
      </c>
      <c r="B1248" t="str" cm="1">
        <f t="array" ref="B1248">_xlfn.IFS(A1248&lt;=25,"18-25", A1248&lt;=35,"26-35", A1248&lt;=45,"36-45", A1248&lt;=55,"46-55", A1248&lt;=64,"56-64")</f>
        <v>36-45</v>
      </c>
      <c r="C1248" t="s">
        <v>7</v>
      </c>
      <c r="D1248">
        <v>25.7</v>
      </c>
      <c r="E1248">
        <v>3</v>
      </c>
      <c r="F1248" t="s">
        <v>11</v>
      </c>
      <c r="G1248" t="s">
        <v>52</v>
      </c>
      <c r="H1248" s="2">
        <v>9101.7980000000007</v>
      </c>
      <c r="I1248" s="2">
        <f t="shared" si="133"/>
        <v>2275.4495000000002</v>
      </c>
      <c r="J1248" t="str">
        <f t="shared" si="134"/>
        <v>Low</v>
      </c>
      <c r="K1248" s="1">
        <f t="shared" si="135"/>
        <v>0.48599999999999999</v>
      </c>
      <c r="L1248" t="str">
        <f t="shared" si="136"/>
        <v>Overweight</v>
      </c>
      <c r="M1248" t="str">
        <f t="shared" si="137"/>
        <v>Standard</v>
      </c>
      <c r="N1248" t="str">
        <f t="shared" si="138"/>
        <v>Tier 3</v>
      </c>
      <c r="O1248">
        <f t="shared" si="139"/>
        <v>1</v>
      </c>
    </row>
    <row r="1249" spans="1:15" x14ac:dyDescent="0.2">
      <c r="A1249">
        <v>33</v>
      </c>
      <c r="B1249" t="str" cm="1">
        <f t="array" ref="B1249">_xlfn.IFS(A1249&lt;=25,"18-25", A1249&lt;=35,"26-35", A1249&lt;=45,"36-45", A1249&lt;=55,"46-55", A1249&lt;=64,"56-64")</f>
        <v>26-35</v>
      </c>
      <c r="C1249" t="s">
        <v>10</v>
      </c>
      <c r="D1249">
        <v>29.4</v>
      </c>
      <c r="E1249">
        <v>4</v>
      </c>
      <c r="F1249" t="s">
        <v>11</v>
      </c>
      <c r="G1249" t="s">
        <v>52</v>
      </c>
      <c r="H1249" s="2">
        <v>6059.1729999999998</v>
      </c>
      <c r="I1249" s="2">
        <f t="shared" si="133"/>
        <v>1211.8345999999999</v>
      </c>
      <c r="J1249" t="str">
        <f t="shared" si="134"/>
        <v>Low</v>
      </c>
      <c r="K1249" s="1">
        <f t="shared" si="135"/>
        <v>0.32</v>
      </c>
      <c r="L1249" t="str">
        <f t="shared" si="136"/>
        <v>Overweight</v>
      </c>
      <c r="M1249" t="str">
        <f t="shared" si="137"/>
        <v>Standard</v>
      </c>
      <c r="N1249" t="str">
        <f t="shared" si="138"/>
        <v>Tier 3</v>
      </c>
      <c r="O1249">
        <f t="shared" si="139"/>
        <v>1</v>
      </c>
    </row>
    <row r="1250" spans="1:15" x14ac:dyDescent="0.2">
      <c r="A1250">
        <v>18</v>
      </c>
      <c r="B1250" t="str" cm="1">
        <f t="array" ref="B1250">_xlfn.IFS(A1250&lt;=25,"18-25", A1250&lt;=35,"26-35", A1250&lt;=45,"36-45", A1250&lt;=55,"46-55", A1250&lt;=64,"56-64")</f>
        <v>18-25</v>
      </c>
      <c r="C1250" t="s">
        <v>7</v>
      </c>
      <c r="D1250">
        <v>39.82</v>
      </c>
      <c r="E1250">
        <v>0</v>
      </c>
      <c r="F1250" t="s">
        <v>11</v>
      </c>
      <c r="G1250" t="s">
        <v>51</v>
      </c>
      <c r="H1250" s="2">
        <v>1633.9618</v>
      </c>
      <c r="I1250" s="2">
        <f t="shared" si="133"/>
        <v>1633.9618</v>
      </c>
      <c r="J1250" t="str">
        <f t="shared" si="134"/>
        <v>Low</v>
      </c>
      <c r="K1250" s="1">
        <f t="shared" si="135"/>
        <v>2.8000000000000001E-2</v>
      </c>
      <c r="L1250" t="str">
        <f t="shared" si="136"/>
        <v>Obese</v>
      </c>
      <c r="M1250" t="str">
        <f t="shared" si="137"/>
        <v>Standard</v>
      </c>
      <c r="N1250" t="str">
        <f t="shared" si="138"/>
        <v>Tier 1</v>
      </c>
      <c r="O1250">
        <f t="shared" si="139"/>
        <v>3</v>
      </c>
    </row>
    <row r="1251" spans="1:15" x14ac:dyDescent="0.2">
      <c r="A1251">
        <v>32</v>
      </c>
      <c r="B1251" t="str" cm="1">
        <f t="array" ref="B1251">_xlfn.IFS(A1251&lt;=25,"18-25", A1251&lt;=35,"26-35", A1251&lt;=45,"36-45", A1251&lt;=55,"46-55", A1251&lt;=64,"56-64")</f>
        <v>26-35</v>
      </c>
      <c r="C1251" t="s">
        <v>10</v>
      </c>
      <c r="D1251">
        <v>33.630000000000003</v>
      </c>
      <c r="E1251">
        <v>1</v>
      </c>
      <c r="F1251" t="s">
        <v>8</v>
      </c>
      <c r="G1251" t="s">
        <v>53</v>
      </c>
      <c r="H1251" s="2">
        <v>37607.527699999999</v>
      </c>
      <c r="I1251" s="2">
        <f t="shared" si="133"/>
        <v>18803.763849999999</v>
      </c>
      <c r="J1251" t="str">
        <f t="shared" si="134"/>
        <v>High</v>
      </c>
      <c r="K1251" s="1">
        <f t="shared" si="135"/>
        <v>0.92</v>
      </c>
      <c r="L1251" t="str">
        <f t="shared" si="136"/>
        <v>Obese</v>
      </c>
      <c r="M1251" t="str">
        <f t="shared" si="137"/>
        <v>High Risk</v>
      </c>
      <c r="N1251" t="str">
        <f t="shared" si="138"/>
        <v>Tier 2</v>
      </c>
      <c r="O1251">
        <f t="shared" si="139"/>
        <v>5</v>
      </c>
    </row>
    <row r="1252" spans="1:15" x14ac:dyDescent="0.2">
      <c r="A1252">
        <v>24</v>
      </c>
      <c r="B1252" t="str" cm="1">
        <f t="array" ref="B1252">_xlfn.IFS(A1252&lt;=25,"18-25", A1252&lt;=35,"26-35", A1252&lt;=45,"36-45", A1252&lt;=55,"46-55", A1252&lt;=64,"56-64")</f>
        <v>18-25</v>
      </c>
      <c r="C1252" t="s">
        <v>10</v>
      </c>
      <c r="D1252">
        <v>29.83</v>
      </c>
      <c r="E1252">
        <v>0</v>
      </c>
      <c r="F1252" t="s">
        <v>8</v>
      </c>
      <c r="G1252" t="s">
        <v>53</v>
      </c>
      <c r="H1252" s="2">
        <v>18648.421699999999</v>
      </c>
      <c r="I1252" s="2">
        <f t="shared" si="133"/>
        <v>18648.421699999999</v>
      </c>
      <c r="J1252" t="str">
        <f t="shared" si="134"/>
        <v>High</v>
      </c>
      <c r="K1252" s="1">
        <f t="shared" si="135"/>
        <v>0.77300000000000002</v>
      </c>
      <c r="L1252" t="str">
        <f t="shared" si="136"/>
        <v>Overweight</v>
      </c>
      <c r="M1252" t="str">
        <f t="shared" si="137"/>
        <v>High Risk</v>
      </c>
      <c r="N1252" t="str">
        <f t="shared" si="138"/>
        <v>Tier 2</v>
      </c>
      <c r="O1252">
        <f t="shared" si="139"/>
        <v>4</v>
      </c>
    </row>
    <row r="1253" spans="1:15" x14ac:dyDescent="0.2">
      <c r="A1253">
        <v>19</v>
      </c>
      <c r="B1253" t="str" cm="1">
        <f t="array" ref="B1253">_xlfn.IFS(A1253&lt;=25,"18-25", A1253&lt;=35,"26-35", A1253&lt;=45,"36-45", A1253&lt;=55,"46-55", A1253&lt;=64,"56-64")</f>
        <v>18-25</v>
      </c>
      <c r="C1253" t="s">
        <v>10</v>
      </c>
      <c r="D1253">
        <v>19.8</v>
      </c>
      <c r="E1253">
        <v>0</v>
      </c>
      <c r="F1253" t="s">
        <v>11</v>
      </c>
      <c r="G1253" t="s">
        <v>52</v>
      </c>
      <c r="H1253" s="2">
        <v>1241.5650000000001</v>
      </c>
      <c r="I1253" s="2">
        <f t="shared" si="133"/>
        <v>1241.5650000000001</v>
      </c>
      <c r="J1253" t="str">
        <f t="shared" si="134"/>
        <v>Low</v>
      </c>
      <c r="K1253" s="1">
        <f t="shared" si="135"/>
        <v>7.0000000000000001E-3</v>
      </c>
      <c r="L1253" t="str">
        <f t="shared" si="136"/>
        <v>Normal</v>
      </c>
      <c r="M1253" t="str">
        <f t="shared" si="137"/>
        <v>Standard</v>
      </c>
      <c r="N1253" t="str">
        <f t="shared" si="138"/>
        <v>Tier 3</v>
      </c>
      <c r="O1253">
        <f t="shared" si="139"/>
        <v>0</v>
      </c>
    </row>
    <row r="1254" spans="1:15" x14ac:dyDescent="0.2">
      <c r="A1254">
        <v>20</v>
      </c>
      <c r="B1254" t="str" cm="1">
        <f t="array" ref="B1254">_xlfn.IFS(A1254&lt;=25,"18-25", A1254&lt;=35,"26-35", A1254&lt;=45,"36-45", A1254&lt;=55,"46-55", A1254&lt;=64,"56-64")</f>
        <v>18-25</v>
      </c>
      <c r="C1254" t="s">
        <v>10</v>
      </c>
      <c r="D1254">
        <v>27.3</v>
      </c>
      <c r="E1254">
        <v>0</v>
      </c>
      <c r="F1254" t="s">
        <v>8</v>
      </c>
      <c r="G1254" t="s">
        <v>52</v>
      </c>
      <c r="H1254" s="2">
        <v>16232.847</v>
      </c>
      <c r="I1254" s="2">
        <f t="shared" si="133"/>
        <v>16232.847</v>
      </c>
      <c r="J1254" t="str">
        <f t="shared" si="134"/>
        <v>High</v>
      </c>
      <c r="K1254" s="1">
        <f t="shared" si="135"/>
        <v>0.74399999999999999</v>
      </c>
      <c r="L1254" t="str">
        <f t="shared" si="136"/>
        <v>Overweight</v>
      </c>
      <c r="M1254" t="str">
        <f t="shared" si="137"/>
        <v>High Risk</v>
      </c>
      <c r="N1254" t="str">
        <f t="shared" si="138"/>
        <v>Tier 3</v>
      </c>
      <c r="O1254">
        <f t="shared" si="139"/>
        <v>4</v>
      </c>
    </row>
    <row r="1255" spans="1:15" x14ac:dyDescent="0.2">
      <c r="A1255">
        <v>40</v>
      </c>
      <c r="B1255" t="str" cm="1">
        <f t="array" ref="B1255">_xlfn.IFS(A1255&lt;=25,"18-25", A1255&lt;=35,"26-35", A1255&lt;=45,"36-45", A1255&lt;=55,"46-55", A1255&lt;=64,"56-64")</f>
        <v>36-45</v>
      </c>
      <c r="C1255" t="s">
        <v>7</v>
      </c>
      <c r="D1255">
        <v>29.3</v>
      </c>
      <c r="E1255">
        <v>4</v>
      </c>
      <c r="F1255" t="s">
        <v>11</v>
      </c>
      <c r="G1255" t="s">
        <v>52</v>
      </c>
      <c r="H1255" s="2">
        <v>15828.82173</v>
      </c>
      <c r="I1255" s="2">
        <f t="shared" si="133"/>
        <v>3165.7643459999999</v>
      </c>
      <c r="J1255" t="str">
        <f t="shared" si="134"/>
        <v>High</v>
      </c>
      <c r="K1255" s="1">
        <f t="shared" si="135"/>
        <v>0.74099999999999999</v>
      </c>
      <c r="L1255" t="str">
        <f t="shared" si="136"/>
        <v>Overweight</v>
      </c>
      <c r="M1255" t="str">
        <f t="shared" si="137"/>
        <v>Standard</v>
      </c>
      <c r="N1255" t="str">
        <f t="shared" si="138"/>
        <v>Tier 3</v>
      </c>
      <c r="O1255">
        <f t="shared" si="139"/>
        <v>1</v>
      </c>
    </row>
    <row r="1256" spans="1:15" x14ac:dyDescent="0.2">
      <c r="A1256">
        <v>34</v>
      </c>
      <c r="B1256" t="str" cm="1">
        <f t="array" ref="B1256">_xlfn.IFS(A1256&lt;=25,"18-25", A1256&lt;=35,"26-35", A1256&lt;=45,"36-45", A1256&lt;=55,"46-55", A1256&lt;=64,"56-64")</f>
        <v>26-35</v>
      </c>
      <c r="C1256" t="s">
        <v>7</v>
      </c>
      <c r="D1256">
        <v>27.72</v>
      </c>
      <c r="E1256">
        <v>0</v>
      </c>
      <c r="F1256" t="s">
        <v>11</v>
      </c>
      <c r="G1256" t="s">
        <v>51</v>
      </c>
      <c r="H1256" s="2">
        <v>4415.1588000000002</v>
      </c>
      <c r="I1256" s="2">
        <f t="shared" si="133"/>
        <v>4415.1588000000002</v>
      </c>
      <c r="J1256" t="str">
        <f t="shared" si="134"/>
        <v>Low</v>
      </c>
      <c r="K1256" s="1">
        <f t="shared" si="135"/>
        <v>0.224</v>
      </c>
      <c r="L1256" t="str">
        <f t="shared" si="136"/>
        <v>Overweight</v>
      </c>
      <c r="M1256" t="str">
        <f t="shared" si="137"/>
        <v>Standard</v>
      </c>
      <c r="N1256" t="str">
        <f t="shared" si="138"/>
        <v>Tier 1</v>
      </c>
      <c r="O1256">
        <f t="shared" si="139"/>
        <v>2</v>
      </c>
    </row>
    <row r="1257" spans="1:15" x14ac:dyDescent="0.2">
      <c r="A1257">
        <v>42</v>
      </c>
      <c r="B1257" t="str" cm="1">
        <f t="array" ref="B1257">_xlfn.IFS(A1257&lt;=25,"18-25", A1257&lt;=35,"26-35", A1257&lt;=45,"36-45", A1257&lt;=55,"46-55", A1257&lt;=64,"56-64")</f>
        <v>36-45</v>
      </c>
      <c r="C1257" t="s">
        <v>7</v>
      </c>
      <c r="D1257">
        <v>37.9</v>
      </c>
      <c r="E1257">
        <v>0</v>
      </c>
      <c r="F1257" t="s">
        <v>11</v>
      </c>
      <c r="G1257" t="s">
        <v>52</v>
      </c>
      <c r="H1257" s="2">
        <v>6474.0129999999999</v>
      </c>
      <c r="I1257" s="2">
        <f t="shared" si="133"/>
        <v>6474.0129999999999</v>
      </c>
      <c r="J1257" t="str">
        <f t="shared" si="134"/>
        <v>Low</v>
      </c>
      <c r="K1257" s="1">
        <f t="shared" si="135"/>
        <v>0.34699999999999998</v>
      </c>
      <c r="L1257" t="str">
        <f t="shared" si="136"/>
        <v>Obese</v>
      </c>
      <c r="M1257" t="str">
        <f t="shared" si="137"/>
        <v>Standard</v>
      </c>
      <c r="N1257" t="str">
        <f t="shared" si="138"/>
        <v>Tier 3</v>
      </c>
      <c r="O1257">
        <f t="shared" si="139"/>
        <v>2</v>
      </c>
    </row>
    <row r="1258" spans="1:15" x14ac:dyDescent="0.2">
      <c r="A1258">
        <v>51</v>
      </c>
      <c r="B1258" t="str" cm="1">
        <f t="array" ref="B1258">_xlfn.IFS(A1258&lt;=25,"18-25", A1258&lt;=35,"26-35", A1258&lt;=45,"36-45", A1258&lt;=55,"46-55", A1258&lt;=64,"56-64")</f>
        <v>46-55</v>
      </c>
      <c r="C1258" t="s">
        <v>7</v>
      </c>
      <c r="D1258">
        <v>36.384999999999998</v>
      </c>
      <c r="E1258">
        <v>3</v>
      </c>
      <c r="F1258" t="s">
        <v>11</v>
      </c>
      <c r="G1258" t="s">
        <v>54</v>
      </c>
      <c r="H1258" s="2">
        <v>11436.738149999999</v>
      </c>
      <c r="I1258" s="2">
        <f t="shared" si="133"/>
        <v>2859.1845374999998</v>
      </c>
      <c r="J1258" t="str">
        <f t="shared" si="134"/>
        <v>Low</v>
      </c>
      <c r="K1258" s="1">
        <f t="shared" si="135"/>
        <v>0.60099999999999998</v>
      </c>
      <c r="L1258" t="str">
        <f t="shared" si="136"/>
        <v>Obese</v>
      </c>
      <c r="M1258" t="str">
        <f t="shared" si="137"/>
        <v>Standard</v>
      </c>
      <c r="N1258" t="str">
        <f t="shared" si="138"/>
        <v>Tier 4</v>
      </c>
      <c r="O1258">
        <f t="shared" si="139"/>
        <v>2</v>
      </c>
    </row>
    <row r="1259" spans="1:15" x14ac:dyDescent="0.2">
      <c r="A1259">
        <v>54</v>
      </c>
      <c r="B1259" t="str" cm="1">
        <f t="array" ref="B1259">_xlfn.IFS(A1259&lt;=25,"18-25", A1259&lt;=35,"26-35", A1259&lt;=45,"36-45", A1259&lt;=55,"46-55", A1259&lt;=64,"56-64")</f>
        <v>46-55</v>
      </c>
      <c r="C1259" t="s">
        <v>7</v>
      </c>
      <c r="D1259">
        <v>27.645</v>
      </c>
      <c r="E1259">
        <v>1</v>
      </c>
      <c r="F1259" t="s">
        <v>11</v>
      </c>
      <c r="G1259" t="s">
        <v>54</v>
      </c>
      <c r="H1259" s="2">
        <v>11305.93455</v>
      </c>
      <c r="I1259" s="2">
        <f t="shared" si="133"/>
        <v>5652.967275</v>
      </c>
      <c r="J1259" t="str">
        <f t="shared" si="134"/>
        <v>Low</v>
      </c>
      <c r="K1259" s="1">
        <f t="shared" si="135"/>
        <v>0.59199999999999997</v>
      </c>
      <c r="L1259" t="str">
        <f t="shared" si="136"/>
        <v>Overweight</v>
      </c>
      <c r="M1259" t="str">
        <f t="shared" si="137"/>
        <v>Standard</v>
      </c>
      <c r="N1259" t="str">
        <f t="shared" si="138"/>
        <v>Tier 4</v>
      </c>
      <c r="O1259">
        <f t="shared" si="139"/>
        <v>1</v>
      </c>
    </row>
    <row r="1260" spans="1:15" x14ac:dyDescent="0.2">
      <c r="A1260">
        <v>55</v>
      </c>
      <c r="B1260" t="str" cm="1">
        <f t="array" ref="B1260">_xlfn.IFS(A1260&lt;=25,"18-25", A1260&lt;=35,"26-35", A1260&lt;=45,"36-45", A1260&lt;=55,"46-55", A1260&lt;=64,"56-64")</f>
        <v>46-55</v>
      </c>
      <c r="C1260" t="s">
        <v>10</v>
      </c>
      <c r="D1260">
        <v>37.715000000000003</v>
      </c>
      <c r="E1260">
        <v>3</v>
      </c>
      <c r="F1260" t="s">
        <v>11</v>
      </c>
      <c r="G1260" t="s">
        <v>54</v>
      </c>
      <c r="H1260" s="2">
        <v>30063.580549999999</v>
      </c>
      <c r="I1260" s="2">
        <f t="shared" si="133"/>
        <v>7515.8951374999997</v>
      </c>
      <c r="J1260" t="str">
        <f t="shared" si="134"/>
        <v>High</v>
      </c>
      <c r="K1260" s="1">
        <f t="shared" si="135"/>
        <v>0.879</v>
      </c>
      <c r="L1260" t="str">
        <f t="shared" si="136"/>
        <v>Obese</v>
      </c>
      <c r="M1260" t="str">
        <f t="shared" si="137"/>
        <v>Standard</v>
      </c>
      <c r="N1260" t="str">
        <f t="shared" si="138"/>
        <v>Tier 4</v>
      </c>
      <c r="O1260">
        <f t="shared" si="139"/>
        <v>2</v>
      </c>
    </row>
    <row r="1261" spans="1:15" x14ac:dyDescent="0.2">
      <c r="A1261">
        <v>52</v>
      </c>
      <c r="B1261" t="str" cm="1">
        <f t="array" ref="B1261">_xlfn.IFS(A1261&lt;=25,"18-25", A1261&lt;=35,"26-35", A1261&lt;=45,"36-45", A1261&lt;=55,"46-55", A1261&lt;=64,"56-64")</f>
        <v>46-55</v>
      </c>
      <c r="C1261" t="s">
        <v>7</v>
      </c>
      <c r="D1261">
        <v>23.18</v>
      </c>
      <c r="E1261">
        <v>0</v>
      </c>
      <c r="F1261" t="s">
        <v>11</v>
      </c>
      <c r="G1261" t="s">
        <v>53</v>
      </c>
      <c r="H1261" s="2">
        <v>10197.772199999999</v>
      </c>
      <c r="I1261" s="2">
        <f t="shared" si="133"/>
        <v>10197.772199999999</v>
      </c>
      <c r="J1261" t="str">
        <f t="shared" si="134"/>
        <v>Low</v>
      </c>
      <c r="K1261" s="1">
        <f t="shared" si="135"/>
        <v>0.54</v>
      </c>
      <c r="L1261" t="str">
        <f t="shared" si="136"/>
        <v>Normal</v>
      </c>
      <c r="M1261" t="str">
        <f t="shared" si="137"/>
        <v>Standard</v>
      </c>
      <c r="N1261" t="str">
        <f t="shared" si="138"/>
        <v>Tier 2</v>
      </c>
      <c r="O1261">
        <f t="shared" si="139"/>
        <v>0</v>
      </c>
    </row>
    <row r="1262" spans="1:15" x14ac:dyDescent="0.2">
      <c r="A1262">
        <v>32</v>
      </c>
      <c r="B1262" t="str" cm="1">
        <f t="array" ref="B1262">_xlfn.IFS(A1262&lt;=25,"18-25", A1262&lt;=35,"26-35", A1262&lt;=45,"36-45", A1262&lt;=55,"46-55", A1262&lt;=64,"56-64")</f>
        <v>26-35</v>
      </c>
      <c r="C1262" t="s">
        <v>7</v>
      </c>
      <c r="D1262">
        <v>20.52</v>
      </c>
      <c r="E1262">
        <v>0</v>
      </c>
      <c r="F1262" t="s">
        <v>11</v>
      </c>
      <c r="G1262" t="s">
        <v>53</v>
      </c>
      <c r="H1262" s="2">
        <v>4544.2348000000002</v>
      </c>
      <c r="I1262" s="2">
        <f t="shared" si="133"/>
        <v>4544.2348000000002</v>
      </c>
      <c r="J1262" t="str">
        <f t="shared" si="134"/>
        <v>Low</v>
      </c>
      <c r="K1262" s="1">
        <f t="shared" si="135"/>
        <v>0.23699999999999999</v>
      </c>
      <c r="L1262" t="str">
        <f t="shared" si="136"/>
        <v>Normal</v>
      </c>
      <c r="M1262" t="str">
        <f t="shared" si="137"/>
        <v>Standard</v>
      </c>
      <c r="N1262" t="str">
        <f t="shared" si="138"/>
        <v>Tier 2</v>
      </c>
      <c r="O1262">
        <f t="shared" si="139"/>
        <v>0</v>
      </c>
    </row>
    <row r="1263" spans="1:15" x14ac:dyDescent="0.2">
      <c r="A1263">
        <v>28</v>
      </c>
      <c r="B1263" t="str" cm="1">
        <f t="array" ref="B1263">_xlfn.IFS(A1263&lt;=25,"18-25", A1263&lt;=35,"26-35", A1263&lt;=45,"36-45", A1263&lt;=55,"46-55", A1263&lt;=64,"56-64")</f>
        <v>26-35</v>
      </c>
      <c r="C1263" t="s">
        <v>10</v>
      </c>
      <c r="D1263">
        <v>37.1</v>
      </c>
      <c r="E1263">
        <v>1</v>
      </c>
      <c r="F1263" t="s">
        <v>11</v>
      </c>
      <c r="G1263" t="s">
        <v>52</v>
      </c>
      <c r="H1263" s="2">
        <v>3277.1610000000001</v>
      </c>
      <c r="I1263" s="2">
        <f t="shared" si="133"/>
        <v>1638.5805</v>
      </c>
      <c r="J1263" t="str">
        <f t="shared" si="134"/>
        <v>Low</v>
      </c>
      <c r="K1263" s="1">
        <f t="shared" si="135"/>
        <v>0.159</v>
      </c>
      <c r="L1263" t="str">
        <f t="shared" si="136"/>
        <v>Obese</v>
      </c>
      <c r="M1263" t="str">
        <f t="shared" si="137"/>
        <v>Standard</v>
      </c>
      <c r="N1263" t="str">
        <f t="shared" si="138"/>
        <v>Tier 3</v>
      </c>
      <c r="O1263">
        <f t="shared" si="139"/>
        <v>2</v>
      </c>
    </row>
    <row r="1264" spans="1:15" x14ac:dyDescent="0.2">
      <c r="A1264">
        <v>41</v>
      </c>
      <c r="B1264" t="str" cm="1">
        <f t="array" ref="B1264">_xlfn.IFS(A1264&lt;=25,"18-25", A1264&lt;=35,"26-35", A1264&lt;=45,"36-45", A1264&lt;=55,"46-55", A1264&lt;=64,"56-64")</f>
        <v>36-45</v>
      </c>
      <c r="C1264" t="s">
        <v>7</v>
      </c>
      <c r="D1264">
        <v>28.05</v>
      </c>
      <c r="E1264">
        <v>1</v>
      </c>
      <c r="F1264" t="s">
        <v>11</v>
      </c>
      <c r="G1264" t="s">
        <v>51</v>
      </c>
      <c r="H1264" s="2">
        <v>6770.1925000000001</v>
      </c>
      <c r="I1264" s="2">
        <f t="shared" si="133"/>
        <v>3385.0962500000001</v>
      </c>
      <c r="J1264" t="str">
        <f t="shared" si="134"/>
        <v>Low</v>
      </c>
      <c r="K1264" s="1">
        <f t="shared" si="135"/>
        <v>0.36399999999999999</v>
      </c>
      <c r="L1264" t="str">
        <f t="shared" si="136"/>
        <v>Overweight</v>
      </c>
      <c r="M1264" t="str">
        <f t="shared" si="137"/>
        <v>Standard</v>
      </c>
      <c r="N1264" t="str">
        <f t="shared" si="138"/>
        <v>Tier 1</v>
      </c>
      <c r="O1264">
        <f t="shared" si="139"/>
        <v>2</v>
      </c>
    </row>
    <row r="1265" spans="1:15" x14ac:dyDescent="0.2">
      <c r="A1265">
        <v>43</v>
      </c>
      <c r="B1265" t="str" cm="1">
        <f t="array" ref="B1265">_xlfn.IFS(A1265&lt;=25,"18-25", A1265&lt;=35,"26-35", A1265&lt;=45,"36-45", A1265&lt;=55,"46-55", A1265&lt;=64,"56-64")</f>
        <v>36-45</v>
      </c>
      <c r="C1265" t="s">
        <v>7</v>
      </c>
      <c r="D1265">
        <v>29.9</v>
      </c>
      <c r="E1265">
        <v>1</v>
      </c>
      <c r="F1265" t="s">
        <v>11</v>
      </c>
      <c r="G1265" t="s">
        <v>52</v>
      </c>
      <c r="H1265" s="2">
        <v>7337.7479999999996</v>
      </c>
      <c r="I1265" s="2">
        <f t="shared" si="133"/>
        <v>3668.8739999999998</v>
      </c>
      <c r="J1265" t="str">
        <f t="shared" si="134"/>
        <v>Low</v>
      </c>
      <c r="K1265" s="1">
        <f t="shared" si="135"/>
        <v>0.39600000000000002</v>
      </c>
      <c r="L1265" t="str">
        <f t="shared" si="136"/>
        <v>Overweight</v>
      </c>
      <c r="M1265" t="str">
        <f t="shared" si="137"/>
        <v>Standard</v>
      </c>
      <c r="N1265" t="str">
        <f t="shared" si="138"/>
        <v>Tier 3</v>
      </c>
      <c r="O1265">
        <f t="shared" si="139"/>
        <v>1</v>
      </c>
    </row>
    <row r="1266" spans="1:15" x14ac:dyDescent="0.2">
      <c r="A1266">
        <v>49</v>
      </c>
      <c r="B1266" t="str" cm="1">
        <f t="array" ref="B1266">_xlfn.IFS(A1266&lt;=25,"18-25", A1266&lt;=35,"26-35", A1266&lt;=45,"36-45", A1266&lt;=55,"46-55", A1266&lt;=64,"56-64")</f>
        <v>46-55</v>
      </c>
      <c r="C1266" t="s">
        <v>7</v>
      </c>
      <c r="D1266">
        <v>33.344999999999999</v>
      </c>
      <c r="E1266">
        <v>2</v>
      </c>
      <c r="F1266" t="s">
        <v>11</v>
      </c>
      <c r="G1266" t="s">
        <v>53</v>
      </c>
      <c r="H1266" s="2">
        <v>10370.912549999999</v>
      </c>
      <c r="I1266" s="2">
        <f t="shared" si="133"/>
        <v>3456.9708499999997</v>
      </c>
      <c r="J1266" t="str">
        <f t="shared" si="134"/>
        <v>Low</v>
      </c>
      <c r="K1266" s="1">
        <f t="shared" si="135"/>
        <v>0.54700000000000004</v>
      </c>
      <c r="L1266" t="str">
        <f t="shared" si="136"/>
        <v>Obese</v>
      </c>
      <c r="M1266" t="str">
        <f t="shared" si="137"/>
        <v>Standard</v>
      </c>
      <c r="N1266" t="str">
        <f t="shared" si="138"/>
        <v>Tier 2</v>
      </c>
      <c r="O1266">
        <f t="shared" si="139"/>
        <v>2</v>
      </c>
    </row>
    <row r="1267" spans="1:15" x14ac:dyDescent="0.2">
      <c r="A1267">
        <v>64</v>
      </c>
      <c r="B1267" t="str" cm="1">
        <f t="array" ref="B1267">_xlfn.IFS(A1267&lt;=25,"18-25", A1267&lt;=35,"26-35", A1267&lt;=45,"36-45", A1267&lt;=55,"46-55", A1267&lt;=64,"56-64")</f>
        <v>56-64</v>
      </c>
      <c r="C1267" t="s">
        <v>10</v>
      </c>
      <c r="D1267">
        <v>23.76</v>
      </c>
      <c r="E1267">
        <v>0</v>
      </c>
      <c r="F1267" t="s">
        <v>8</v>
      </c>
      <c r="G1267" t="s">
        <v>51</v>
      </c>
      <c r="H1267" s="2">
        <v>26926.5144</v>
      </c>
      <c r="I1267" s="2">
        <f t="shared" si="133"/>
        <v>26926.5144</v>
      </c>
      <c r="J1267" t="str">
        <f t="shared" si="134"/>
        <v>High</v>
      </c>
      <c r="K1267" s="1">
        <f t="shared" si="135"/>
        <v>0.86099999999999999</v>
      </c>
      <c r="L1267" t="str">
        <f t="shared" si="136"/>
        <v>Normal</v>
      </c>
      <c r="M1267" t="str">
        <f t="shared" si="137"/>
        <v>High Risk</v>
      </c>
      <c r="N1267" t="str">
        <f t="shared" si="138"/>
        <v>Tier 1</v>
      </c>
      <c r="O1267">
        <f t="shared" si="139"/>
        <v>4</v>
      </c>
    </row>
    <row r="1268" spans="1:15" x14ac:dyDescent="0.2">
      <c r="A1268">
        <v>55</v>
      </c>
      <c r="B1268" t="str" cm="1">
        <f t="array" ref="B1268">_xlfn.IFS(A1268&lt;=25,"18-25", A1268&lt;=35,"26-35", A1268&lt;=45,"36-45", A1268&lt;=55,"46-55", A1268&lt;=64,"56-64")</f>
        <v>46-55</v>
      </c>
      <c r="C1268" t="s">
        <v>7</v>
      </c>
      <c r="D1268">
        <v>30.5</v>
      </c>
      <c r="E1268">
        <v>0</v>
      </c>
      <c r="F1268" t="s">
        <v>11</v>
      </c>
      <c r="G1268" t="s">
        <v>52</v>
      </c>
      <c r="H1268" s="2">
        <v>10704.47</v>
      </c>
      <c r="I1268" s="2">
        <f t="shared" si="133"/>
        <v>10704.47</v>
      </c>
      <c r="J1268" t="str">
        <f t="shared" si="134"/>
        <v>Low</v>
      </c>
      <c r="K1268" s="1">
        <f t="shared" si="135"/>
        <v>0.56200000000000006</v>
      </c>
      <c r="L1268" t="str">
        <f t="shared" si="136"/>
        <v>Obese</v>
      </c>
      <c r="M1268" t="str">
        <f t="shared" si="137"/>
        <v>Standard</v>
      </c>
      <c r="N1268" t="str">
        <f t="shared" si="138"/>
        <v>Tier 3</v>
      </c>
      <c r="O1268">
        <f t="shared" si="139"/>
        <v>2</v>
      </c>
    </row>
    <row r="1269" spans="1:15" x14ac:dyDescent="0.2">
      <c r="A1269">
        <v>24</v>
      </c>
      <c r="B1269" t="str" cm="1">
        <f t="array" ref="B1269">_xlfn.IFS(A1269&lt;=25,"18-25", A1269&lt;=35,"26-35", A1269&lt;=45,"36-45", A1269&lt;=55,"46-55", A1269&lt;=64,"56-64")</f>
        <v>18-25</v>
      </c>
      <c r="C1269" t="s">
        <v>10</v>
      </c>
      <c r="D1269">
        <v>31.065000000000001</v>
      </c>
      <c r="E1269">
        <v>0</v>
      </c>
      <c r="F1269" t="s">
        <v>8</v>
      </c>
      <c r="G1269" t="s">
        <v>53</v>
      </c>
      <c r="H1269" s="2">
        <v>34254.053350000002</v>
      </c>
      <c r="I1269" s="2">
        <f t="shared" si="133"/>
        <v>34254.053350000002</v>
      </c>
      <c r="J1269" t="str">
        <f t="shared" si="134"/>
        <v>High</v>
      </c>
      <c r="K1269" s="1">
        <f t="shared" si="135"/>
        <v>0.89300000000000002</v>
      </c>
      <c r="L1269" t="str">
        <f t="shared" si="136"/>
        <v>Obese</v>
      </c>
      <c r="M1269" t="str">
        <f t="shared" si="137"/>
        <v>High Risk</v>
      </c>
      <c r="N1269" t="str">
        <f t="shared" si="138"/>
        <v>Tier 2</v>
      </c>
      <c r="O1269">
        <f t="shared" si="139"/>
        <v>5</v>
      </c>
    </row>
    <row r="1270" spans="1:15" x14ac:dyDescent="0.2">
      <c r="A1270">
        <v>20</v>
      </c>
      <c r="B1270" t="str" cm="1">
        <f t="array" ref="B1270">_xlfn.IFS(A1270&lt;=25,"18-25", A1270&lt;=35,"26-35", A1270&lt;=45,"36-45", A1270&lt;=55,"46-55", A1270&lt;=64,"56-64")</f>
        <v>18-25</v>
      </c>
      <c r="C1270" t="s">
        <v>7</v>
      </c>
      <c r="D1270">
        <v>33.299999999999997</v>
      </c>
      <c r="E1270">
        <v>0</v>
      </c>
      <c r="F1270" t="s">
        <v>11</v>
      </c>
      <c r="G1270" t="s">
        <v>52</v>
      </c>
      <c r="H1270" s="2">
        <v>1880.4870000000001</v>
      </c>
      <c r="I1270" s="2">
        <f t="shared" si="133"/>
        <v>1880.4870000000001</v>
      </c>
      <c r="J1270" t="str">
        <f t="shared" si="134"/>
        <v>Low</v>
      </c>
      <c r="K1270" s="1">
        <f t="shared" si="135"/>
        <v>5.8999999999999997E-2</v>
      </c>
      <c r="L1270" t="str">
        <f t="shared" si="136"/>
        <v>Obese</v>
      </c>
      <c r="M1270" t="str">
        <f t="shared" si="137"/>
        <v>Standard</v>
      </c>
      <c r="N1270" t="str">
        <f t="shared" si="138"/>
        <v>Tier 3</v>
      </c>
      <c r="O1270">
        <f t="shared" si="139"/>
        <v>2</v>
      </c>
    </row>
    <row r="1271" spans="1:15" x14ac:dyDescent="0.2">
      <c r="A1271">
        <v>45</v>
      </c>
      <c r="B1271" t="str" cm="1">
        <f t="array" ref="B1271">_xlfn.IFS(A1271&lt;=25,"18-25", A1271&lt;=35,"26-35", A1271&lt;=45,"36-45", A1271&lt;=55,"46-55", A1271&lt;=64,"56-64")</f>
        <v>36-45</v>
      </c>
      <c r="C1271" t="s">
        <v>10</v>
      </c>
      <c r="D1271">
        <v>27.5</v>
      </c>
      <c r="E1271">
        <v>3</v>
      </c>
      <c r="F1271" t="s">
        <v>11</v>
      </c>
      <c r="G1271" t="s">
        <v>52</v>
      </c>
      <c r="H1271" s="2">
        <v>8615.2999999999993</v>
      </c>
      <c r="I1271" s="2">
        <f t="shared" si="133"/>
        <v>2153.8249999999998</v>
      </c>
      <c r="J1271" t="str">
        <f t="shared" si="134"/>
        <v>Low</v>
      </c>
      <c r="K1271" s="1">
        <f t="shared" si="135"/>
        <v>0.46600000000000003</v>
      </c>
      <c r="L1271" t="str">
        <f t="shared" si="136"/>
        <v>Overweight</v>
      </c>
      <c r="M1271" t="str">
        <f t="shared" si="137"/>
        <v>Standard</v>
      </c>
      <c r="N1271" t="str">
        <f t="shared" si="138"/>
        <v>Tier 3</v>
      </c>
      <c r="O1271">
        <f t="shared" si="139"/>
        <v>1</v>
      </c>
    </row>
    <row r="1272" spans="1:15" x14ac:dyDescent="0.2">
      <c r="A1272">
        <v>26</v>
      </c>
      <c r="B1272" t="str" cm="1">
        <f t="array" ref="B1272">_xlfn.IFS(A1272&lt;=25,"18-25", A1272&lt;=35,"26-35", A1272&lt;=45,"36-45", A1272&lt;=55,"46-55", A1272&lt;=64,"56-64")</f>
        <v>26-35</v>
      </c>
      <c r="C1272" t="s">
        <v>10</v>
      </c>
      <c r="D1272">
        <v>33.914999999999999</v>
      </c>
      <c r="E1272">
        <v>1</v>
      </c>
      <c r="F1272" t="s">
        <v>11</v>
      </c>
      <c r="G1272" t="s">
        <v>54</v>
      </c>
      <c r="H1272" s="2">
        <v>3292.5298499999999</v>
      </c>
      <c r="I1272" s="2">
        <f t="shared" si="133"/>
        <v>1646.2649249999999</v>
      </c>
      <c r="J1272" t="str">
        <f t="shared" si="134"/>
        <v>Low</v>
      </c>
      <c r="K1272" s="1">
        <f t="shared" si="135"/>
        <v>0.16</v>
      </c>
      <c r="L1272" t="str">
        <f t="shared" si="136"/>
        <v>Obese</v>
      </c>
      <c r="M1272" t="str">
        <f t="shared" si="137"/>
        <v>Standard</v>
      </c>
      <c r="N1272" t="str">
        <f t="shared" si="138"/>
        <v>Tier 4</v>
      </c>
      <c r="O1272">
        <f t="shared" si="139"/>
        <v>2</v>
      </c>
    </row>
    <row r="1273" spans="1:15" x14ac:dyDescent="0.2">
      <c r="A1273">
        <v>25</v>
      </c>
      <c r="B1273" t="str" cm="1">
        <f t="array" ref="B1273">_xlfn.IFS(A1273&lt;=25,"18-25", A1273&lt;=35,"26-35", A1273&lt;=45,"36-45", A1273&lt;=55,"46-55", A1273&lt;=64,"56-64")</f>
        <v>18-25</v>
      </c>
      <c r="C1273" t="s">
        <v>7</v>
      </c>
      <c r="D1273">
        <v>34.484999999999999</v>
      </c>
      <c r="E1273">
        <v>0</v>
      </c>
      <c r="F1273" t="s">
        <v>11</v>
      </c>
      <c r="G1273" t="s">
        <v>54</v>
      </c>
      <c r="H1273" s="2">
        <v>3021.80915</v>
      </c>
      <c r="I1273" s="2">
        <f t="shared" si="133"/>
        <v>3021.80915</v>
      </c>
      <c r="J1273" t="str">
        <f t="shared" si="134"/>
        <v>Low</v>
      </c>
      <c r="K1273" s="1">
        <f t="shared" si="135"/>
        <v>0.14199999999999999</v>
      </c>
      <c r="L1273" t="str">
        <f t="shared" si="136"/>
        <v>Obese</v>
      </c>
      <c r="M1273" t="str">
        <f t="shared" si="137"/>
        <v>Standard</v>
      </c>
      <c r="N1273" t="str">
        <f t="shared" si="138"/>
        <v>Tier 4</v>
      </c>
      <c r="O1273">
        <f t="shared" si="139"/>
        <v>2</v>
      </c>
    </row>
    <row r="1274" spans="1:15" x14ac:dyDescent="0.2">
      <c r="A1274">
        <v>43</v>
      </c>
      <c r="B1274" t="str" cm="1">
        <f t="array" ref="B1274">_xlfn.IFS(A1274&lt;=25,"18-25", A1274&lt;=35,"26-35", A1274&lt;=45,"36-45", A1274&lt;=55,"46-55", A1274&lt;=64,"56-64")</f>
        <v>36-45</v>
      </c>
      <c r="C1274" t="s">
        <v>10</v>
      </c>
      <c r="D1274">
        <v>25.52</v>
      </c>
      <c r="E1274">
        <v>5</v>
      </c>
      <c r="F1274" t="s">
        <v>11</v>
      </c>
      <c r="G1274" t="s">
        <v>51</v>
      </c>
      <c r="H1274" s="2">
        <v>14478.33015</v>
      </c>
      <c r="I1274" s="2">
        <f t="shared" si="133"/>
        <v>2413.0550250000001</v>
      </c>
      <c r="J1274" t="str">
        <f t="shared" si="134"/>
        <v>High</v>
      </c>
      <c r="K1274" s="1">
        <f t="shared" si="135"/>
        <v>0.72699999999999998</v>
      </c>
      <c r="L1274" t="str">
        <f t="shared" si="136"/>
        <v>Overweight</v>
      </c>
      <c r="M1274" t="str">
        <f t="shared" si="137"/>
        <v>Standard</v>
      </c>
      <c r="N1274" t="str">
        <f t="shared" si="138"/>
        <v>Tier 1</v>
      </c>
      <c r="O1274">
        <f t="shared" si="139"/>
        <v>2</v>
      </c>
    </row>
    <row r="1275" spans="1:15" x14ac:dyDescent="0.2">
      <c r="A1275">
        <v>35</v>
      </c>
      <c r="B1275" t="str" cm="1">
        <f t="array" ref="B1275">_xlfn.IFS(A1275&lt;=25,"18-25", A1275&lt;=35,"26-35", A1275&lt;=45,"36-45", A1275&lt;=55,"46-55", A1275&lt;=64,"56-64")</f>
        <v>26-35</v>
      </c>
      <c r="C1275" t="s">
        <v>10</v>
      </c>
      <c r="D1275">
        <v>27.61</v>
      </c>
      <c r="E1275">
        <v>1</v>
      </c>
      <c r="F1275" t="s">
        <v>11</v>
      </c>
      <c r="G1275" t="s">
        <v>51</v>
      </c>
      <c r="H1275" s="2">
        <v>4747.0528999999997</v>
      </c>
      <c r="I1275" s="2">
        <f t="shared" si="133"/>
        <v>2373.5264499999998</v>
      </c>
      <c r="J1275" t="str">
        <f t="shared" si="134"/>
        <v>Low</v>
      </c>
      <c r="K1275" s="1">
        <f t="shared" si="135"/>
        <v>0.251</v>
      </c>
      <c r="L1275" t="str">
        <f t="shared" si="136"/>
        <v>Overweight</v>
      </c>
      <c r="M1275" t="str">
        <f t="shared" si="137"/>
        <v>Standard</v>
      </c>
      <c r="N1275" t="str">
        <f t="shared" si="138"/>
        <v>Tier 1</v>
      </c>
      <c r="O1275">
        <f t="shared" si="139"/>
        <v>2</v>
      </c>
    </row>
    <row r="1276" spans="1:15" x14ac:dyDescent="0.2">
      <c r="A1276">
        <v>26</v>
      </c>
      <c r="B1276" t="str" cm="1">
        <f t="array" ref="B1276">_xlfn.IFS(A1276&lt;=25,"18-25", A1276&lt;=35,"26-35", A1276&lt;=45,"36-45", A1276&lt;=55,"46-55", A1276&lt;=64,"56-64")</f>
        <v>26-35</v>
      </c>
      <c r="C1276" t="s">
        <v>10</v>
      </c>
      <c r="D1276">
        <v>27.06</v>
      </c>
      <c r="E1276">
        <v>0</v>
      </c>
      <c r="F1276" t="s">
        <v>8</v>
      </c>
      <c r="G1276" t="s">
        <v>51</v>
      </c>
      <c r="H1276" s="2">
        <v>17043.341400000001</v>
      </c>
      <c r="I1276" s="2">
        <f t="shared" si="133"/>
        <v>17043.341400000001</v>
      </c>
      <c r="J1276" t="str">
        <f t="shared" si="134"/>
        <v>High</v>
      </c>
      <c r="K1276" s="1">
        <f t="shared" si="135"/>
        <v>0.753</v>
      </c>
      <c r="L1276" t="str">
        <f t="shared" si="136"/>
        <v>Overweight</v>
      </c>
      <c r="M1276" t="str">
        <f t="shared" si="137"/>
        <v>High Risk</v>
      </c>
      <c r="N1276" t="str">
        <f t="shared" si="138"/>
        <v>Tier 1</v>
      </c>
      <c r="O1276">
        <f t="shared" si="139"/>
        <v>5</v>
      </c>
    </row>
    <row r="1277" spans="1:15" x14ac:dyDescent="0.2">
      <c r="A1277">
        <v>57</v>
      </c>
      <c r="B1277" t="str" cm="1">
        <f t="array" ref="B1277">_xlfn.IFS(A1277&lt;=25,"18-25", A1277&lt;=35,"26-35", A1277&lt;=45,"36-45", A1277&lt;=55,"46-55", A1277&lt;=64,"56-64")</f>
        <v>56-64</v>
      </c>
      <c r="C1277" t="s">
        <v>10</v>
      </c>
      <c r="D1277">
        <v>23.7</v>
      </c>
      <c r="E1277">
        <v>0</v>
      </c>
      <c r="F1277" t="s">
        <v>11</v>
      </c>
      <c r="G1277" t="s">
        <v>52</v>
      </c>
      <c r="H1277" s="2">
        <v>10959.33</v>
      </c>
      <c r="I1277" s="2">
        <f t="shared" si="133"/>
        <v>10959.33</v>
      </c>
      <c r="J1277" t="str">
        <f t="shared" si="134"/>
        <v>Low</v>
      </c>
      <c r="K1277" s="1">
        <f t="shared" si="135"/>
        <v>0.57199999999999995</v>
      </c>
      <c r="L1277" t="str">
        <f t="shared" si="136"/>
        <v>Normal</v>
      </c>
      <c r="M1277" t="str">
        <f t="shared" si="137"/>
        <v>Standard</v>
      </c>
      <c r="N1277" t="str">
        <f t="shared" si="138"/>
        <v>Tier 3</v>
      </c>
      <c r="O1277">
        <f t="shared" si="139"/>
        <v>0</v>
      </c>
    </row>
    <row r="1278" spans="1:15" x14ac:dyDescent="0.2">
      <c r="A1278">
        <v>22</v>
      </c>
      <c r="B1278" t="str" cm="1">
        <f t="array" ref="B1278">_xlfn.IFS(A1278&lt;=25,"18-25", A1278&lt;=35,"26-35", A1278&lt;=45,"36-45", A1278&lt;=55,"46-55", A1278&lt;=64,"56-64")</f>
        <v>18-25</v>
      </c>
      <c r="C1278" t="s">
        <v>7</v>
      </c>
      <c r="D1278">
        <v>30.4</v>
      </c>
      <c r="E1278">
        <v>0</v>
      </c>
      <c r="F1278" t="s">
        <v>11</v>
      </c>
      <c r="G1278" t="s">
        <v>53</v>
      </c>
      <c r="H1278" s="2">
        <v>2741.9479999999999</v>
      </c>
      <c r="I1278" s="2">
        <f t="shared" si="133"/>
        <v>2741.9479999999999</v>
      </c>
      <c r="J1278" t="str">
        <f t="shared" si="134"/>
        <v>Low</v>
      </c>
      <c r="K1278" s="1">
        <f t="shared" si="135"/>
        <v>0.129</v>
      </c>
      <c r="L1278" t="str">
        <f t="shared" si="136"/>
        <v>Obese</v>
      </c>
      <c r="M1278" t="str">
        <f t="shared" si="137"/>
        <v>Standard</v>
      </c>
      <c r="N1278" t="str">
        <f t="shared" si="138"/>
        <v>Tier 2</v>
      </c>
      <c r="O1278">
        <f t="shared" si="139"/>
        <v>2</v>
      </c>
    </row>
    <row r="1279" spans="1:15" x14ac:dyDescent="0.2">
      <c r="A1279">
        <v>32</v>
      </c>
      <c r="B1279" t="str" cm="1">
        <f t="array" ref="B1279">_xlfn.IFS(A1279&lt;=25,"18-25", A1279&lt;=35,"26-35", A1279&lt;=45,"36-45", A1279&lt;=55,"46-55", A1279&lt;=64,"56-64")</f>
        <v>26-35</v>
      </c>
      <c r="C1279" t="s">
        <v>7</v>
      </c>
      <c r="D1279">
        <v>29.734999999999999</v>
      </c>
      <c r="E1279">
        <v>0</v>
      </c>
      <c r="F1279" t="s">
        <v>11</v>
      </c>
      <c r="G1279" t="s">
        <v>54</v>
      </c>
      <c r="H1279" s="2">
        <v>4357.0436499999996</v>
      </c>
      <c r="I1279" s="2">
        <f t="shared" si="133"/>
        <v>4357.0436499999996</v>
      </c>
      <c r="J1279" t="str">
        <f t="shared" si="134"/>
        <v>Low</v>
      </c>
      <c r="K1279" s="1">
        <f t="shared" si="135"/>
        <v>0.221</v>
      </c>
      <c r="L1279" t="str">
        <f t="shared" si="136"/>
        <v>Overweight</v>
      </c>
      <c r="M1279" t="str">
        <f t="shared" si="137"/>
        <v>Standard</v>
      </c>
      <c r="N1279" t="str">
        <f t="shared" si="138"/>
        <v>Tier 4</v>
      </c>
      <c r="O1279">
        <f t="shared" si="139"/>
        <v>1</v>
      </c>
    </row>
    <row r="1280" spans="1:15" x14ac:dyDescent="0.2">
      <c r="A1280">
        <v>39</v>
      </c>
      <c r="B1280" t="str" cm="1">
        <f t="array" ref="B1280">_xlfn.IFS(A1280&lt;=25,"18-25", A1280&lt;=35,"26-35", A1280&lt;=45,"36-45", A1280&lt;=55,"46-55", A1280&lt;=64,"56-64")</f>
        <v>36-45</v>
      </c>
      <c r="C1280" t="s">
        <v>10</v>
      </c>
      <c r="D1280">
        <v>29.925000000000001</v>
      </c>
      <c r="E1280">
        <v>1</v>
      </c>
      <c r="F1280" t="s">
        <v>8</v>
      </c>
      <c r="G1280" t="s">
        <v>53</v>
      </c>
      <c r="H1280" s="2">
        <v>22462.043750000001</v>
      </c>
      <c r="I1280" s="2">
        <f t="shared" si="133"/>
        <v>11231.021875</v>
      </c>
      <c r="J1280" t="str">
        <f t="shared" si="134"/>
        <v>High</v>
      </c>
      <c r="K1280" s="1">
        <f t="shared" si="135"/>
        <v>0.82599999999999996</v>
      </c>
      <c r="L1280" t="str">
        <f t="shared" si="136"/>
        <v>Overweight</v>
      </c>
      <c r="M1280" t="str">
        <f t="shared" si="137"/>
        <v>High Risk</v>
      </c>
      <c r="N1280" t="str">
        <f t="shared" si="138"/>
        <v>Tier 2</v>
      </c>
      <c r="O1280">
        <f t="shared" si="139"/>
        <v>4</v>
      </c>
    </row>
    <row r="1281" spans="1:15" x14ac:dyDescent="0.2">
      <c r="A1281">
        <v>25</v>
      </c>
      <c r="B1281" t="str" cm="1">
        <f t="array" ref="B1281">_xlfn.IFS(A1281&lt;=25,"18-25", A1281&lt;=35,"26-35", A1281&lt;=45,"36-45", A1281&lt;=55,"46-55", A1281&lt;=64,"56-64")</f>
        <v>18-25</v>
      </c>
      <c r="C1281" t="s">
        <v>7</v>
      </c>
      <c r="D1281">
        <v>26.79</v>
      </c>
      <c r="E1281">
        <v>2</v>
      </c>
      <c r="F1281" t="s">
        <v>11</v>
      </c>
      <c r="G1281" t="s">
        <v>54</v>
      </c>
      <c r="H1281" s="2">
        <v>4189.1130999999996</v>
      </c>
      <c r="I1281" s="2">
        <f t="shared" si="133"/>
        <v>1396.3710333333331</v>
      </c>
      <c r="J1281" t="str">
        <f t="shared" si="134"/>
        <v>Low</v>
      </c>
      <c r="K1281" s="1">
        <f t="shared" si="135"/>
        <v>0.21</v>
      </c>
      <c r="L1281" t="str">
        <f t="shared" si="136"/>
        <v>Overweight</v>
      </c>
      <c r="M1281" t="str">
        <f t="shared" si="137"/>
        <v>Standard</v>
      </c>
      <c r="N1281" t="str">
        <f t="shared" si="138"/>
        <v>Tier 4</v>
      </c>
      <c r="O1281">
        <f t="shared" si="139"/>
        <v>1</v>
      </c>
    </row>
    <row r="1282" spans="1:15" x14ac:dyDescent="0.2">
      <c r="A1282">
        <v>48</v>
      </c>
      <c r="B1282" t="str" cm="1">
        <f t="array" ref="B1282">_xlfn.IFS(A1282&lt;=25,"18-25", A1282&lt;=35,"26-35", A1282&lt;=45,"36-45", A1282&lt;=55,"46-55", A1282&lt;=64,"56-64")</f>
        <v>46-55</v>
      </c>
      <c r="C1282" t="s">
        <v>7</v>
      </c>
      <c r="D1282">
        <v>33.33</v>
      </c>
      <c r="E1282">
        <v>0</v>
      </c>
      <c r="F1282" t="s">
        <v>11</v>
      </c>
      <c r="G1282" t="s">
        <v>51</v>
      </c>
      <c r="H1282" s="2">
        <v>8283.6807000000008</v>
      </c>
      <c r="I1282" s="2">
        <f t="shared" ref="I1282:I1339" si="140">H1282/(E1282+1)</f>
        <v>8283.6807000000008</v>
      </c>
      <c r="J1282" t="str">
        <f t="shared" ref="J1282:J1339" si="141">IF(H1282&gt;AVERAGE($H$2:$H$1339),"High","Low")</f>
        <v>Low</v>
      </c>
      <c r="K1282" s="1">
        <f t="shared" ref="K1282:K1339" si="142">PERCENTRANK($H$2:$H$1339,H1282)</f>
        <v>0.442</v>
      </c>
      <c r="L1282" t="str">
        <f t="shared" ref="L1282:L1339" si="143">IF(D1282&lt;18.5,"Underweight",IF(D1282&lt;25,"Normal",IF(D1282&lt;30,"Overweight","Obese")))</f>
        <v>Obese</v>
      </c>
      <c r="M1282" t="str">
        <f t="shared" ref="M1282:M1339" si="144">IF(F1282="yes","High Risk","Standard")</f>
        <v>Standard</v>
      </c>
      <c r="N1282" t="str">
        <f t="shared" ref="N1282:N1339" si="145">IF(G1282="southeast","Tier 1",IF(G1282="northeast","Tier 2",IF(G1282="southwest","Tier 3","Tier 4")))</f>
        <v>Tier 1</v>
      </c>
      <c r="O1282">
        <f t="shared" ref="O1282:O1339" si="146">IF(F1282="yes",3,0)+IF(D1282&gt;=30,2,IF(D1282&gt;=25,1,0))+IF(G1282="southeast",1,0)</f>
        <v>3</v>
      </c>
    </row>
    <row r="1283" spans="1:15" x14ac:dyDescent="0.2">
      <c r="A1283">
        <v>47</v>
      </c>
      <c r="B1283" t="str" cm="1">
        <f t="array" ref="B1283">_xlfn.IFS(A1283&lt;=25,"18-25", A1283&lt;=35,"26-35", A1283&lt;=45,"36-45", A1283&lt;=55,"46-55", A1283&lt;=64,"56-64")</f>
        <v>46-55</v>
      </c>
      <c r="C1283" t="s">
        <v>7</v>
      </c>
      <c r="D1283">
        <v>27.645</v>
      </c>
      <c r="E1283">
        <v>2</v>
      </c>
      <c r="F1283" t="s">
        <v>8</v>
      </c>
      <c r="G1283" t="s">
        <v>54</v>
      </c>
      <c r="H1283" s="2">
        <v>24535.698550000001</v>
      </c>
      <c r="I1283" s="2">
        <f t="shared" si="140"/>
        <v>8178.5661833333334</v>
      </c>
      <c r="J1283" t="str">
        <f t="shared" si="141"/>
        <v>High</v>
      </c>
      <c r="K1283" s="1">
        <f t="shared" si="142"/>
        <v>0.84399999999999997</v>
      </c>
      <c r="L1283" t="str">
        <f t="shared" si="143"/>
        <v>Overweight</v>
      </c>
      <c r="M1283" t="str">
        <f t="shared" si="144"/>
        <v>High Risk</v>
      </c>
      <c r="N1283" t="str">
        <f t="shared" si="145"/>
        <v>Tier 4</v>
      </c>
      <c r="O1283">
        <f t="shared" si="146"/>
        <v>4</v>
      </c>
    </row>
    <row r="1284" spans="1:15" x14ac:dyDescent="0.2">
      <c r="A1284">
        <v>18</v>
      </c>
      <c r="B1284" t="str" cm="1">
        <f t="array" ref="B1284">_xlfn.IFS(A1284&lt;=25,"18-25", A1284&lt;=35,"26-35", A1284&lt;=45,"36-45", A1284&lt;=55,"46-55", A1284&lt;=64,"56-64")</f>
        <v>18-25</v>
      </c>
      <c r="C1284" t="s">
        <v>7</v>
      </c>
      <c r="D1284">
        <v>21.66</v>
      </c>
      <c r="E1284">
        <v>0</v>
      </c>
      <c r="F1284" t="s">
        <v>8</v>
      </c>
      <c r="G1284" t="s">
        <v>53</v>
      </c>
      <c r="H1284" s="2">
        <v>14283.4594</v>
      </c>
      <c r="I1284" s="2">
        <f t="shared" si="140"/>
        <v>14283.4594</v>
      </c>
      <c r="J1284" t="str">
        <f t="shared" si="141"/>
        <v>High</v>
      </c>
      <c r="K1284" s="1">
        <f t="shared" si="142"/>
        <v>0.71599999999999997</v>
      </c>
      <c r="L1284" t="str">
        <f t="shared" si="143"/>
        <v>Normal</v>
      </c>
      <c r="M1284" t="str">
        <f t="shared" si="144"/>
        <v>High Risk</v>
      </c>
      <c r="N1284" t="str">
        <f t="shared" si="145"/>
        <v>Tier 2</v>
      </c>
      <c r="O1284">
        <f t="shared" si="146"/>
        <v>3</v>
      </c>
    </row>
    <row r="1285" spans="1:15" x14ac:dyDescent="0.2">
      <c r="A1285">
        <v>18</v>
      </c>
      <c r="B1285" t="str" cm="1">
        <f t="array" ref="B1285">_xlfn.IFS(A1285&lt;=25,"18-25", A1285&lt;=35,"26-35", A1285&lt;=45,"36-45", A1285&lt;=55,"46-55", A1285&lt;=64,"56-64")</f>
        <v>18-25</v>
      </c>
      <c r="C1285" t="s">
        <v>10</v>
      </c>
      <c r="D1285">
        <v>30.03</v>
      </c>
      <c r="E1285">
        <v>1</v>
      </c>
      <c r="F1285" t="s">
        <v>11</v>
      </c>
      <c r="G1285" t="s">
        <v>51</v>
      </c>
      <c r="H1285" s="2">
        <v>1720.3536999999999</v>
      </c>
      <c r="I1285" s="2">
        <f t="shared" si="140"/>
        <v>860.17684999999994</v>
      </c>
      <c r="J1285" t="str">
        <f t="shared" si="141"/>
        <v>Low</v>
      </c>
      <c r="K1285" s="1">
        <f t="shared" si="142"/>
        <v>4.2000000000000003E-2</v>
      </c>
      <c r="L1285" t="str">
        <f t="shared" si="143"/>
        <v>Obese</v>
      </c>
      <c r="M1285" t="str">
        <f t="shared" si="144"/>
        <v>Standard</v>
      </c>
      <c r="N1285" t="str">
        <f t="shared" si="145"/>
        <v>Tier 1</v>
      </c>
      <c r="O1285">
        <f t="shared" si="146"/>
        <v>3</v>
      </c>
    </row>
    <row r="1286" spans="1:15" x14ac:dyDescent="0.2">
      <c r="A1286">
        <v>61</v>
      </c>
      <c r="B1286" t="str" cm="1">
        <f t="array" ref="B1286">_xlfn.IFS(A1286&lt;=25,"18-25", A1286&lt;=35,"26-35", A1286&lt;=45,"36-45", A1286&lt;=55,"46-55", A1286&lt;=64,"56-64")</f>
        <v>56-64</v>
      </c>
      <c r="C1286" t="s">
        <v>10</v>
      </c>
      <c r="D1286">
        <v>36.299999999999997</v>
      </c>
      <c r="E1286">
        <v>1</v>
      </c>
      <c r="F1286" t="s">
        <v>8</v>
      </c>
      <c r="G1286" t="s">
        <v>52</v>
      </c>
      <c r="H1286" s="2">
        <v>47403.88</v>
      </c>
      <c r="I1286" s="2">
        <f t="shared" si="140"/>
        <v>23701.94</v>
      </c>
      <c r="J1286" t="str">
        <f t="shared" si="141"/>
        <v>High</v>
      </c>
      <c r="K1286" s="1">
        <f t="shared" si="142"/>
        <v>0.98499999999999999</v>
      </c>
      <c r="L1286" t="str">
        <f t="shared" si="143"/>
        <v>Obese</v>
      </c>
      <c r="M1286" t="str">
        <f t="shared" si="144"/>
        <v>High Risk</v>
      </c>
      <c r="N1286" t="str">
        <f t="shared" si="145"/>
        <v>Tier 3</v>
      </c>
      <c r="O1286">
        <f t="shared" si="146"/>
        <v>5</v>
      </c>
    </row>
    <row r="1287" spans="1:15" x14ac:dyDescent="0.2">
      <c r="A1287">
        <v>47</v>
      </c>
      <c r="B1287" t="str" cm="1">
        <f t="array" ref="B1287">_xlfn.IFS(A1287&lt;=25,"18-25", A1287&lt;=35,"26-35", A1287&lt;=45,"36-45", A1287&lt;=55,"46-55", A1287&lt;=64,"56-64")</f>
        <v>46-55</v>
      </c>
      <c r="C1287" t="s">
        <v>7</v>
      </c>
      <c r="D1287">
        <v>24.32</v>
      </c>
      <c r="E1287">
        <v>0</v>
      </c>
      <c r="F1287" t="s">
        <v>11</v>
      </c>
      <c r="G1287" t="s">
        <v>53</v>
      </c>
      <c r="H1287" s="2">
        <v>8534.6718000000001</v>
      </c>
      <c r="I1287" s="2">
        <f t="shared" si="140"/>
        <v>8534.6718000000001</v>
      </c>
      <c r="J1287" t="str">
        <f t="shared" si="141"/>
        <v>Low</v>
      </c>
      <c r="K1287" s="1">
        <f t="shared" si="142"/>
        <v>0.45600000000000002</v>
      </c>
      <c r="L1287" t="str">
        <f t="shared" si="143"/>
        <v>Normal</v>
      </c>
      <c r="M1287" t="str">
        <f t="shared" si="144"/>
        <v>Standard</v>
      </c>
      <c r="N1287" t="str">
        <f t="shared" si="145"/>
        <v>Tier 2</v>
      </c>
      <c r="O1287">
        <f t="shared" si="146"/>
        <v>0</v>
      </c>
    </row>
    <row r="1288" spans="1:15" x14ac:dyDescent="0.2">
      <c r="A1288">
        <v>28</v>
      </c>
      <c r="B1288" t="str" cm="1">
        <f t="array" ref="B1288">_xlfn.IFS(A1288&lt;=25,"18-25", A1288&lt;=35,"26-35", A1288&lt;=45,"36-45", A1288&lt;=55,"46-55", A1288&lt;=64,"56-64")</f>
        <v>26-35</v>
      </c>
      <c r="C1288" t="s">
        <v>7</v>
      </c>
      <c r="D1288">
        <v>17.29</v>
      </c>
      <c r="E1288">
        <v>0</v>
      </c>
      <c r="F1288" t="s">
        <v>11</v>
      </c>
      <c r="G1288" t="s">
        <v>53</v>
      </c>
      <c r="H1288" s="2">
        <v>3732.6251000000002</v>
      </c>
      <c r="I1288" s="2">
        <f t="shared" si="140"/>
        <v>3732.6251000000002</v>
      </c>
      <c r="J1288" t="str">
        <f t="shared" si="141"/>
        <v>Low</v>
      </c>
      <c r="K1288" s="1">
        <f t="shared" si="142"/>
        <v>0.183</v>
      </c>
      <c r="L1288" t="str">
        <f t="shared" si="143"/>
        <v>Underweight</v>
      </c>
      <c r="M1288" t="str">
        <f t="shared" si="144"/>
        <v>Standard</v>
      </c>
      <c r="N1288" t="str">
        <f t="shared" si="145"/>
        <v>Tier 2</v>
      </c>
      <c r="O1288">
        <f t="shared" si="146"/>
        <v>0</v>
      </c>
    </row>
    <row r="1289" spans="1:15" x14ac:dyDescent="0.2">
      <c r="A1289">
        <v>36</v>
      </c>
      <c r="B1289" t="str" cm="1">
        <f t="array" ref="B1289">_xlfn.IFS(A1289&lt;=25,"18-25", A1289&lt;=35,"26-35", A1289&lt;=45,"36-45", A1289&lt;=55,"46-55", A1289&lt;=64,"56-64")</f>
        <v>36-45</v>
      </c>
      <c r="C1289" t="s">
        <v>7</v>
      </c>
      <c r="D1289">
        <v>25.9</v>
      </c>
      <c r="E1289">
        <v>1</v>
      </c>
      <c r="F1289" t="s">
        <v>11</v>
      </c>
      <c r="G1289" t="s">
        <v>52</v>
      </c>
      <c r="H1289" s="2">
        <v>5472.4489999999996</v>
      </c>
      <c r="I1289" s="2">
        <f t="shared" si="140"/>
        <v>2736.2244999999998</v>
      </c>
      <c r="J1289" t="str">
        <f t="shared" si="141"/>
        <v>Low</v>
      </c>
      <c r="K1289" s="1">
        <f t="shared" si="142"/>
        <v>0.29799999999999999</v>
      </c>
      <c r="L1289" t="str">
        <f t="shared" si="143"/>
        <v>Overweight</v>
      </c>
      <c r="M1289" t="str">
        <f t="shared" si="144"/>
        <v>Standard</v>
      </c>
      <c r="N1289" t="str">
        <f t="shared" si="145"/>
        <v>Tier 3</v>
      </c>
      <c r="O1289">
        <f t="shared" si="146"/>
        <v>1</v>
      </c>
    </row>
    <row r="1290" spans="1:15" x14ac:dyDescent="0.2">
      <c r="A1290">
        <v>20</v>
      </c>
      <c r="B1290" t="str" cm="1">
        <f t="array" ref="B1290">_xlfn.IFS(A1290&lt;=25,"18-25", A1290&lt;=35,"26-35", A1290&lt;=45,"36-45", A1290&lt;=55,"46-55", A1290&lt;=64,"56-64")</f>
        <v>18-25</v>
      </c>
      <c r="C1290" t="s">
        <v>10</v>
      </c>
      <c r="D1290">
        <v>39.4</v>
      </c>
      <c r="E1290">
        <v>2</v>
      </c>
      <c r="F1290" t="s">
        <v>8</v>
      </c>
      <c r="G1290" t="s">
        <v>52</v>
      </c>
      <c r="H1290" s="2">
        <v>38344.565999999999</v>
      </c>
      <c r="I1290" s="2">
        <f t="shared" si="140"/>
        <v>12781.521999999999</v>
      </c>
      <c r="J1290" t="str">
        <f t="shared" si="141"/>
        <v>High</v>
      </c>
      <c r="K1290" s="1">
        <f t="shared" si="142"/>
        <v>0.92500000000000004</v>
      </c>
      <c r="L1290" t="str">
        <f t="shared" si="143"/>
        <v>Obese</v>
      </c>
      <c r="M1290" t="str">
        <f t="shared" si="144"/>
        <v>High Risk</v>
      </c>
      <c r="N1290" t="str">
        <f t="shared" si="145"/>
        <v>Tier 3</v>
      </c>
      <c r="O1290">
        <f t="shared" si="146"/>
        <v>5</v>
      </c>
    </row>
    <row r="1291" spans="1:15" x14ac:dyDescent="0.2">
      <c r="A1291">
        <v>44</v>
      </c>
      <c r="B1291" t="str" cm="1">
        <f t="array" ref="B1291">_xlfn.IFS(A1291&lt;=25,"18-25", A1291&lt;=35,"26-35", A1291&lt;=45,"36-45", A1291&lt;=55,"46-55", A1291&lt;=64,"56-64")</f>
        <v>36-45</v>
      </c>
      <c r="C1291" t="s">
        <v>10</v>
      </c>
      <c r="D1291">
        <v>34.32</v>
      </c>
      <c r="E1291">
        <v>1</v>
      </c>
      <c r="F1291" t="s">
        <v>11</v>
      </c>
      <c r="G1291" t="s">
        <v>51</v>
      </c>
      <c r="H1291" s="2">
        <v>7147.4727999999996</v>
      </c>
      <c r="I1291" s="2">
        <f t="shared" si="140"/>
        <v>3573.7363999999998</v>
      </c>
      <c r="J1291" t="str">
        <f t="shared" si="141"/>
        <v>Low</v>
      </c>
      <c r="K1291" s="1">
        <f t="shared" si="142"/>
        <v>0.38100000000000001</v>
      </c>
      <c r="L1291" t="str">
        <f t="shared" si="143"/>
        <v>Obese</v>
      </c>
      <c r="M1291" t="str">
        <f t="shared" si="144"/>
        <v>Standard</v>
      </c>
      <c r="N1291" t="str">
        <f t="shared" si="145"/>
        <v>Tier 1</v>
      </c>
      <c r="O1291">
        <f t="shared" si="146"/>
        <v>3</v>
      </c>
    </row>
    <row r="1292" spans="1:15" x14ac:dyDescent="0.2">
      <c r="A1292">
        <v>38</v>
      </c>
      <c r="B1292" t="str" cm="1">
        <f t="array" ref="B1292">_xlfn.IFS(A1292&lt;=25,"18-25", A1292&lt;=35,"26-35", A1292&lt;=45,"36-45", A1292&lt;=55,"46-55", A1292&lt;=64,"56-64")</f>
        <v>36-45</v>
      </c>
      <c r="C1292" t="s">
        <v>7</v>
      </c>
      <c r="D1292">
        <v>19.95</v>
      </c>
      <c r="E1292">
        <v>2</v>
      </c>
      <c r="F1292" t="s">
        <v>11</v>
      </c>
      <c r="G1292" t="s">
        <v>53</v>
      </c>
      <c r="H1292" s="2">
        <v>7133.9025000000001</v>
      </c>
      <c r="I1292" s="2">
        <f t="shared" si="140"/>
        <v>2377.9675000000002</v>
      </c>
      <c r="J1292" t="str">
        <f t="shared" si="141"/>
        <v>Low</v>
      </c>
      <c r="K1292" s="1">
        <f t="shared" si="142"/>
        <v>0.379</v>
      </c>
      <c r="L1292" t="str">
        <f t="shared" si="143"/>
        <v>Normal</v>
      </c>
      <c r="M1292" t="str">
        <f t="shared" si="144"/>
        <v>Standard</v>
      </c>
      <c r="N1292" t="str">
        <f t="shared" si="145"/>
        <v>Tier 2</v>
      </c>
      <c r="O1292">
        <f t="shared" si="146"/>
        <v>0</v>
      </c>
    </row>
    <row r="1293" spans="1:15" x14ac:dyDescent="0.2">
      <c r="A1293">
        <v>19</v>
      </c>
      <c r="B1293" t="str" cm="1">
        <f t="array" ref="B1293">_xlfn.IFS(A1293&lt;=25,"18-25", A1293&lt;=35,"26-35", A1293&lt;=45,"36-45", A1293&lt;=55,"46-55", A1293&lt;=64,"56-64")</f>
        <v>18-25</v>
      </c>
      <c r="C1293" t="s">
        <v>10</v>
      </c>
      <c r="D1293">
        <v>34.9</v>
      </c>
      <c r="E1293">
        <v>0</v>
      </c>
      <c r="F1293" t="s">
        <v>8</v>
      </c>
      <c r="G1293" t="s">
        <v>52</v>
      </c>
      <c r="H1293" s="2">
        <v>34828.654000000002</v>
      </c>
      <c r="I1293" s="2">
        <f t="shared" si="140"/>
        <v>34828.654000000002</v>
      </c>
      <c r="J1293" t="str">
        <f t="shared" si="141"/>
        <v>High</v>
      </c>
      <c r="K1293" s="1">
        <f t="shared" si="142"/>
        <v>0.89900000000000002</v>
      </c>
      <c r="L1293" t="str">
        <f t="shared" si="143"/>
        <v>Obese</v>
      </c>
      <c r="M1293" t="str">
        <f t="shared" si="144"/>
        <v>High Risk</v>
      </c>
      <c r="N1293" t="str">
        <f t="shared" si="145"/>
        <v>Tier 3</v>
      </c>
      <c r="O1293">
        <f t="shared" si="146"/>
        <v>5</v>
      </c>
    </row>
    <row r="1294" spans="1:15" x14ac:dyDescent="0.2">
      <c r="A1294">
        <v>21</v>
      </c>
      <c r="B1294" t="str" cm="1">
        <f t="array" ref="B1294">_xlfn.IFS(A1294&lt;=25,"18-25", A1294&lt;=35,"26-35", A1294&lt;=45,"36-45", A1294&lt;=55,"46-55", A1294&lt;=64,"56-64")</f>
        <v>18-25</v>
      </c>
      <c r="C1294" t="s">
        <v>10</v>
      </c>
      <c r="D1294">
        <v>23.21</v>
      </c>
      <c r="E1294">
        <v>0</v>
      </c>
      <c r="F1294" t="s">
        <v>11</v>
      </c>
      <c r="G1294" t="s">
        <v>51</v>
      </c>
      <c r="H1294" s="2">
        <v>1515.3449000000001</v>
      </c>
      <c r="I1294" s="2">
        <f t="shared" si="140"/>
        <v>1515.3449000000001</v>
      </c>
      <c r="J1294" t="str">
        <f t="shared" si="141"/>
        <v>Low</v>
      </c>
      <c r="K1294" s="1">
        <f t="shared" si="142"/>
        <v>1.4E-2</v>
      </c>
      <c r="L1294" t="str">
        <f t="shared" si="143"/>
        <v>Normal</v>
      </c>
      <c r="M1294" t="str">
        <f t="shared" si="144"/>
        <v>Standard</v>
      </c>
      <c r="N1294" t="str">
        <f t="shared" si="145"/>
        <v>Tier 1</v>
      </c>
      <c r="O1294">
        <f t="shared" si="146"/>
        <v>1</v>
      </c>
    </row>
    <row r="1295" spans="1:15" x14ac:dyDescent="0.2">
      <c r="A1295">
        <v>46</v>
      </c>
      <c r="B1295" t="str" cm="1">
        <f t="array" ref="B1295">_xlfn.IFS(A1295&lt;=25,"18-25", A1295&lt;=35,"26-35", A1295&lt;=45,"36-45", A1295&lt;=55,"46-55", A1295&lt;=64,"56-64")</f>
        <v>46-55</v>
      </c>
      <c r="C1295" t="s">
        <v>10</v>
      </c>
      <c r="D1295">
        <v>25.745000000000001</v>
      </c>
      <c r="E1295">
        <v>3</v>
      </c>
      <c r="F1295" t="s">
        <v>11</v>
      </c>
      <c r="G1295" t="s">
        <v>54</v>
      </c>
      <c r="H1295" s="2">
        <v>9301.8935500000007</v>
      </c>
      <c r="I1295" s="2">
        <f t="shared" si="140"/>
        <v>2325.4733875000002</v>
      </c>
      <c r="J1295" t="str">
        <f t="shared" si="141"/>
        <v>Low</v>
      </c>
      <c r="K1295" s="1">
        <f t="shared" si="142"/>
        <v>0.497</v>
      </c>
      <c r="L1295" t="str">
        <f t="shared" si="143"/>
        <v>Overweight</v>
      </c>
      <c r="M1295" t="str">
        <f t="shared" si="144"/>
        <v>Standard</v>
      </c>
      <c r="N1295" t="str">
        <f t="shared" si="145"/>
        <v>Tier 4</v>
      </c>
      <c r="O1295">
        <f t="shared" si="146"/>
        <v>1</v>
      </c>
    </row>
    <row r="1296" spans="1:15" x14ac:dyDescent="0.2">
      <c r="A1296">
        <v>58</v>
      </c>
      <c r="B1296" t="str" cm="1">
        <f t="array" ref="B1296">_xlfn.IFS(A1296&lt;=25,"18-25", A1296&lt;=35,"26-35", A1296&lt;=45,"36-45", A1296&lt;=55,"46-55", A1296&lt;=64,"56-64")</f>
        <v>56-64</v>
      </c>
      <c r="C1296" t="s">
        <v>10</v>
      </c>
      <c r="D1296">
        <v>25.175000000000001</v>
      </c>
      <c r="E1296">
        <v>0</v>
      </c>
      <c r="F1296" t="s">
        <v>11</v>
      </c>
      <c r="G1296" t="s">
        <v>53</v>
      </c>
      <c r="H1296" s="2">
        <v>11931.125249999999</v>
      </c>
      <c r="I1296" s="2">
        <f t="shared" si="140"/>
        <v>11931.125249999999</v>
      </c>
      <c r="J1296" t="str">
        <f t="shared" si="141"/>
        <v>Low</v>
      </c>
      <c r="K1296" s="1">
        <f t="shared" si="142"/>
        <v>0.628</v>
      </c>
      <c r="L1296" t="str">
        <f t="shared" si="143"/>
        <v>Overweight</v>
      </c>
      <c r="M1296" t="str">
        <f t="shared" si="144"/>
        <v>Standard</v>
      </c>
      <c r="N1296" t="str">
        <f t="shared" si="145"/>
        <v>Tier 2</v>
      </c>
      <c r="O1296">
        <f t="shared" si="146"/>
        <v>1</v>
      </c>
    </row>
    <row r="1297" spans="1:15" x14ac:dyDescent="0.2">
      <c r="A1297">
        <v>20</v>
      </c>
      <c r="B1297" t="str" cm="1">
        <f t="array" ref="B1297">_xlfn.IFS(A1297&lt;=25,"18-25", A1297&lt;=35,"26-35", A1297&lt;=45,"36-45", A1297&lt;=55,"46-55", A1297&lt;=64,"56-64")</f>
        <v>18-25</v>
      </c>
      <c r="C1297" t="s">
        <v>10</v>
      </c>
      <c r="D1297">
        <v>22</v>
      </c>
      <c r="E1297">
        <v>1</v>
      </c>
      <c r="F1297" t="s">
        <v>11</v>
      </c>
      <c r="G1297" t="s">
        <v>52</v>
      </c>
      <c r="H1297" s="2">
        <v>1964.78</v>
      </c>
      <c r="I1297" s="2">
        <f t="shared" si="140"/>
        <v>982.39</v>
      </c>
      <c r="J1297" t="str">
        <f t="shared" si="141"/>
        <v>Low</v>
      </c>
      <c r="K1297" s="1">
        <f t="shared" si="142"/>
        <v>6.2E-2</v>
      </c>
      <c r="L1297" t="str">
        <f t="shared" si="143"/>
        <v>Normal</v>
      </c>
      <c r="M1297" t="str">
        <f t="shared" si="144"/>
        <v>Standard</v>
      </c>
      <c r="N1297" t="str">
        <f t="shared" si="145"/>
        <v>Tier 3</v>
      </c>
      <c r="O1297">
        <f t="shared" si="146"/>
        <v>0</v>
      </c>
    </row>
    <row r="1298" spans="1:15" x14ac:dyDescent="0.2">
      <c r="A1298">
        <v>18</v>
      </c>
      <c r="B1298" t="str" cm="1">
        <f t="array" ref="B1298">_xlfn.IFS(A1298&lt;=25,"18-25", A1298&lt;=35,"26-35", A1298&lt;=45,"36-45", A1298&lt;=55,"46-55", A1298&lt;=64,"56-64")</f>
        <v>18-25</v>
      </c>
      <c r="C1298" t="s">
        <v>10</v>
      </c>
      <c r="D1298">
        <v>26.125</v>
      </c>
      <c r="E1298">
        <v>0</v>
      </c>
      <c r="F1298" t="s">
        <v>11</v>
      </c>
      <c r="G1298" t="s">
        <v>53</v>
      </c>
      <c r="H1298" s="2">
        <v>1708.9257500000001</v>
      </c>
      <c r="I1298" s="2">
        <f t="shared" si="140"/>
        <v>1708.9257500000001</v>
      </c>
      <c r="J1298" t="str">
        <f t="shared" si="141"/>
        <v>Low</v>
      </c>
      <c r="K1298" s="1">
        <f t="shared" si="142"/>
        <v>3.9E-2</v>
      </c>
      <c r="L1298" t="str">
        <f t="shared" si="143"/>
        <v>Overweight</v>
      </c>
      <c r="M1298" t="str">
        <f t="shared" si="144"/>
        <v>Standard</v>
      </c>
      <c r="N1298" t="str">
        <f t="shared" si="145"/>
        <v>Tier 2</v>
      </c>
      <c r="O1298">
        <f t="shared" si="146"/>
        <v>1</v>
      </c>
    </row>
    <row r="1299" spans="1:15" x14ac:dyDescent="0.2">
      <c r="A1299">
        <v>28</v>
      </c>
      <c r="B1299" t="str" cm="1">
        <f t="array" ref="B1299">_xlfn.IFS(A1299&lt;=25,"18-25", A1299&lt;=35,"26-35", A1299&lt;=45,"36-45", A1299&lt;=55,"46-55", A1299&lt;=64,"56-64")</f>
        <v>26-35</v>
      </c>
      <c r="C1299" t="s">
        <v>7</v>
      </c>
      <c r="D1299">
        <v>26.51</v>
      </c>
      <c r="E1299">
        <v>2</v>
      </c>
      <c r="F1299" t="s">
        <v>11</v>
      </c>
      <c r="G1299" t="s">
        <v>51</v>
      </c>
      <c r="H1299" s="2">
        <v>4340.4408999999996</v>
      </c>
      <c r="I1299" s="2">
        <f t="shared" si="140"/>
        <v>1446.8136333333332</v>
      </c>
      <c r="J1299" t="str">
        <f t="shared" si="141"/>
        <v>Low</v>
      </c>
      <c r="K1299" s="1">
        <f t="shared" si="142"/>
        <v>0.218</v>
      </c>
      <c r="L1299" t="str">
        <f t="shared" si="143"/>
        <v>Overweight</v>
      </c>
      <c r="M1299" t="str">
        <f t="shared" si="144"/>
        <v>Standard</v>
      </c>
      <c r="N1299" t="str">
        <f t="shared" si="145"/>
        <v>Tier 1</v>
      </c>
      <c r="O1299">
        <f t="shared" si="146"/>
        <v>2</v>
      </c>
    </row>
    <row r="1300" spans="1:15" x14ac:dyDescent="0.2">
      <c r="A1300">
        <v>33</v>
      </c>
      <c r="B1300" t="str" cm="1">
        <f t="array" ref="B1300">_xlfn.IFS(A1300&lt;=25,"18-25", A1300&lt;=35,"26-35", A1300&lt;=45,"36-45", A1300&lt;=55,"46-55", A1300&lt;=64,"56-64")</f>
        <v>26-35</v>
      </c>
      <c r="C1300" t="s">
        <v>10</v>
      </c>
      <c r="D1300">
        <v>27.454999999999998</v>
      </c>
      <c r="E1300">
        <v>2</v>
      </c>
      <c r="F1300" t="s">
        <v>11</v>
      </c>
      <c r="G1300" t="s">
        <v>54</v>
      </c>
      <c r="H1300" s="2">
        <v>5261.4694499999996</v>
      </c>
      <c r="I1300" s="2">
        <f t="shared" si="140"/>
        <v>1753.8231499999999</v>
      </c>
      <c r="J1300" t="str">
        <f t="shared" si="141"/>
        <v>Low</v>
      </c>
      <c r="K1300" s="1">
        <f t="shared" si="142"/>
        <v>0.28199999999999997</v>
      </c>
      <c r="L1300" t="str">
        <f t="shared" si="143"/>
        <v>Overweight</v>
      </c>
      <c r="M1300" t="str">
        <f t="shared" si="144"/>
        <v>Standard</v>
      </c>
      <c r="N1300" t="str">
        <f t="shared" si="145"/>
        <v>Tier 4</v>
      </c>
      <c r="O1300">
        <f t="shared" si="146"/>
        <v>1</v>
      </c>
    </row>
    <row r="1301" spans="1:15" x14ac:dyDescent="0.2">
      <c r="A1301">
        <v>19</v>
      </c>
      <c r="B1301" t="str" cm="1">
        <f t="array" ref="B1301">_xlfn.IFS(A1301&lt;=25,"18-25", A1301&lt;=35,"26-35", A1301&lt;=45,"36-45", A1301&lt;=55,"46-55", A1301&lt;=64,"56-64")</f>
        <v>18-25</v>
      </c>
      <c r="C1301" t="s">
        <v>7</v>
      </c>
      <c r="D1301">
        <v>25.745000000000001</v>
      </c>
      <c r="E1301">
        <v>1</v>
      </c>
      <c r="F1301" t="s">
        <v>11</v>
      </c>
      <c r="G1301" t="s">
        <v>54</v>
      </c>
      <c r="H1301" s="2">
        <v>2710.8285500000002</v>
      </c>
      <c r="I1301" s="2">
        <f t="shared" si="140"/>
        <v>1355.4142750000001</v>
      </c>
      <c r="J1301" t="str">
        <f t="shared" si="141"/>
        <v>Low</v>
      </c>
      <c r="K1301" s="1">
        <f t="shared" si="142"/>
        <v>0.124</v>
      </c>
      <c r="L1301" t="str">
        <f t="shared" si="143"/>
        <v>Overweight</v>
      </c>
      <c r="M1301" t="str">
        <f t="shared" si="144"/>
        <v>Standard</v>
      </c>
      <c r="N1301" t="str">
        <f t="shared" si="145"/>
        <v>Tier 4</v>
      </c>
      <c r="O1301">
        <f t="shared" si="146"/>
        <v>1</v>
      </c>
    </row>
    <row r="1302" spans="1:15" x14ac:dyDescent="0.2">
      <c r="A1302">
        <v>45</v>
      </c>
      <c r="B1302" t="str" cm="1">
        <f t="array" ref="B1302">_xlfn.IFS(A1302&lt;=25,"18-25", A1302&lt;=35,"26-35", A1302&lt;=45,"36-45", A1302&lt;=55,"46-55", A1302&lt;=64,"56-64")</f>
        <v>36-45</v>
      </c>
      <c r="C1302" t="s">
        <v>10</v>
      </c>
      <c r="D1302">
        <v>30.36</v>
      </c>
      <c r="E1302">
        <v>0</v>
      </c>
      <c r="F1302" t="s">
        <v>8</v>
      </c>
      <c r="G1302" t="s">
        <v>51</v>
      </c>
      <c r="H1302" s="2">
        <v>62592.873090000001</v>
      </c>
      <c r="I1302" s="2">
        <f t="shared" si="140"/>
        <v>62592.873090000001</v>
      </c>
      <c r="J1302" t="str">
        <f t="shared" si="141"/>
        <v>High</v>
      </c>
      <c r="K1302" s="1">
        <f t="shared" si="142"/>
        <v>0.999</v>
      </c>
      <c r="L1302" t="str">
        <f t="shared" si="143"/>
        <v>Obese</v>
      </c>
      <c r="M1302" t="str">
        <f t="shared" si="144"/>
        <v>High Risk</v>
      </c>
      <c r="N1302" t="str">
        <f t="shared" si="145"/>
        <v>Tier 1</v>
      </c>
      <c r="O1302">
        <f t="shared" si="146"/>
        <v>6</v>
      </c>
    </row>
    <row r="1303" spans="1:15" x14ac:dyDescent="0.2">
      <c r="A1303">
        <v>62</v>
      </c>
      <c r="B1303" t="str" cm="1">
        <f t="array" ref="B1303">_xlfn.IFS(A1303&lt;=25,"18-25", A1303&lt;=35,"26-35", A1303&lt;=45,"36-45", A1303&lt;=55,"46-55", A1303&lt;=64,"56-64")</f>
        <v>56-64</v>
      </c>
      <c r="C1303" t="s">
        <v>10</v>
      </c>
      <c r="D1303">
        <v>30.875</v>
      </c>
      <c r="E1303">
        <v>3</v>
      </c>
      <c r="F1303" t="s">
        <v>8</v>
      </c>
      <c r="G1303" t="s">
        <v>54</v>
      </c>
      <c r="H1303" s="2">
        <v>46718.163249999998</v>
      </c>
      <c r="I1303" s="2">
        <f t="shared" si="140"/>
        <v>11679.540812499999</v>
      </c>
      <c r="J1303" t="str">
        <f t="shared" si="141"/>
        <v>High</v>
      </c>
      <c r="K1303" s="1">
        <f t="shared" si="142"/>
        <v>0.98</v>
      </c>
      <c r="L1303" t="str">
        <f t="shared" si="143"/>
        <v>Obese</v>
      </c>
      <c r="M1303" t="str">
        <f t="shared" si="144"/>
        <v>High Risk</v>
      </c>
      <c r="N1303" t="str">
        <f t="shared" si="145"/>
        <v>Tier 4</v>
      </c>
      <c r="O1303">
        <f t="shared" si="146"/>
        <v>5</v>
      </c>
    </row>
    <row r="1304" spans="1:15" x14ac:dyDescent="0.2">
      <c r="A1304">
        <v>25</v>
      </c>
      <c r="B1304" t="str" cm="1">
        <f t="array" ref="B1304">_xlfn.IFS(A1304&lt;=25,"18-25", A1304&lt;=35,"26-35", A1304&lt;=45,"36-45", A1304&lt;=55,"46-55", A1304&lt;=64,"56-64")</f>
        <v>18-25</v>
      </c>
      <c r="C1304" t="s">
        <v>7</v>
      </c>
      <c r="D1304">
        <v>20.8</v>
      </c>
      <c r="E1304">
        <v>1</v>
      </c>
      <c r="F1304" t="s">
        <v>11</v>
      </c>
      <c r="G1304" t="s">
        <v>52</v>
      </c>
      <c r="H1304" s="2">
        <v>3208.7869999999998</v>
      </c>
      <c r="I1304" s="2">
        <f t="shared" si="140"/>
        <v>1604.3934999999999</v>
      </c>
      <c r="J1304" t="str">
        <f t="shared" si="141"/>
        <v>Low</v>
      </c>
      <c r="K1304" s="1">
        <f t="shared" si="142"/>
        <v>0.154</v>
      </c>
      <c r="L1304" t="str">
        <f t="shared" si="143"/>
        <v>Normal</v>
      </c>
      <c r="M1304" t="str">
        <f t="shared" si="144"/>
        <v>Standard</v>
      </c>
      <c r="N1304" t="str">
        <f t="shared" si="145"/>
        <v>Tier 3</v>
      </c>
      <c r="O1304">
        <f t="shared" si="146"/>
        <v>0</v>
      </c>
    </row>
    <row r="1305" spans="1:15" x14ac:dyDescent="0.2">
      <c r="A1305">
        <v>43</v>
      </c>
      <c r="B1305" t="str" cm="1">
        <f t="array" ref="B1305">_xlfn.IFS(A1305&lt;=25,"18-25", A1305&lt;=35,"26-35", A1305&lt;=45,"36-45", A1305&lt;=55,"46-55", A1305&lt;=64,"56-64")</f>
        <v>36-45</v>
      </c>
      <c r="C1305" t="s">
        <v>10</v>
      </c>
      <c r="D1305">
        <v>27.8</v>
      </c>
      <c r="E1305">
        <v>0</v>
      </c>
      <c r="F1305" t="s">
        <v>8</v>
      </c>
      <c r="G1305" t="s">
        <v>52</v>
      </c>
      <c r="H1305" s="2">
        <v>37829.724199999997</v>
      </c>
      <c r="I1305" s="2">
        <f t="shared" si="140"/>
        <v>37829.724199999997</v>
      </c>
      <c r="J1305" t="str">
        <f t="shared" si="141"/>
        <v>High</v>
      </c>
      <c r="K1305" s="1">
        <f t="shared" si="142"/>
        <v>0.92200000000000004</v>
      </c>
      <c r="L1305" t="str">
        <f t="shared" si="143"/>
        <v>Overweight</v>
      </c>
      <c r="M1305" t="str">
        <f t="shared" si="144"/>
        <v>High Risk</v>
      </c>
      <c r="N1305" t="str">
        <f t="shared" si="145"/>
        <v>Tier 3</v>
      </c>
      <c r="O1305">
        <f t="shared" si="146"/>
        <v>4</v>
      </c>
    </row>
    <row r="1306" spans="1:15" x14ac:dyDescent="0.2">
      <c r="A1306">
        <v>42</v>
      </c>
      <c r="B1306" t="str" cm="1">
        <f t="array" ref="B1306">_xlfn.IFS(A1306&lt;=25,"18-25", A1306&lt;=35,"26-35", A1306&lt;=45,"36-45", A1306&lt;=55,"46-55", A1306&lt;=64,"56-64")</f>
        <v>36-45</v>
      </c>
      <c r="C1306" t="s">
        <v>10</v>
      </c>
      <c r="D1306">
        <v>24.605</v>
      </c>
      <c r="E1306">
        <v>2</v>
      </c>
      <c r="F1306" t="s">
        <v>8</v>
      </c>
      <c r="G1306" t="s">
        <v>53</v>
      </c>
      <c r="H1306" s="2">
        <v>21259.377949999998</v>
      </c>
      <c r="I1306" s="2">
        <f t="shared" si="140"/>
        <v>7086.4593166666664</v>
      </c>
      <c r="J1306" t="str">
        <f t="shared" si="141"/>
        <v>High</v>
      </c>
      <c r="K1306" s="1">
        <f t="shared" si="142"/>
        <v>0.81200000000000006</v>
      </c>
      <c r="L1306" t="str">
        <f t="shared" si="143"/>
        <v>Normal</v>
      </c>
      <c r="M1306" t="str">
        <f t="shared" si="144"/>
        <v>High Risk</v>
      </c>
      <c r="N1306" t="str">
        <f t="shared" si="145"/>
        <v>Tier 2</v>
      </c>
      <c r="O1306">
        <f t="shared" si="146"/>
        <v>3</v>
      </c>
    </row>
    <row r="1307" spans="1:15" x14ac:dyDescent="0.2">
      <c r="A1307">
        <v>24</v>
      </c>
      <c r="B1307" t="str" cm="1">
        <f t="array" ref="B1307">_xlfn.IFS(A1307&lt;=25,"18-25", A1307&lt;=35,"26-35", A1307&lt;=45,"36-45", A1307&lt;=55,"46-55", A1307&lt;=64,"56-64")</f>
        <v>18-25</v>
      </c>
      <c r="C1307" t="s">
        <v>7</v>
      </c>
      <c r="D1307">
        <v>27.72</v>
      </c>
      <c r="E1307">
        <v>0</v>
      </c>
      <c r="F1307" t="s">
        <v>11</v>
      </c>
      <c r="G1307" t="s">
        <v>51</v>
      </c>
      <c r="H1307" s="2">
        <v>2464.6188000000002</v>
      </c>
      <c r="I1307" s="2">
        <f t="shared" si="140"/>
        <v>2464.6188000000002</v>
      </c>
      <c r="J1307" t="str">
        <f t="shared" si="141"/>
        <v>Low</v>
      </c>
      <c r="K1307" s="1">
        <f t="shared" si="142"/>
        <v>0.107</v>
      </c>
      <c r="L1307" t="str">
        <f t="shared" si="143"/>
        <v>Overweight</v>
      </c>
      <c r="M1307" t="str">
        <f t="shared" si="144"/>
        <v>Standard</v>
      </c>
      <c r="N1307" t="str">
        <f t="shared" si="145"/>
        <v>Tier 1</v>
      </c>
      <c r="O1307">
        <f t="shared" si="146"/>
        <v>2</v>
      </c>
    </row>
    <row r="1308" spans="1:15" x14ac:dyDescent="0.2">
      <c r="A1308">
        <v>29</v>
      </c>
      <c r="B1308" t="str" cm="1">
        <f t="array" ref="B1308">_xlfn.IFS(A1308&lt;=25,"18-25", A1308&lt;=35,"26-35", A1308&lt;=45,"36-45", A1308&lt;=55,"46-55", A1308&lt;=64,"56-64")</f>
        <v>26-35</v>
      </c>
      <c r="C1308" t="s">
        <v>7</v>
      </c>
      <c r="D1308">
        <v>21.85</v>
      </c>
      <c r="E1308">
        <v>0</v>
      </c>
      <c r="F1308" t="s">
        <v>8</v>
      </c>
      <c r="G1308" t="s">
        <v>53</v>
      </c>
      <c r="H1308" s="2">
        <v>16115.3045</v>
      </c>
      <c r="I1308" s="2">
        <f t="shared" si="140"/>
        <v>16115.3045</v>
      </c>
      <c r="J1308" t="str">
        <f t="shared" si="141"/>
        <v>High</v>
      </c>
      <c r="K1308" s="1">
        <f t="shared" si="142"/>
        <v>0.74299999999999999</v>
      </c>
      <c r="L1308" t="str">
        <f t="shared" si="143"/>
        <v>Normal</v>
      </c>
      <c r="M1308" t="str">
        <f t="shared" si="144"/>
        <v>High Risk</v>
      </c>
      <c r="N1308" t="str">
        <f t="shared" si="145"/>
        <v>Tier 2</v>
      </c>
      <c r="O1308">
        <f t="shared" si="146"/>
        <v>3</v>
      </c>
    </row>
    <row r="1309" spans="1:15" x14ac:dyDescent="0.2">
      <c r="A1309">
        <v>32</v>
      </c>
      <c r="B1309" t="str" cm="1">
        <f t="array" ref="B1309">_xlfn.IFS(A1309&lt;=25,"18-25", A1309&lt;=35,"26-35", A1309&lt;=45,"36-45", A1309&lt;=55,"46-55", A1309&lt;=64,"56-64")</f>
        <v>26-35</v>
      </c>
      <c r="C1309" t="s">
        <v>10</v>
      </c>
      <c r="D1309">
        <v>28.12</v>
      </c>
      <c r="E1309">
        <v>4</v>
      </c>
      <c r="F1309" t="s">
        <v>8</v>
      </c>
      <c r="G1309" t="s">
        <v>54</v>
      </c>
      <c r="H1309" s="2">
        <v>21472.478800000001</v>
      </c>
      <c r="I1309" s="2">
        <f t="shared" si="140"/>
        <v>4294.4957599999998</v>
      </c>
      <c r="J1309" t="str">
        <f t="shared" si="141"/>
        <v>High</v>
      </c>
      <c r="K1309" s="1">
        <f t="shared" si="142"/>
        <v>0.81399999999999995</v>
      </c>
      <c r="L1309" t="str">
        <f t="shared" si="143"/>
        <v>Overweight</v>
      </c>
      <c r="M1309" t="str">
        <f t="shared" si="144"/>
        <v>High Risk</v>
      </c>
      <c r="N1309" t="str">
        <f t="shared" si="145"/>
        <v>Tier 4</v>
      </c>
      <c r="O1309">
        <f t="shared" si="146"/>
        <v>4</v>
      </c>
    </row>
    <row r="1310" spans="1:15" x14ac:dyDescent="0.2">
      <c r="A1310">
        <v>25</v>
      </c>
      <c r="B1310" t="str" cm="1">
        <f t="array" ref="B1310">_xlfn.IFS(A1310&lt;=25,"18-25", A1310&lt;=35,"26-35", A1310&lt;=45,"36-45", A1310&lt;=55,"46-55", A1310&lt;=64,"56-64")</f>
        <v>18-25</v>
      </c>
      <c r="C1310" t="s">
        <v>7</v>
      </c>
      <c r="D1310">
        <v>30.2</v>
      </c>
      <c r="E1310">
        <v>0</v>
      </c>
      <c r="F1310" t="s">
        <v>8</v>
      </c>
      <c r="G1310" t="s">
        <v>52</v>
      </c>
      <c r="H1310" s="2">
        <v>33900.652999999998</v>
      </c>
      <c r="I1310" s="2">
        <f t="shared" si="140"/>
        <v>33900.652999999998</v>
      </c>
      <c r="J1310" t="str">
        <f t="shared" si="141"/>
        <v>High</v>
      </c>
      <c r="K1310" s="1">
        <f t="shared" si="142"/>
        <v>0.89100000000000001</v>
      </c>
      <c r="L1310" t="str">
        <f t="shared" si="143"/>
        <v>Obese</v>
      </c>
      <c r="M1310" t="str">
        <f t="shared" si="144"/>
        <v>High Risk</v>
      </c>
      <c r="N1310" t="str">
        <f t="shared" si="145"/>
        <v>Tier 3</v>
      </c>
      <c r="O1310">
        <f t="shared" si="146"/>
        <v>5</v>
      </c>
    </row>
    <row r="1311" spans="1:15" x14ac:dyDescent="0.2">
      <c r="A1311">
        <v>41</v>
      </c>
      <c r="B1311" t="str" cm="1">
        <f t="array" ref="B1311">_xlfn.IFS(A1311&lt;=25,"18-25", A1311&lt;=35,"26-35", A1311&lt;=45,"36-45", A1311&lt;=55,"46-55", A1311&lt;=64,"56-64")</f>
        <v>36-45</v>
      </c>
      <c r="C1311" t="s">
        <v>10</v>
      </c>
      <c r="D1311">
        <v>32.200000000000003</v>
      </c>
      <c r="E1311">
        <v>2</v>
      </c>
      <c r="F1311" t="s">
        <v>11</v>
      </c>
      <c r="G1311" t="s">
        <v>52</v>
      </c>
      <c r="H1311" s="2">
        <v>6875.9610000000002</v>
      </c>
      <c r="I1311" s="2">
        <f t="shared" si="140"/>
        <v>2291.9870000000001</v>
      </c>
      <c r="J1311" t="str">
        <f t="shared" si="141"/>
        <v>Low</v>
      </c>
      <c r="K1311" s="1">
        <f t="shared" si="142"/>
        <v>0.37</v>
      </c>
      <c r="L1311" t="str">
        <f t="shared" si="143"/>
        <v>Obese</v>
      </c>
      <c r="M1311" t="str">
        <f t="shared" si="144"/>
        <v>Standard</v>
      </c>
      <c r="N1311" t="str">
        <f t="shared" si="145"/>
        <v>Tier 3</v>
      </c>
      <c r="O1311">
        <f t="shared" si="146"/>
        <v>2</v>
      </c>
    </row>
    <row r="1312" spans="1:15" x14ac:dyDescent="0.2">
      <c r="A1312">
        <v>42</v>
      </c>
      <c r="B1312" t="str" cm="1">
        <f t="array" ref="B1312">_xlfn.IFS(A1312&lt;=25,"18-25", A1312&lt;=35,"26-35", A1312&lt;=45,"36-45", A1312&lt;=55,"46-55", A1312&lt;=64,"56-64")</f>
        <v>36-45</v>
      </c>
      <c r="C1312" t="s">
        <v>10</v>
      </c>
      <c r="D1312">
        <v>26.315000000000001</v>
      </c>
      <c r="E1312">
        <v>1</v>
      </c>
      <c r="F1312" t="s">
        <v>11</v>
      </c>
      <c r="G1312" t="s">
        <v>54</v>
      </c>
      <c r="H1312" s="2">
        <v>6940.90985</v>
      </c>
      <c r="I1312" s="2">
        <f t="shared" si="140"/>
        <v>3470.454925</v>
      </c>
      <c r="J1312" t="str">
        <f t="shared" si="141"/>
        <v>Low</v>
      </c>
      <c r="K1312" s="1">
        <f t="shared" si="142"/>
        <v>0.372</v>
      </c>
      <c r="L1312" t="str">
        <f t="shared" si="143"/>
        <v>Overweight</v>
      </c>
      <c r="M1312" t="str">
        <f t="shared" si="144"/>
        <v>Standard</v>
      </c>
      <c r="N1312" t="str">
        <f t="shared" si="145"/>
        <v>Tier 4</v>
      </c>
      <c r="O1312">
        <f t="shared" si="146"/>
        <v>1</v>
      </c>
    </row>
    <row r="1313" spans="1:15" x14ac:dyDescent="0.2">
      <c r="A1313">
        <v>33</v>
      </c>
      <c r="B1313" t="str" cm="1">
        <f t="array" ref="B1313">_xlfn.IFS(A1313&lt;=25,"18-25", A1313&lt;=35,"26-35", A1313&lt;=45,"36-45", A1313&lt;=55,"46-55", A1313&lt;=64,"56-64")</f>
        <v>26-35</v>
      </c>
      <c r="C1313" t="s">
        <v>7</v>
      </c>
      <c r="D1313">
        <v>26.695</v>
      </c>
      <c r="E1313">
        <v>0</v>
      </c>
      <c r="F1313" t="s">
        <v>11</v>
      </c>
      <c r="G1313" t="s">
        <v>54</v>
      </c>
      <c r="H1313" s="2">
        <v>4571.4130500000001</v>
      </c>
      <c r="I1313" s="2">
        <f t="shared" si="140"/>
        <v>4571.4130500000001</v>
      </c>
      <c r="J1313" t="str">
        <f t="shared" si="141"/>
        <v>Low</v>
      </c>
      <c r="K1313" s="1">
        <f t="shared" si="142"/>
        <v>0.24</v>
      </c>
      <c r="L1313" t="str">
        <f t="shared" si="143"/>
        <v>Overweight</v>
      </c>
      <c r="M1313" t="str">
        <f t="shared" si="144"/>
        <v>Standard</v>
      </c>
      <c r="N1313" t="str">
        <f t="shared" si="145"/>
        <v>Tier 4</v>
      </c>
      <c r="O1313">
        <f t="shared" si="146"/>
        <v>1</v>
      </c>
    </row>
    <row r="1314" spans="1:15" x14ac:dyDescent="0.2">
      <c r="A1314">
        <v>34</v>
      </c>
      <c r="B1314" t="str" cm="1">
        <f t="array" ref="B1314">_xlfn.IFS(A1314&lt;=25,"18-25", A1314&lt;=35,"26-35", A1314&lt;=45,"36-45", A1314&lt;=55,"46-55", A1314&lt;=64,"56-64")</f>
        <v>26-35</v>
      </c>
      <c r="C1314" t="s">
        <v>10</v>
      </c>
      <c r="D1314">
        <v>42.9</v>
      </c>
      <c r="E1314">
        <v>1</v>
      </c>
      <c r="F1314" t="s">
        <v>11</v>
      </c>
      <c r="G1314" t="s">
        <v>52</v>
      </c>
      <c r="H1314" s="2">
        <v>4536.259</v>
      </c>
      <c r="I1314" s="2">
        <f t="shared" si="140"/>
        <v>2268.1295</v>
      </c>
      <c r="J1314" t="str">
        <f t="shared" si="141"/>
        <v>Low</v>
      </c>
      <c r="K1314" s="1">
        <f t="shared" si="142"/>
        <v>0.23699999999999999</v>
      </c>
      <c r="L1314" t="str">
        <f t="shared" si="143"/>
        <v>Obese</v>
      </c>
      <c r="M1314" t="str">
        <f t="shared" si="144"/>
        <v>Standard</v>
      </c>
      <c r="N1314" t="str">
        <f t="shared" si="145"/>
        <v>Tier 3</v>
      </c>
      <c r="O1314">
        <f t="shared" si="146"/>
        <v>2</v>
      </c>
    </row>
    <row r="1315" spans="1:15" x14ac:dyDescent="0.2">
      <c r="A1315">
        <v>19</v>
      </c>
      <c r="B1315" t="str" cm="1">
        <f t="array" ref="B1315">_xlfn.IFS(A1315&lt;=25,"18-25", A1315&lt;=35,"26-35", A1315&lt;=45,"36-45", A1315&lt;=55,"46-55", A1315&lt;=64,"56-64")</f>
        <v>18-25</v>
      </c>
      <c r="C1315" t="s">
        <v>7</v>
      </c>
      <c r="D1315">
        <v>34.700000000000003</v>
      </c>
      <c r="E1315">
        <v>2</v>
      </c>
      <c r="F1315" t="s">
        <v>8</v>
      </c>
      <c r="G1315" t="s">
        <v>52</v>
      </c>
      <c r="H1315" s="2">
        <v>36397.576000000001</v>
      </c>
      <c r="I1315" s="2">
        <f t="shared" si="140"/>
        <v>12132.525333333333</v>
      </c>
      <c r="J1315" t="str">
        <f t="shared" si="141"/>
        <v>High</v>
      </c>
      <c r="K1315" s="1">
        <f t="shared" si="142"/>
        <v>0.91100000000000003</v>
      </c>
      <c r="L1315" t="str">
        <f t="shared" si="143"/>
        <v>Obese</v>
      </c>
      <c r="M1315" t="str">
        <f t="shared" si="144"/>
        <v>High Risk</v>
      </c>
      <c r="N1315" t="str">
        <f t="shared" si="145"/>
        <v>Tier 3</v>
      </c>
      <c r="O1315">
        <f t="shared" si="146"/>
        <v>5</v>
      </c>
    </row>
    <row r="1316" spans="1:15" x14ac:dyDescent="0.2">
      <c r="A1316">
        <v>30</v>
      </c>
      <c r="B1316" t="str" cm="1">
        <f t="array" ref="B1316">_xlfn.IFS(A1316&lt;=25,"18-25", A1316&lt;=35,"26-35", A1316&lt;=45,"36-45", A1316&lt;=55,"46-55", A1316&lt;=64,"56-64")</f>
        <v>26-35</v>
      </c>
      <c r="C1316" t="s">
        <v>7</v>
      </c>
      <c r="D1316">
        <v>23.655000000000001</v>
      </c>
      <c r="E1316">
        <v>3</v>
      </c>
      <c r="F1316" t="s">
        <v>8</v>
      </c>
      <c r="G1316" t="s">
        <v>54</v>
      </c>
      <c r="H1316" s="2">
        <v>18765.87545</v>
      </c>
      <c r="I1316" s="2">
        <f t="shared" si="140"/>
        <v>4691.4688624999999</v>
      </c>
      <c r="J1316" t="str">
        <f t="shared" si="141"/>
        <v>High</v>
      </c>
      <c r="K1316" s="1">
        <f t="shared" si="142"/>
        <v>0.77400000000000002</v>
      </c>
      <c r="L1316" t="str">
        <f t="shared" si="143"/>
        <v>Normal</v>
      </c>
      <c r="M1316" t="str">
        <f t="shared" si="144"/>
        <v>High Risk</v>
      </c>
      <c r="N1316" t="str">
        <f t="shared" si="145"/>
        <v>Tier 4</v>
      </c>
      <c r="O1316">
        <f t="shared" si="146"/>
        <v>3</v>
      </c>
    </row>
    <row r="1317" spans="1:15" x14ac:dyDescent="0.2">
      <c r="A1317">
        <v>18</v>
      </c>
      <c r="B1317" t="str" cm="1">
        <f t="array" ref="B1317">_xlfn.IFS(A1317&lt;=25,"18-25", A1317&lt;=35,"26-35", A1317&lt;=45,"36-45", A1317&lt;=55,"46-55", A1317&lt;=64,"56-64")</f>
        <v>18-25</v>
      </c>
      <c r="C1317" t="s">
        <v>10</v>
      </c>
      <c r="D1317">
        <v>28.31</v>
      </c>
      <c r="E1317">
        <v>1</v>
      </c>
      <c r="F1317" t="s">
        <v>11</v>
      </c>
      <c r="G1317" t="s">
        <v>53</v>
      </c>
      <c r="H1317" s="2">
        <v>11272.331389999999</v>
      </c>
      <c r="I1317" s="2">
        <f t="shared" si="140"/>
        <v>5636.1656949999997</v>
      </c>
      <c r="J1317" t="str">
        <f t="shared" si="141"/>
        <v>Low</v>
      </c>
      <c r="K1317" s="1">
        <f t="shared" si="142"/>
        <v>0.58899999999999997</v>
      </c>
      <c r="L1317" t="str">
        <f t="shared" si="143"/>
        <v>Overweight</v>
      </c>
      <c r="M1317" t="str">
        <f t="shared" si="144"/>
        <v>Standard</v>
      </c>
      <c r="N1317" t="str">
        <f t="shared" si="145"/>
        <v>Tier 2</v>
      </c>
      <c r="O1317">
        <f t="shared" si="146"/>
        <v>1</v>
      </c>
    </row>
    <row r="1318" spans="1:15" x14ac:dyDescent="0.2">
      <c r="A1318">
        <v>19</v>
      </c>
      <c r="B1318" t="str" cm="1">
        <f t="array" ref="B1318">_xlfn.IFS(A1318&lt;=25,"18-25", A1318&lt;=35,"26-35", A1318&lt;=45,"36-45", A1318&lt;=55,"46-55", A1318&lt;=64,"56-64")</f>
        <v>18-25</v>
      </c>
      <c r="C1318" t="s">
        <v>7</v>
      </c>
      <c r="D1318">
        <v>20.6</v>
      </c>
      <c r="E1318">
        <v>0</v>
      </c>
      <c r="F1318" t="s">
        <v>11</v>
      </c>
      <c r="G1318" t="s">
        <v>52</v>
      </c>
      <c r="H1318" s="2">
        <v>1731.6769999999999</v>
      </c>
      <c r="I1318" s="2">
        <f t="shared" si="140"/>
        <v>1731.6769999999999</v>
      </c>
      <c r="J1318" t="str">
        <f t="shared" si="141"/>
        <v>Low</v>
      </c>
      <c r="K1318" s="1">
        <f t="shared" si="142"/>
        <v>4.5999999999999999E-2</v>
      </c>
      <c r="L1318" t="str">
        <f t="shared" si="143"/>
        <v>Normal</v>
      </c>
      <c r="M1318" t="str">
        <f t="shared" si="144"/>
        <v>Standard</v>
      </c>
      <c r="N1318" t="str">
        <f t="shared" si="145"/>
        <v>Tier 3</v>
      </c>
      <c r="O1318">
        <f t="shared" si="146"/>
        <v>0</v>
      </c>
    </row>
    <row r="1319" spans="1:15" x14ac:dyDescent="0.2">
      <c r="A1319">
        <v>18</v>
      </c>
      <c r="B1319" t="str" cm="1">
        <f t="array" ref="B1319">_xlfn.IFS(A1319&lt;=25,"18-25", A1319&lt;=35,"26-35", A1319&lt;=45,"36-45", A1319&lt;=55,"46-55", A1319&lt;=64,"56-64")</f>
        <v>18-25</v>
      </c>
      <c r="C1319" t="s">
        <v>10</v>
      </c>
      <c r="D1319">
        <v>53.13</v>
      </c>
      <c r="E1319">
        <v>0</v>
      </c>
      <c r="F1319" t="s">
        <v>11</v>
      </c>
      <c r="G1319" t="s">
        <v>51</v>
      </c>
      <c r="H1319" s="2">
        <v>1163.4627</v>
      </c>
      <c r="I1319" s="2">
        <f t="shared" si="140"/>
        <v>1163.4627</v>
      </c>
      <c r="J1319" t="str">
        <f t="shared" si="141"/>
        <v>Low</v>
      </c>
      <c r="K1319" s="1">
        <f t="shared" si="142"/>
        <v>6.0000000000000001E-3</v>
      </c>
      <c r="L1319" t="str">
        <f t="shared" si="143"/>
        <v>Obese</v>
      </c>
      <c r="M1319" t="str">
        <f t="shared" si="144"/>
        <v>Standard</v>
      </c>
      <c r="N1319" t="str">
        <f t="shared" si="145"/>
        <v>Tier 1</v>
      </c>
      <c r="O1319">
        <f t="shared" si="146"/>
        <v>3</v>
      </c>
    </row>
    <row r="1320" spans="1:15" x14ac:dyDescent="0.2">
      <c r="A1320">
        <v>35</v>
      </c>
      <c r="B1320" t="str" cm="1">
        <f t="array" ref="B1320">_xlfn.IFS(A1320&lt;=25,"18-25", A1320&lt;=35,"26-35", A1320&lt;=45,"36-45", A1320&lt;=55,"46-55", A1320&lt;=64,"56-64")</f>
        <v>26-35</v>
      </c>
      <c r="C1320" t="s">
        <v>10</v>
      </c>
      <c r="D1320">
        <v>39.71</v>
      </c>
      <c r="E1320">
        <v>4</v>
      </c>
      <c r="F1320" t="s">
        <v>11</v>
      </c>
      <c r="G1320" t="s">
        <v>53</v>
      </c>
      <c r="H1320" s="2">
        <v>19496.71917</v>
      </c>
      <c r="I1320" s="2">
        <f t="shared" si="140"/>
        <v>3899.3438340000002</v>
      </c>
      <c r="J1320" t="str">
        <f t="shared" si="141"/>
        <v>High</v>
      </c>
      <c r="K1320" s="1">
        <f t="shared" si="142"/>
        <v>0.78800000000000003</v>
      </c>
      <c r="L1320" t="str">
        <f t="shared" si="143"/>
        <v>Obese</v>
      </c>
      <c r="M1320" t="str">
        <f t="shared" si="144"/>
        <v>Standard</v>
      </c>
      <c r="N1320" t="str">
        <f t="shared" si="145"/>
        <v>Tier 2</v>
      </c>
      <c r="O1320">
        <f t="shared" si="146"/>
        <v>2</v>
      </c>
    </row>
    <row r="1321" spans="1:15" x14ac:dyDescent="0.2">
      <c r="A1321">
        <v>39</v>
      </c>
      <c r="B1321" t="str" cm="1">
        <f t="array" ref="B1321">_xlfn.IFS(A1321&lt;=25,"18-25", A1321&lt;=35,"26-35", A1321&lt;=45,"36-45", A1321&lt;=55,"46-55", A1321&lt;=64,"56-64")</f>
        <v>36-45</v>
      </c>
      <c r="C1321" t="s">
        <v>7</v>
      </c>
      <c r="D1321">
        <v>26.315000000000001</v>
      </c>
      <c r="E1321">
        <v>2</v>
      </c>
      <c r="F1321" t="s">
        <v>11</v>
      </c>
      <c r="G1321" t="s">
        <v>54</v>
      </c>
      <c r="H1321" s="2">
        <v>7201.7008500000002</v>
      </c>
      <c r="I1321" s="2">
        <f t="shared" si="140"/>
        <v>2400.5669499999999</v>
      </c>
      <c r="J1321" t="str">
        <f t="shared" si="141"/>
        <v>Low</v>
      </c>
      <c r="K1321" s="1">
        <f t="shared" si="142"/>
        <v>0.38800000000000001</v>
      </c>
      <c r="L1321" t="str">
        <f t="shared" si="143"/>
        <v>Overweight</v>
      </c>
      <c r="M1321" t="str">
        <f t="shared" si="144"/>
        <v>Standard</v>
      </c>
      <c r="N1321" t="str">
        <f t="shared" si="145"/>
        <v>Tier 4</v>
      </c>
      <c r="O1321">
        <f t="shared" si="146"/>
        <v>1</v>
      </c>
    </row>
    <row r="1322" spans="1:15" x14ac:dyDescent="0.2">
      <c r="A1322">
        <v>31</v>
      </c>
      <c r="B1322" t="str" cm="1">
        <f t="array" ref="B1322">_xlfn.IFS(A1322&lt;=25,"18-25", A1322&lt;=35,"26-35", A1322&lt;=45,"36-45", A1322&lt;=55,"46-55", A1322&lt;=64,"56-64")</f>
        <v>26-35</v>
      </c>
      <c r="C1322" t="s">
        <v>10</v>
      </c>
      <c r="D1322">
        <v>31.065000000000001</v>
      </c>
      <c r="E1322">
        <v>3</v>
      </c>
      <c r="F1322" t="s">
        <v>11</v>
      </c>
      <c r="G1322" t="s">
        <v>54</v>
      </c>
      <c r="H1322" s="2">
        <v>5425.0233500000004</v>
      </c>
      <c r="I1322" s="2">
        <f t="shared" si="140"/>
        <v>1356.2558375000001</v>
      </c>
      <c r="J1322" t="str">
        <f t="shared" si="141"/>
        <v>Low</v>
      </c>
      <c r="K1322" s="1">
        <f t="shared" si="142"/>
        <v>0.29399999999999998</v>
      </c>
      <c r="L1322" t="str">
        <f t="shared" si="143"/>
        <v>Obese</v>
      </c>
      <c r="M1322" t="str">
        <f t="shared" si="144"/>
        <v>Standard</v>
      </c>
      <c r="N1322" t="str">
        <f t="shared" si="145"/>
        <v>Tier 4</v>
      </c>
      <c r="O1322">
        <f t="shared" si="146"/>
        <v>2</v>
      </c>
    </row>
    <row r="1323" spans="1:15" x14ac:dyDescent="0.2">
      <c r="A1323">
        <v>62</v>
      </c>
      <c r="B1323" t="str" cm="1">
        <f t="array" ref="B1323">_xlfn.IFS(A1323&lt;=25,"18-25", A1323&lt;=35,"26-35", A1323&lt;=45,"36-45", A1323&lt;=55,"46-55", A1323&lt;=64,"56-64")</f>
        <v>56-64</v>
      </c>
      <c r="C1323" t="s">
        <v>10</v>
      </c>
      <c r="D1323">
        <v>26.695</v>
      </c>
      <c r="E1323">
        <v>0</v>
      </c>
      <c r="F1323" t="s">
        <v>8</v>
      </c>
      <c r="G1323" t="s">
        <v>53</v>
      </c>
      <c r="H1323" s="2">
        <v>28101.333050000001</v>
      </c>
      <c r="I1323" s="2">
        <f t="shared" si="140"/>
        <v>28101.333050000001</v>
      </c>
      <c r="J1323" t="str">
        <f t="shared" si="141"/>
        <v>High</v>
      </c>
      <c r="K1323" s="1">
        <f t="shared" si="142"/>
        <v>0.87</v>
      </c>
      <c r="L1323" t="str">
        <f t="shared" si="143"/>
        <v>Overweight</v>
      </c>
      <c r="M1323" t="str">
        <f t="shared" si="144"/>
        <v>High Risk</v>
      </c>
      <c r="N1323" t="str">
        <f t="shared" si="145"/>
        <v>Tier 2</v>
      </c>
      <c r="O1323">
        <f t="shared" si="146"/>
        <v>4</v>
      </c>
    </row>
    <row r="1324" spans="1:15" x14ac:dyDescent="0.2">
      <c r="A1324">
        <v>62</v>
      </c>
      <c r="B1324" t="str" cm="1">
        <f t="array" ref="B1324">_xlfn.IFS(A1324&lt;=25,"18-25", A1324&lt;=35,"26-35", A1324&lt;=45,"36-45", A1324&lt;=55,"46-55", A1324&lt;=64,"56-64")</f>
        <v>56-64</v>
      </c>
      <c r="C1324" t="s">
        <v>10</v>
      </c>
      <c r="D1324">
        <v>38.83</v>
      </c>
      <c r="E1324">
        <v>0</v>
      </c>
      <c r="F1324" t="s">
        <v>11</v>
      </c>
      <c r="G1324" t="s">
        <v>51</v>
      </c>
      <c r="H1324" s="2">
        <v>12981.3457</v>
      </c>
      <c r="I1324" s="2">
        <f t="shared" si="140"/>
        <v>12981.3457</v>
      </c>
      <c r="J1324" t="str">
        <f t="shared" si="141"/>
        <v>Low</v>
      </c>
      <c r="K1324" s="1">
        <f t="shared" si="142"/>
        <v>0.67300000000000004</v>
      </c>
      <c r="L1324" t="str">
        <f t="shared" si="143"/>
        <v>Obese</v>
      </c>
      <c r="M1324" t="str">
        <f t="shared" si="144"/>
        <v>Standard</v>
      </c>
      <c r="N1324" t="str">
        <f t="shared" si="145"/>
        <v>Tier 1</v>
      </c>
      <c r="O1324">
        <f t="shared" si="146"/>
        <v>3</v>
      </c>
    </row>
    <row r="1325" spans="1:15" x14ac:dyDescent="0.2">
      <c r="A1325">
        <v>42</v>
      </c>
      <c r="B1325" t="str" cm="1">
        <f t="array" ref="B1325">_xlfn.IFS(A1325&lt;=25,"18-25", A1325&lt;=35,"26-35", A1325&lt;=45,"36-45", A1325&lt;=55,"46-55", A1325&lt;=64,"56-64")</f>
        <v>36-45</v>
      </c>
      <c r="C1325" t="s">
        <v>7</v>
      </c>
      <c r="D1325">
        <v>40.369999999999997</v>
      </c>
      <c r="E1325">
        <v>2</v>
      </c>
      <c r="F1325" t="s">
        <v>8</v>
      </c>
      <c r="G1325" t="s">
        <v>51</v>
      </c>
      <c r="H1325" s="2">
        <v>43896.376300000004</v>
      </c>
      <c r="I1325" s="2">
        <f t="shared" si="140"/>
        <v>14632.125433333335</v>
      </c>
      <c r="J1325" t="str">
        <f t="shared" si="141"/>
        <v>High</v>
      </c>
      <c r="K1325" s="1">
        <f t="shared" si="142"/>
        <v>0.96399999999999997</v>
      </c>
      <c r="L1325" t="str">
        <f t="shared" si="143"/>
        <v>Obese</v>
      </c>
      <c r="M1325" t="str">
        <f t="shared" si="144"/>
        <v>High Risk</v>
      </c>
      <c r="N1325" t="str">
        <f t="shared" si="145"/>
        <v>Tier 1</v>
      </c>
      <c r="O1325">
        <f t="shared" si="146"/>
        <v>6</v>
      </c>
    </row>
    <row r="1326" spans="1:15" x14ac:dyDescent="0.2">
      <c r="A1326">
        <v>31</v>
      </c>
      <c r="B1326" t="str" cm="1">
        <f t="array" ref="B1326">_xlfn.IFS(A1326&lt;=25,"18-25", A1326&lt;=35,"26-35", A1326&lt;=45,"36-45", A1326&lt;=55,"46-55", A1326&lt;=64,"56-64")</f>
        <v>26-35</v>
      </c>
      <c r="C1326" t="s">
        <v>10</v>
      </c>
      <c r="D1326">
        <v>25.934999999999999</v>
      </c>
      <c r="E1326">
        <v>1</v>
      </c>
      <c r="F1326" t="s">
        <v>11</v>
      </c>
      <c r="G1326" t="s">
        <v>54</v>
      </c>
      <c r="H1326" s="2">
        <v>4239.8926499999998</v>
      </c>
      <c r="I1326" s="2">
        <f t="shared" si="140"/>
        <v>2119.9463249999999</v>
      </c>
      <c r="J1326" t="str">
        <f t="shared" si="141"/>
        <v>Low</v>
      </c>
      <c r="K1326" s="1">
        <f t="shared" si="142"/>
        <v>0.21299999999999999</v>
      </c>
      <c r="L1326" t="str">
        <f t="shared" si="143"/>
        <v>Overweight</v>
      </c>
      <c r="M1326" t="str">
        <f t="shared" si="144"/>
        <v>Standard</v>
      </c>
      <c r="N1326" t="str">
        <f t="shared" si="145"/>
        <v>Tier 4</v>
      </c>
      <c r="O1326">
        <f t="shared" si="146"/>
        <v>1</v>
      </c>
    </row>
    <row r="1327" spans="1:15" x14ac:dyDescent="0.2">
      <c r="A1327">
        <v>61</v>
      </c>
      <c r="B1327" t="str" cm="1">
        <f t="array" ref="B1327">_xlfn.IFS(A1327&lt;=25,"18-25", A1327&lt;=35,"26-35", A1327&lt;=45,"36-45", A1327&lt;=55,"46-55", A1327&lt;=64,"56-64")</f>
        <v>56-64</v>
      </c>
      <c r="C1327" t="s">
        <v>10</v>
      </c>
      <c r="D1327">
        <v>33.534999999999997</v>
      </c>
      <c r="E1327">
        <v>0</v>
      </c>
      <c r="F1327" t="s">
        <v>11</v>
      </c>
      <c r="G1327" t="s">
        <v>53</v>
      </c>
      <c r="H1327" s="2">
        <v>13143.336649999999</v>
      </c>
      <c r="I1327" s="2">
        <f t="shared" si="140"/>
        <v>13143.336649999999</v>
      </c>
      <c r="J1327" t="str">
        <f t="shared" si="141"/>
        <v>Low</v>
      </c>
      <c r="K1327" s="1">
        <f t="shared" si="142"/>
        <v>0.68100000000000005</v>
      </c>
      <c r="L1327" t="str">
        <f t="shared" si="143"/>
        <v>Obese</v>
      </c>
      <c r="M1327" t="str">
        <f t="shared" si="144"/>
        <v>Standard</v>
      </c>
      <c r="N1327" t="str">
        <f t="shared" si="145"/>
        <v>Tier 2</v>
      </c>
      <c r="O1327">
        <f t="shared" si="146"/>
        <v>2</v>
      </c>
    </row>
    <row r="1328" spans="1:15" x14ac:dyDescent="0.2">
      <c r="A1328">
        <v>42</v>
      </c>
      <c r="B1328" t="str" cm="1">
        <f t="array" ref="B1328">_xlfn.IFS(A1328&lt;=25,"18-25", A1328&lt;=35,"26-35", A1328&lt;=45,"36-45", A1328&lt;=55,"46-55", A1328&lt;=64,"56-64")</f>
        <v>36-45</v>
      </c>
      <c r="C1328" t="s">
        <v>7</v>
      </c>
      <c r="D1328">
        <v>32.869999999999997</v>
      </c>
      <c r="E1328">
        <v>0</v>
      </c>
      <c r="F1328" t="s">
        <v>11</v>
      </c>
      <c r="G1328" t="s">
        <v>53</v>
      </c>
      <c r="H1328" s="2">
        <v>7050.0213000000003</v>
      </c>
      <c r="I1328" s="2">
        <f t="shared" si="140"/>
        <v>7050.0213000000003</v>
      </c>
      <c r="J1328" t="str">
        <f t="shared" si="141"/>
        <v>Low</v>
      </c>
      <c r="K1328" s="1">
        <f t="shared" si="142"/>
        <v>0.376</v>
      </c>
      <c r="L1328" t="str">
        <f t="shared" si="143"/>
        <v>Obese</v>
      </c>
      <c r="M1328" t="str">
        <f t="shared" si="144"/>
        <v>Standard</v>
      </c>
      <c r="N1328" t="str">
        <f t="shared" si="145"/>
        <v>Tier 2</v>
      </c>
      <c r="O1328">
        <f t="shared" si="146"/>
        <v>2</v>
      </c>
    </row>
    <row r="1329" spans="1:15" x14ac:dyDescent="0.2">
      <c r="A1329">
        <v>51</v>
      </c>
      <c r="B1329" t="str" cm="1">
        <f t="array" ref="B1329">_xlfn.IFS(A1329&lt;=25,"18-25", A1329&lt;=35,"26-35", A1329&lt;=45,"36-45", A1329&lt;=55,"46-55", A1329&lt;=64,"56-64")</f>
        <v>46-55</v>
      </c>
      <c r="C1329" t="s">
        <v>10</v>
      </c>
      <c r="D1329">
        <v>30.03</v>
      </c>
      <c r="E1329">
        <v>1</v>
      </c>
      <c r="F1329" t="s">
        <v>11</v>
      </c>
      <c r="G1329" t="s">
        <v>51</v>
      </c>
      <c r="H1329" s="2">
        <v>9377.9046999999991</v>
      </c>
      <c r="I1329" s="2">
        <f t="shared" si="140"/>
        <v>4688.9523499999996</v>
      </c>
      <c r="J1329" t="str">
        <f t="shared" si="141"/>
        <v>Low</v>
      </c>
      <c r="K1329" s="1">
        <f t="shared" si="142"/>
        <v>0.499</v>
      </c>
      <c r="L1329" t="str">
        <f t="shared" si="143"/>
        <v>Obese</v>
      </c>
      <c r="M1329" t="str">
        <f t="shared" si="144"/>
        <v>Standard</v>
      </c>
      <c r="N1329" t="str">
        <f t="shared" si="145"/>
        <v>Tier 1</v>
      </c>
      <c r="O1329">
        <f t="shared" si="146"/>
        <v>3</v>
      </c>
    </row>
    <row r="1330" spans="1:15" x14ac:dyDescent="0.2">
      <c r="A1330">
        <v>23</v>
      </c>
      <c r="B1330" t="str" cm="1">
        <f t="array" ref="B1330">_xlfn.IFS(A1330&lt;=25,"18-25", A1330&lt;=35,"26-35", A1330&lt;=45,"36-45", A1330&lt;=55,"46-55", A1330&lt;=64,"56-64")</f>
        <v>18-25</v>
      </c>
      <c r="C1330" t="s">
        <v>7</v>
      </c>
      <c r="D1330">
        <v>24.225000000000001</v>
      </c>
      <c r="E1330">
        <v>2</v>
      </c>
      <c r="F1330" t="s">
        <v>11</v>
      </c>
      <c r="G1330" t="s">
        <v>53</v>
      </c>
      <c r="H1330" s="2">
        <v>22395.74424</v>
      </c>
      <c r="I1330" s="2">
        <f t="shared" si="140"/>
        <v>7465.2480800000003</v>
      </c>
      <c r="J1330" t="str">
        <f t="shared" si="141"/>
        <v>High</v>
      </c>
      <c r="K1330" s="1">
        <f t="shared" si="142"/>
        <v>0.82399999999999995</v>
      </c>
      <c r="L1330" t="str">
        <f t="shared" si="143"/>
        <v>Normal</v>
      </c>
      <c r="M1330" t="str">
        <f t="shared" si="144"/>
        <v>Standard</v>
      </c>
      <c r="N1330" t="str">
        <f t="shared" si="145"/>
        <v>Tier 2</v>
      </c>
      <c r="O1330">
        <f t="shared" si="146"/>
        <v>0</v>
      </c>
    </row>
    <row r="1331" spans="1:15" x14ac:dyDescent="0.2">
      <c r="A1331">
        <v>52</v>
      </c>
      <c r="B1331" t="str" cm="1">
        <f t="array" ref="B1331">_xlfn.IFS(A1331&lt;=25,"18-25", A1331&lt;=35,"26-35", A1331&lt;=45,"36-45", A1331&lt;=55,"46-55", A1331&lt;=64,"56-64")</f>
        <v>46-55</v>
      </c>
      <c r="C1331" t="s">
        <v>10</v>
      </c>
      <c r="D1331">
        <v>38.6</v>
      </c>
      <c r="E1331">
        <v>2</v>
      </c>
      <c r="F1331" t="s">
        <v>11</v>
      </c>
      <c r="G1331" t="s">
        <v>52</v>
      </c>
      <c r="H1331" s="2">
        <v>10325.206</v>
      </c>
      <c r="I1331" s="2">
        <f t="shared" si="140"/>
        <v>3441.7353333333335</v>
      </c>
      <c r="J1331" t="str">
        <f t="shared" si="141"/>
        <v>Low</v>
      </c>
      <c r="K1331" s="1">
        <f t="shared" si="142"/>
        <v>0.54500000000000004</v>
      </c>
      <c r="L1331" t="str">
        <f t="shared" si="143"/>
        <v>Obese</v>
      </c>
      <c r="M1331" t="str">
        <f t="shared" si="144"/>
        <v>Standard</v>
      </c>
      <c r="N1331" t="str">
        <f t="shared" si="145"/>
        <v>Tier 3</v>
      </c>
      <c r="O1331">
        <f t="shared" si="146"/>
        <v>2</v>
      </c>
    </row>
    <row r="1332" spans="1:15" x14ac:dyDescent="0.2">
      <c r="A1332">
        <v>57</v>
      </c>
      <c r="B1332" t="str" cm="1">
        <f t="array" ref="B1332">_xlfn.IFS(A1332&lt;=25,"18-25", A1332&lt;=35,"26-35", A1332&lt;=45,"36-45", A1332&lt;=55,"46-55", A1332&lt;=64,"56-64")</f>
        <v>56-64</v>
      </c>
      <c r="C1332" t="s">
        <v>7</v>
      </c>
      <c r="D1332">
        <v>25.74</v>
      </c>
      <c r="E1332">
        <v>2</v>
      </c>
      <c r="F1332" t="s">
        <v>11</v>
      </c>
      <c r="G1332" t="s">
        <v>51</v>
      </c>
      <c r="H1332" s="2">
        <v>12629.1656</v>
      </c>
      <c r="I1332" s="2">
        <f t="shared" si="140"/>
        <v>4209.7218666666668</v>
      </c>
      <c r="J1332" t="str">
        <f t="shared" si="141"/>
        <v>Low</v>
      </c>
      <c r="K1332" s="1">
        <f t="shared" si="142"/>
        <v>0.65800000000000003</v>
      </c>
      <c r="L1332" t="str">
        <f t="shared" si="143"/>
        <v>Overweight</v>
      </c>
      <c r="M1332" t="str">
        <f t="shared" si="144"/>
        <v>Standard</v>
      </c>
      <c r="N1332" t="str">
        <f t="shared" si="145"/>
        <v>Tier 1</v>
      </c>
      <c r="O1332">
        <f t="shared" si="146"/>
        <v>2</v>
      </c>
    </row>
    <row r="1333" spans="1:15" x14ac:dyDescent="0.2">
      <c r="A1333">
        <v>23</v>
      </c>
      <c r="B1333" t="str" cm="1">
        <f t="array" ref="B1333">_xlfn.IFS(A1333&lt;=25,"18-25", A1333&lt;=35,"26-35", A1333&lt;=45,"36-45", A1333&lt;=55,"46-55", A1333&lt;=64,"56-64")</f>
        <v>18-25</v>
      </c>
      <c r="C1333" t="s">
        <v>7</v>
      </c>
      <c r="D1333">
        <v>33.4</v>
      </c>
      <c r="E1333">
        <v>0</v>
      </c>
      <c r="F1333" t="s">
        <v>11</v>
      </c>
      <c r="G1333" t="s">
        <v>52</v>
      </c>
      <c r="H1333" s="2">
        <v>10795.937330000001</v>
      </c>
      <c r="I1333" s="2">
        <f t="shared" si="140"/>
        <v>10795.937330000001</v>
      </c>
      <c r="J1333" t="str">
        <f t="shared" si="141"/>
        <v>Low</v>
      </c>
      <c r="K1333" s="1">
        <f t="shared" si="142"/>
        <v>0.56499999999999995</v>
      </c>
      <c r="L1333" t="str">
        <f t="shared" si="143"/>
        <v>Obese</v>
      </c>
      <c r="M1333" t="str">
        <f t="shared" si="144"/>
        <v>Standard</v>
      </c>
      <c r="N1333" t="str">
        <f t="shared" si="145"/>
        <v>Tier 3</v>
      </c>
      <c r="O1333">
        <f t="shared" si="146"/>
        <v>2</v>
      </c>
    </row>
    <row r="1334" spans="1:15" x14ac:dyDescent="0.2">
      <c r="A1334">
        <v>52</v>
      </c>
      <c r="B1334" t="str" cm="1">
        <f t="array" ref="B1334">_xlfn.IFS(A1334&lt;=25,"18-25", A1334&lt;=35,"26-35", A1334&lt;=45,"36-45", A1334&lt;=55,"46-55", A1334&lt;=64,"56-64")</f>
        <v>46-55</v>
      </c>
      <c r="C1334" t="s">
        <v>7</v>
      </c>
      <c r="D1334">
        <v>44.7</v>
      </c>
      <c r="E1334">
        <v>3</v>
      </c>
      <c r="F1334" t="s">
        <v>11</v>
      </c>
      <c r="G1334" t="s">
        <v>52</v>
      </c>
      <c r="H1334" s="2">
        <v>11411.684999999999</v>
      </c>
      <c r="I1334" s="2">
        <f t="shared" si="140"/>
        <v>2852.9212499999999</v>
      </c>
      <c r="J1334" t="str">
        <f t="shared" si="141"/>
        <v>Low</v>
      </c>
      <c r="K1334" s="1">
        <f t="shared" si="142"/>
        <v>0.6</v>
      </c>
      <c r="L1334" t="str">
        <f t="shared" si="143"/>
        <v>Obese</v>
      </c>
      <c r="M1334" t="str">
        <f t="shared" si="144"/>
        <v>Standard</v>
      </c>
      <c r="N1334" t="str">
        <f t="shared" si="145"/>
        <v>Tier 3</v>
      </c>
      <c r="O1334">
        <f t="shared" si="146"/>
        <v>2</v>
      </c>
    </row>
    <row r="1335" spans="1:15" x14ac:dyDescent="0.2">
      <c r="A1335">
        <v>50</v>
      </c>
      <c r="B1335" t="str" cm="1">
        <f t="array" ref="B1335">_xlfn.IFS(A1335&lt;=25,"18-25", A1335&lt;=35,"26-35", A1335&lt;=45,"36-45", A1335&lt;=55,"46-55", A1335&lt;=64,"56-64")</f>
        <v>46-55</v>
      </c>
      <c r="C1335" t="s">
        <v>10</v>
      </c>
      <c r="D1335">
        <v>30.97</v>
      </c>
      <c r="E1335">
        <v>3</v>
      </c>
      <c r="F1335" t="s">
        <v>11</v>
      </c>
      <c r="G1335" t="s">
        <v>54</v>
      </c>
      <c r="H1335" s="2">
        <v>10600.5483</v>
      </c>
      <c r="I1335" s="2">
        <f t="shared" si="140"/>
        <v>2650.1370750000001</v>
      </c>
      <c r="J1335" t="str">
        <f t="shared" si="141"/>
        <v>Low</v>
      </c>
      <c r="K1335" s="1">
        <f t="shared" si="142"/>
        <v>0.55800000000000005</v>
      </c>
      <c r="L1335" t="str">
        <f t="shared" si="143"/>
        <v>Obese</v>
      </c>
      <c r="M1335" t="str">
        <f t="shared" si="144"/>
        <v>Standard</v>
      </c>
      <c r="N1335" t="str">
        <f t="shared" si="145"/>
        <v>Tier 4</v>
      </c>
      <c r="O1335">
        <f t="shared" si="146"/>
        <v>2</v>
      </c>
    </row>
    <row r="1336" spans="1:15" x14ac:dyDescent="0.2">
      <c r="A1336">
        <v>18</v>
      </c>
      <c r="B1336" t="str" cm="1">
        <f t="array" ref="B1336">_xlfn.IFS(A1336&lt;=25,"18-25", A1336&lt;=35,"26-35", A1336&lt;=45,"36-45", A1336&lt;=55,"46-55", A1336&lt;=64,"56-64")</f>
        <v>18-25</v>
      </c>
      <c r="C1336" t="s">
        <v>7</v>
      </c>
      <c r="D1336">
        <v>31.92</v>
      </c>
      <c r="E1336">
        <v>0</v>
      </c>
      <c r="F1336" t="s">
        <v>11</v>
      </c>
      <c r="G1336" t="s">
        <v>53</v>
      </c>
      <c r="H1336" s="2">
        <v>2205.9807999999998</v>
      </c>
      <c r="I1336" s="2">
        <f t="shared" si="140"/>
        <v>2205.9807999999998</v>
      </c>
      <c r="J1336" t="str">
        <f t="shared" si="141"/>
        <v>Low</v>
      </c>
      <c r="K1336" s="1">
        <f t="shared" si="142"/>
        <v>8.8999999999999996E-2</v>
      </c>
      <c r="L1336" t="str">
        <f t="shared" si="143"/>
        <v>Obese</v>
      </c>
      <c r="M1336" t="str">
        <f t="shared" si="144"/>
        <v>Standard</v>
      </c>
      <c r="N1336" t="str">
        <f t="shared" si="145"/>
        <v>Tier 2</v>
      </c>
      <c r="O1336">
        <f t="shared" si="146"/>
        <v>2</v>
      </c>
    </row>
    <row r="1337" spans="1:15" x14ac:dyDescent="0.2">
      <c r="A1337">
        <v>18</v>
      </c>
      <c r="B1337" t="str" cm="1">
        <f t="array" ref="B1337">_xlfn.IFS(A1337&lt;=25,"18-25", A1337&lt;=35,"26-35", A1337&lt;=45,"36-45", A1337&lt;=55,"46-55", A1337&lt;=64,"56-64")</f>
        <v>18-25</v>
      </c>
      <c r="C1337" t="s">
        <v>7</v>
      </c>
      <c r="D1337">
        <v>36.85</v>
      </c>
      <c r="E1337">
        <v>0</v>
      </c>
      <c r="F1337" t="s">
        <v>11</v>
      </c>
      <c r="G1337" t="s">
        <v>51</v>
      </c>
      <c r="H1337" s="2">
        <v>1629.8335</v>
      </c>
      <c r="I1337" s="2">
        <f t="shared" si="140"/>
        <v>1629.8335</v>
      </c>
      <c r="J1337" t="str">
        <f t="shared" si="141"/>
        <v>Low</v>
      </c>
      <c r="K1337" s="1">
        <f t="shared" si="142"/>
        <v>2.3E-2</v>
      </c>
      <c r="L1337" t="str">
        <f t="shared" si="143"/>
        <v>Obese</v>
      </c>
      <c r="M1337" t="str">
        <f t="shared" si="144"/>
        <v>Standard</v>
      </c>
      <c r="N1337" t="str">
        <f t="shared" si="145"/>
        <v>Tier 1</v>
      </c>
      <c r="O1337">
        <f t="shared" si="146"/>
        <v>3</v>
      </c>
    </row>
    <row r="1338" spans="1:15" x14ac:dyDescent="0.2">
      <c r="A1338">
        <v>21</v>
      </c>
      <c r="B1338" t="str" cm="1">
        <f t="array" ref="B1338">_xlfn.IFS(A1338&lt;=25,"18-25", A1338&lt;=35,"26-35", A1338&lt;=45,"36-45", A1338&lt;=55,"46-55", A1338&lt;=64,"56-64")</f>
        <v>18-25</v>
      </c>
      <c r="C1338" t="s">
        <v>7</v>
      </c>
      <c r="D1338">
        <v>25.8</v>
      </c>
      <c r="E1338">
        <v>0</v>
      </c>
      <c r="F1338" t="s">
        <v>11</v>
      </c>
      <c r="G1338" t="s">
        <v>52</v>
      </c>
      <c r="H1338" s="2">
        <v>2007.9449999999999</v>
      </c>
      <c r="I1338" s="2">
        <f t="shared" si="140"/>
        <v>2007.9449999999999</v>
      </c>
      <c r="J1338" t="str">
        <f t="shared" si="141"/>
        <v>Low</v>
      </c>
      <c r="K1338" s="1">
        <f t="shared" si="142"/>
        <v>6.8000000000000005E-2</v>
      </c>
      <c r="L1338" t="str">
        <f t="shared" si="143"/>
        <v>Overweight</v>
      </c>
      <c r="M1338" t="str">
        <f t="shared" si="144"/>
        <v>Standard</v>
      </c>
      <c r="N1338" t="str">
        <f t="shared" si="145"/>
        <v>Tier 3</v>
      </c>
      <c r="O1338">
        <f t="shared" si="146"/>
        <v>1</v>
      </c>
    </row>
    <row r="1339" spans="1:15" x14ac:dyDescent="0.2">
      <c r="A1339">
        <v>61</v>
      </c>
      <c r="B1339" t="str" cm="1">
        <f t="array" ref="B1339">_xlfn.IFS(A1339&lt;=25,"18-25", A1339&lt;=35,"26-35", A1339&lt;=45,"36-45", A1339&lt;=55,"46-55", A1339&lt;=64,"56-64")</f>
        <v>56-64</v>
      </c>
      <c r="C1339" t="s">
        <v>7</v>
      </c>
      <c r="D1339">
        <v>29.07</v>
      </c>
      <c r="E1339">
        <v>0</v>
      </c>
      <c r="F1339" t="s">
        <v>8</v>
      </c>
      <c r="G1339" t="s">
        <v>54</v>
      </c>
      <c r="H1339" s="2">
        <v>29141.3603</v>
      </c>
      <c r="I1339" s="2">
        <f t="shared" si="140"/>
        <v>29141.3603</v>
      </c>
      <c r="J1339" t="str">
        <f t="shared" si="141"/>
        <v>High</v>
      </c>
      <c r="K1339" s="1">
        <f t="shared" si="142"/>
        <v>0.876</v>
      </c>
      <c r="L1339" t="str">
        <f t="shared" si="143"/>
        <v>Overweight</v>
      </c>
      <c r="M1339" t="str">
        <f t="shared" si="144"/>
        <v>High Risk</v>
      </c>
      <c r="N1339" t="str">
        <f t="shared" si="145"/>
        <v>Tier 4</v>
      </c>
      <c r="O1339">
        <f t="shared" si="146"/>
        <v>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EA99E-D306-2C48-9657-5A80708CA9CF}">
  <dimension ref="A1:G1339"/>
  <sheetViews>
    <sheetView workbookViewId="0"/>
  </sheetViews>
  <sheetFormatPr baseColWidth="10" defaultRowHeight="16" x14ac:dyDescent="0.2"/>
  <cols>
    <col min="1" max="2" width="6.6640625" bestFit="1" customWidth="1"/>
    <col min="3" max="3" width="7.1640625" bestFit="1" customWidth="1"/>
    <col min="4" max="4" width="10.33203125" bestFit="1" customWidth="1"/>
    <col min="5" max="5" width="10" bestFit="1" customWidth="1"/>
    <col min="6" max="6" width="9.5" bestFit="1" customWidth="1"/>
    <col min="7" max="7" width="12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7" x14ac:dyDescent="0.2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7" x14ac:dyDescent="0.2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7" x14ac:dyDescent="0.2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</row>
    <row r="6" spans="1:7" x14ac:dyDescent="0.2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</row>
    <row r="7" spans="1:7" x14ac:dyDescent="0.2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</row>
    <row r="8" spans="1:7" x14ac:dyDescent="0.2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</row>
    <row r="9" spans="1:7" x14ac:dyDescent="0.2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</row>
    <row r="10" spans="1:7" x14ac:dyDescent="0.2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</row>
    <row r="11" spans="1:7" x14ac:dyDescent="0.2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</row>
    <row r="12" spans="1:7" x14ac:dyDescent="0.2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</row>
    <row r="13" spans="1:7" x14ac:dyDescent="0.2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7" x14ac:dyDescent="0.2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7" x14ac:dyDescent="0.2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7" x14ac:dyDescent="0.2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 x14ac:dyDescent="0.2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 x14ac:dyDescent="0.2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</row>
    <row r="19" spans="1:7" x14ac:dyDescent="0.2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</row>
    <row r="20" spans="1:7" x14ac:dyDescent="0.2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 x14ac:dyDescent="0.2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 x14ac:dyDescent="0.2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</row>
    <row r="23" spans="1:7" x14ac:dyDescent="0.2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 x14ac:dyDescent="0.2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 x14ac:dyDescent="0.2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</row>
    <row r="26" spans="1:7" x14ac:dyDescent="0.2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</row>
    <row r="27" spans="1:7" x14ac:dyDescent="0.2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 x14ac:dyDescent="0.2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</row>
    <row r="29" spans="1:7" x14ac:dyDescent="0.2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</row>
    <row r="30" spans="1:7" x14ac:dyDescent="0.2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</row>
    <row r="31" spans="1:7" x14ac:dyDescent="0.2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 x14ac:dyDescent="0.2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2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</row>
    <row r="34" spans="1:7" x14ac:dyDescent="0.2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2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</row>
    <row r="36" spans="1:7" x14ac:dyDescent="0.2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2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</row>
    <row r="38" spans="1:7" x14ac:dyDescent="0.2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</row>
    <row r="39" spans="1:7" x14ac:dyDescent="0.2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2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</row>
    <row r="41" spans="1:7" x14ac:dyDescent="0.2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2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</row>
    <row r="43" spans="1:7" x14ac:dyDescent="0.2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2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2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2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</row>
    <row r="47" spans="1:7" x14ac:dyDescent="0.2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2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</row>
    <row r="49" spans="1:7" x14ac:dyDescent="0.2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</row>
    <row r="50" spans="1:7" x14ac:dyDescent="0.2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2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2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</row>
    <row r="53" spans="1:7" x14ac:dyDescent="0.2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</row>
    <row r="54" spans="1:7" x14ac:dyDescent="0.2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2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2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</row>
    <row r="57" spans="1:7" x14ac:dyDescent="0.2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</row>
    <row r="58" spans="1:7" x14ac:dyDescent="0.2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</row>
    <row r="59" spans="1:7" x14ac:dyDescent="0.2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2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2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</row>
    <row r="62" spans="1:7" x14ac:dyDescent="0.2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</row>
    <row r="63" spans="1:7" x14ac:dyDescent="0.2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2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</row>
    <row r="65" spans="1:7" x14ac:dyDescent="0.2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</row>
    <row r="66" spans="1:7" x14ac:dyDescent="0.2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</row>
    <row r="67" spans="1:7" x14ac:dyDescent="0.2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2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2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</row>
    <row r="70" spans="1:7" x14ac:dyDescent="0.2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2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2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2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</row>
    <row r="74" spans="1:7" x14ac:dyDescent="0.2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2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2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2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</row>
    <row r="78" spans="1:7" x14ac:dyDescent="0.2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2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2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</row>
    <row r="81" spans="1:7" x14ac:dyDescent="0.2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</row>
    <row r="82" spans="1:7" x14ac:dyDescent="0.2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</row>
    <row r="83" spans="1:7" x14ac:dyDescent="0.2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</row>
    <row r="84" spans="1:7" x14ac:dyDescent="0.2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2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</row>
    <row r="86" spans="1:7" x14ac:dyDescent="0.2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2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</row>
    <row r="88" spans="1:7" x14ac:dyDescent="0.2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</row>
    <row r="89" spans="1:7" x14ac:dyDescent="0.2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2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</row>
    <row r="91" spans="1:7" x14ac:dyDescent="0.2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</row>
    <row r="92" spans="1:7" x14ac:dyDescent="0.2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2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</row>
    <row r="94" spans="1:7" x14ac:dyDescent="0.2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</row>
    <row r="95" spans="1:7" x14ac:dyDescent="0.2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</row>
    <row r="96" spans="1:7" x14ac:dyDescent="0.2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2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2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2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2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</row>
    <row r="101" spans="1:7" x14ac:dyDescent="0.2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2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2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</row>
    <row r="104" spans="1:7" x14ac:dyDescent="0.2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</row>
    <row r="105" spans="1:7" x14ac:dyDescent="0.2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2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2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</row>
    <row r="108" spans="1:7" x14ac:dyDescent="0.2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2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</row>
    <row r="110" spans="1:7" x14ac:dyDescent="0.2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2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2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</row>
    <row r="113" spans="1:7" x14ac:dyDescent="0.2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2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2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</row>
    <row r="116" spans="1:7" x14ac:dyDescent="0.2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</row>
    <row r="117" spans="1:7" x14ac:dyDescent="0.2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</row>
    <row r="118" spans="1:7" x14ac:dyDescent="0.2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2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2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2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</row>
    <row r="122" spans="1:7" x14ac:dyDescent="0.2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2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</row>
    <row r="124" spans="1:7" x14ac:dyDescent="0.2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</row>
    <row r="125" spans="1:7" x14ac:dyDescent="0.2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</row>
    <row r="126" spans="1:7" x14ac:dyDescent="0.2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</row>
    <row r="127" spans="1:7" x14ac:dyDescent="0.2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</row>
    <row r="128" spans="1:7" x14ac:dyDescent="0.2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2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2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</row>
    <row r="131" spans="1:7" x14ac:dyDescent="0.2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2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</row>
    <row r="133" spans="1:7" x14ac:dyDescent="0.2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</row>
    <row r="134" spans="1:7" x14ac:dyDescent="0.2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2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</row>
    <row r="136" spans="1:7" x14ac:dyDescent="0.2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</row>
    <row r="137" spans="1:7" x14ac:dyDescent="0.2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2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2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</row>
    <row r="140" spans="1:7" x14ac:dyDescent="0.2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2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2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</row>
    <row r="143" spans="1:7" x14ac:dyDescent="0.2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</row>
    <row r="144" spans="1:7" x14ac:dyDescent="0.2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2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</row>
    <row r="146" spans="1:7" x14ac:dyDescent="0.2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</row>
    <row r="147" spans="1:7" x14ac:dyDescent="0.2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2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</row>
    <row r="149" spans="1:7" x14ac:dyDescent="0.2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2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</row>
    <row r="151" spans="1:7" x14ac:dyDescent="0.2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2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</row>
    <row r="153" spans="1:7" x14ac:dyDescent="0.2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2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</row>
    <row r="155" spans="1:7" x14ac:dyDescent="0.2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</row>
    <row r="156" spans="1:7" x14ac:dyDescent="0.2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</row>
    <row r="157" spans="1:7" x14ac:dyDescent="0.2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</row>
    <row r="158" spans="1:7" x14ac:dyDescent="0.2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2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</row>
    <row r="160" spans="1:7" x14ac:dyDescent="0.2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2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2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</row>
    <row r="163" spans="1:7" x14ac:dyDescent="0.2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2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2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2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</row>
    <row r="167" spans="1:7" x14ac:dyDescent="0.2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</row>
    <row r="168" spans="1:7" x14ac:dyDescent="0.2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2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</row>
    <row r="170" spans="1:7" x14ac:dyDescent="0.2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</row>
    <row r="171" spans="1:7" x14ac:dyDescent="0.2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</row>
    <row r="172" spans="1:7" x14ac:dyDescent="0.2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2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2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</row>
    <row r="175" spans="1:7" x14ac:dyDescent="0.2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2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</row>
    <row r="177" spans="1:7" x14ac:dyDescent="0.2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2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</row>
    <row r="179" spans="1:7" x14ac:dyDescent="0.2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2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2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</row>
    <row r="182" spans="1:7" x14ac:dyDescent="0.2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</row>
    <row r="183" spans="1:7" x14ac:dyDescent="0.2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2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</row>
    <row r="185" spans="1:7" x14ac:dyDescent="0.2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</row>
    <row r="186" spans="1:7" x14ac:dyDescent="0.2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2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</row>
    <row r="188" spans="1:7" x14ac:dyDescent="0.2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2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2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2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</row>
    <row r="192" spans="1:7" x14ac:dyDescent="0.2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2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2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2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</row>
    <row r="196" spans="1:7" x14ac:dyDescent="0.2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2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</row>
    <row r="198" spans="1:7" x14ac:dyDescent="0.2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2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2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</row>
    <row r="201" spans="1:7" x14ac:dyDescent="0.2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</row>
    <row r="202" spans="1:7" x14ac:dyDescent="0.2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</row>
    <row r="203" spans="1:7" x14ac:dyDescent="0.2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2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</row>
    <row r="205" spans="1:7" x14ac:dyDescent="0.2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2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2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</row>
    <row r="208" spans="1:7" x14ac:dyDescent="0.2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2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</row>
    <row r="210" spans="1:7" x14ac:dyDescent="0.2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2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</row>
    <row r="212" spans="1:7" x14ac:dyDescent="0.2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2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</row>
    <row r="214" spans="1:7" x14ac:dyDescent="0.2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</row>
    <row r="215" spans="1:7" x14ac:dyDescent="0.2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2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2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2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</row>
    <row r="219" spans="1:7" x14ac:dyDescent="0.2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2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2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2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2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</row>
    <row r="224" spans="1:7" x14ac:dyDescent="0.2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2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2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2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2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2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2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</row>
    <row r="231" spans="1:7" x14ac:dyDescent="0.2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</row>
    <row r="232" spans="1:7" x14ac:dyDescent="0.2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</row>
    <row r="233" spans="1:7" x14ac:dyDescent="0.2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2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2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2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</row>
    <row r="237" spans="1:7" x14ac:dyDescent="0.2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2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2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2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</row>
    <row r="241" spans="1:7" x14ac:dyDescent="0.2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2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</row>
    <row r="243" spans="1:7" x14ac:dyDescent="0.2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</row>
    <row r="244" spans="1:7" x14ac:dyDescent="0.2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2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2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</row>
    <row r="247" spans="1:7" x14ac:dyDescent="0.2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</row>
    <row r="248" spans="1:7" x14ac:dyDescent="0.2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2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2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2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</row>
    <row r="252" spans="1:7" x14ac:dyDescent="0.2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</row>
    <row r="253" spans="1:7" x14ac:dyDescent="0.2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2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2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2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</row>
    <row r="257" spans="1:7" x14ac:dyDescent="0.2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</row>
    <row r="258" spans="1:7" x14ac:dyDescent="0.2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</row>
    <row r="259" spans="1:7" x14ac:dyDescent="0.2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2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</row>
    <row r="261" spans="1:7" x14ac:dyDescent="0.2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</row>
    <row r="262" spans="1:7" x14ac:dyDescent="0.2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2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2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</row>
    <row r="265" spans="1:7" x14ac:dyDescent="0.2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</row>
    <row r="266" spans="1:7" x14ac:dyDescent="0.2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2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2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2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</row>
    <row r="270" spans="1:7" x14ac:dyDescent="0.2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2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</row>
    <row r="272" spans="1:7" x14ac:dyDescent="0.2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2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2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</row>
    <row r="275" spans="1:7" x14ac:dyDescent="0.2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</row>
    <row r="276" spans="1:7" x14ac:dyDescent="0.2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</row>
    <row r="277" spans="1:7" x14ac:dyDescent="0.2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</row>
    <row r="278" spans="1:7" x14ac:dyDescent="0.2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</row>
    <row r="279" spans="1:7" x14ac:dyDescent="0.2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2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2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2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</row>
    <row r="283" spans="1:7" x14ac:dyDescent="0.2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</row>
    <row r="284" spans="1:7" x14ac:dyDescent="0.2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</row>
    <row r="285" spans="1:7" x14ac:dyDescent="0.2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</row>
    <row r="286" spans="1:7" x14ac:dyDescent="0.2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2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2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</row>
    <row r="289" spans="1:7" x14ac:dyDescent="0.2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</row>
    <row r="290" spans="1:7" x14ac:dyDescent="0.2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</row>
    <row r="291" spans="1:7" x14ac:dyDescent="0.2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2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2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</row>
    <row r="294" spans="1:7" x14ac:dyDescent="0.2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2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2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2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</row>
    <row r="298" spans="1:7" x14ac:dyDescent="0.2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2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2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</row>
    <row r="301" spans="1:7" x14ac:dyDescent="0.2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</row>
    <row r="302" spans="1:7" x14ac:dyDescent="0.2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</row>
    <row r="303" spans="1:7" x14ac:dyDescent="0.2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</row>
    <row r="304" spans="1:7" x14ac:dyDescent="0.2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2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2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2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</row>
    <row r="308" spans="1:7" x14ac:dyDescent="0.2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2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2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</row>
    <row r="311" spans="1:7" x14ac:dyDescent="0.2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</row>
    <row r="312" spans="1:7" x14ac:dyDescent="0.2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2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2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2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2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2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</row>
    <row r="318" spans="1:7" x14ac:dyDescent="0.2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</row>
    <row r="319" spans="1:7" x14ac:dyDescent="0.2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</row>
    <row r="320" spans="1:7" x14ac:dyDescent="0.2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</row>
    <row r="321" spans="1:7" x14ac:dyDescent="0.2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</row>
    <row r="322" spans="1:7" x14ac:dyDescent="0.2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</row>
    <row r="323" spans="1:7" x14ac:dyDescent="0.2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</row>
    <row r="324" spans="1:7" x14ac:dyDescent="0.2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2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</row>
    <row r="326" spans="1:7" x14ac:dyDescent="0.2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2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</row>
    <row r="328" spans="1:7" x14ac:dyDescent="0.2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2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</row>
    <row r="330" spans="1:7" x14ac:dyDescent="0.2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2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2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</row>
    <row r="333" spans="1:7" x14ac:dyDescent="0.2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</row>
    <row r="334" spans="1:7" x14ac:dyDescent="0.2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</row>
    <row r="335" spans="1:7" x14ac:dyDescent="0.2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</row>
    <row r="336" spans="1:7" x14ac:dyDescent="0.2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</row>
    <row r="337" spans="1:7" x14ac:dyDescent="0.2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2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2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</row>
    <row r="340" spans="1:7" x14ac:dyDescent="0.2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</row>
    <row r="341" spans="1:7" x14ac:dyDescent="0.2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2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2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</row>
    <row r="344" spans="1:7" x14ac:dyDescent="0.2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</row>
    <row r="345" spans="1:7" x14ac:dyDescent="0.2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</row>
    <row r="346" spans="1:7" x14ac:dyDescent="0.2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2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2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2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</row>
    <row r="350" spans="1:7" x14ac:dyDescent="0.2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2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</row>
    <row r="352" spans="1:7" x14ac:dyDescent="0.2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</row>
    <row r="353" spans="1:7" x14ac:dyDescent="0.2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2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2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</row>
    <row r="356" spans="1:7" x14ac:dyDescent="0.2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2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2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2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</row>
    <row r="360" spans="1:7" x14ac:dyDescent="0.2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2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2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</row>
    <row r="363" spans="1:7" x14ac:dyDescent="0.2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2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2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2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2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</row>
    <row r="368" spans="1:7" x14ac:dyDescent="0.2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</row>
    <row r="369" spans="1:7" x14ac:dyDescent="0.2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</row>
    <row r="370" spans="1:7" x14ac:dyDescent="0.2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</row>
    <row r="371" spans="1:7" x14ac:dyDescent="0.2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</row>
    <row r="372" spans="1:7" x14ac:dyDescent="0.2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</row>
    <row r="373" spans="1:7" x14ac:dyDescent="0.2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</row>
    <row r="374" spans="1:7" x14ac:dyDescent="0.2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</row>
    <row r="375" spans="1:7" x14ac:dyDescent="0.2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2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2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</row>
    <row r="378" spans="1:7" x14ac:dyDescent="0.2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</row>
    <row r="379" spans="1:7" x14ac:dyDescent="0.2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2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</row>
    <row r="381" spans="1:7" x14ac:dyDescent="0.2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2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</row>
    <row r="383" spans="1:7" x14ac:dyDescent="0.2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</row>
    <row r="384" spans="1:7" x14ac:dyDescent="0.2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2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2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</row>
    <row r="387" spans="1:7" x14ac:dyDescent="0.2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2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2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</row>
    <row r="390" spans="1:7" x14ac:dyDescent="0.2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</row>
    <row r="391" spans="1:7" x14ac:dyDescent="0.2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</row>
    <row r="392" spans="1:7" x14ac:dyDescent="0.2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</row>
    <row r="393" spans="1:7" x14ac:dyDescent="0.2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</row>
    <row r="394" spans="1:7" x14ac:dyDescent="0.2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</row>
    <row r="395" spans="1:7" x14ac:dyDescent="0.2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</row>
    <row r="396" spans="1:7" x14ac:dyDescent="0.2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</row>
    <row r="397" spans="1:7" x14ac:dyDescent="0.2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</row>
    <row r="398" spans="1:7" x14ac:dyDescent="0.2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2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2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2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2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2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2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</row>
    <row r="405" spans="1:7" x14ac:dyDescent="0.2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</row>
    <row r="406" spans="1:7" x14ac:dyDescent="0.2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2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</row>
    <row r="408" spans="1:7" x14ac:dyDescent="0.2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2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2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2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2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</row>
    <row r="413" spans="1:7" x14ac:dyDescent="0.2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</row>
    <row r="414" spans="1:7" x14ac:dyDescent="0.2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</row>
    <row r="415" spans="1:7" x14ac:dyDescent="0.2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2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</row>
    <row r="417" spans="1:7" x14ac:dyDescent="0.2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2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2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2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2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</row>
    <row r="422" spans="1:7" x14ac:dyDescent="0.2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2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2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</row>
    <row r="425" spans="1:7" x14ac:dyDescent="0.2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</row>
    <row r="426" spans="1:7" x14ac:dyDescent="0.2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2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2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</row>
    <row r="429" spans="1:7" x14ac:dyDescent="0.2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</row>
    <row r="430" spans="1:7" x14ac:dyDescent="0.2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</row>
    <row r="431" spans="1:7" x14ac:dyDescent="0.2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</row>
    <row r="432" spans="1:7" x14ac:dyDescent="0.2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2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</row>
    <row r="434" spans="1:7" x14ac:dyDescent="0.2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2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2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</row>
    <row r="437" spans="1:7" x14ac:dyDescent="0.2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2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</row>
    <row r="439" spans="1:7" x14ac:dyDescent="0.2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2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2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</row>
    <row r="442" spans="1:7" x14ac:dyDescent="0.2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</row>
    <row r="443" spans="1:7" x14ac:dyDescent="0.2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2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2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2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</row>
    <row r="447" spans="1:7" x14ac:dyDescent="0.2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2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</row>
    <row r="449" spans="1:7" x14ac:dyDescent="0.2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</row>
    <row r="450" spans="1:7" x14ac:dyDescent="0.2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2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2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2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</row>
    <row r="454" spans="1:7" x14ac:dyDescent="0.2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2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</row>
    <row r="456" spans="1:7" x14ac:dyDescent="0.2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2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2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2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</row>
    <row r="460" spans="1:7" x14ac:dyDescent="0.2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2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2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2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2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</row>
    <row r="465" spans="1:7" x14ac:dyDescent="0.2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</row>
    <row r="466" spans="1:7" x14ac:dyDescent="0.2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</row>
    <row r="467" spans="1:7" x14ac:dyDescent="0.2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2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2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</row>
    <row r="470" spans="1:7" x14ac:dyDescent="0.2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</row>
    <row r="471" spans="1:7" x14ac:dyDescent="0.2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2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2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</row>
    <row r="474" spans="1:7" x14ac:dyDescent="0.2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2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</row>
    <row r="476" spans="1:7" x14ac:dyDescent="0.2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2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</row>
    <row r="478" spans="1:7" x14ac:dyDescent="0.2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</row>
    <row r="479" spans="1:7" x14ac:dyDescent="0.2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</row>
    <row r="480" spans="1:7" x14ac:dyDescent="0.2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2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2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</row>
    <row r="483" spans="1:7" x14ac:dyDescent="0.2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2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2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2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2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</row>
    <row r="488" spans="1:7" x14ac:dyDescent="0.2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</row>
    <row r="489" spans="1:7" x14ac:dyDescent="0.2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2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2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</row>
    <row r="492" spans="1:7" x14ac:dyDescent="0.2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2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2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</row>
    <row r="495" spans="1:7" x14ac:dyDescent="0.2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2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2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</row>
    <row r="498" spans="1:7" x14ac:dyDescent="0.2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2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2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2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2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2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</row>
    <row r="504" spans="1:7" x14ac:dyDescent="0.2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2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2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2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</row>
    <row r="508" spans="1:7" x14ac:dyDescent="0.2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</row>
    <row r="509" spans="1:7" x14ac:dyDescent="0.2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</row>
    <row r="510" spans="1:7" x14ac:dyDescent="0.2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</row>
    <row r="511" spans="1:7" x14ac:dyDescent="0.2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2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</row>
    <row r="513" spans="1:7" x14ac:dyDescent="0.2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2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</row>
    <row r="515" spans="1:7" x14ac:dyDescent="0.2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2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2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2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2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</row>
    <row r="520" spans="1:7" x14ac:dyDescent="0.2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2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</row>
    <row r="522" spans="1:7" x14ac:dyDescent="0.2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</row>
    <row r="523" spans="1:7" x14ac:dyDescent="0.2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2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</row>
    <row r="525" spans="1:7" x14ac:dyDescent="0.2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2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2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2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</row>
    <row r="529" spans="1:7" x14ac:dyDescent="0.2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2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</row>
    <row r="531" spans="1:7" x14ac:dyDescent="0.2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</row>
    <row r="532" spans="1:7" x14ac:dyDescent="0.2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2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</row>
    <row r="534" spans="1:7" x14ac:dyDescent="0.2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2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2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2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</row>
    <row r="538" spans="1:7" x14ac:dyDescent="0.2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2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2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2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2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2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2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2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2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</row>
    <row r="547" spans="1:7" x14ac:dyDescent="0.2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</row>
    <row r="548" spans="1:7" x14ac:dyDescent="0.2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</row>
    <row r="549" spans="1:7" x14ac:dyDescent="0.2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2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</row>
    <row r="551" spans="1:7" x14ac:dyDescent="0.2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2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2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2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2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</row>
    <row r="556" spans="1:7" x14ac:dyDescent="0.2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</row>
    <row r="557" spans="1:7" x14ac:dyDescent="0.2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2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</row>
    <row r="559" spans="1:7" x14ac:dyDescent="0.2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2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</row>
    <row r="561" spans="1:7" x14ac:dyDescent="0.2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</row>
    <row r="562" spans="1:7" x14ac:dyDescent="0.2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</row>
    <row r="563" spans="1:7" x14ac:dyDescent="0.2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</row>
    <row r="564" spans="1:7" x14ac:dyDescent="0.2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2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2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2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</row>
    <row r="568" spans="1:7" x14ac:dyDescent="0.2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</row>
    <row r="569" spans="1:7" x14ac:dyDescent="0.2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</row>
    <row r="570" spans="1:7" x14ac:dyDescent="0.2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2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</row>
    <row r="572" spans="1:7" x14ac:dyDescent="0.2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2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2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2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</row>
    <row r="576" spans="1:7" x14ac:dyDescent="0.2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</row>
    <row r="577" spans="1:7" x14ac:dyDescent="0.2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</row>
    <row r="578" spans="1:7" x14ac:dyDescent="0.2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2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</row>
    <row r="580" spans="1:7" x14ac:dyDescent="0.2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2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</row>
    <row r="582" spans="1:7" x14ac:dyDescent="0.2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</row>
    <row r="583" spans="1:7" x14ac:dyDescent="0.2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13</v>
      </c>
      <c r="G583">
        <v>1639.5631000000001</v>
      </c>
    </row>
    <row r="584" spans="1:7" x14ac:dyDescent="0.2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2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 x14ac:dyDescent="0.2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2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2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14</v>
      </c>
      <c r="G588">
        <v>3861.2096499999998</v>
      </c>
    </row>
    <row r="589" spans="1:7" x14ac:dyDescent="0.2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13</v>
      </c>
      <c r="G589">
        <v>43943.876100000001</v>
      </c>
    </row>
    <row r="590" spans="1:7" x14ac:dyDescent="0.2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14</v>
      </c>
      <c r="G590">
        <v>13635.6379</v>
      </c>
    </row>
    <row r="591" spans="1:7" x14ac:dyDescent="0.2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 x14ac:dyDescent="0.2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 x14ac:dyDescent="0.2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13</v>
      </c>
      <c r="G593">
        <v>8428.0692999999992</v>
      </c>
    </row>
    <row r="594" spans="1:7" x14ac:dyDescent="0.2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 x14ac:dyDescent="0.2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14</v>
      </c>
      <c r="G595">
        <v>15359.104499999999</v>
      </c>
    </row>
    <row r="596" spans="1:7" x14ac:dyDescent="0.2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 x14ac:dyDescent="0.2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14</v>
      </c>
      <c r="G597">
        <v>8823.9857499999998</v>
      </c>
    </row>
    <row r="598" spans="1:7" x14ac:dyDescent="0.2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2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14</v>
      </c>
      <c r="G599">
        <v>5594.8455000000004</v>
      </c>
    </row>
    <row r="600" spans="1:7" x14ac:dyDescent="0.2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 x14ac:dyDescent="0.2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13</v>
      </c>
      <c r="G601">
        <v>33471.971890000001</v>
      </c>
    </row>
    <row r="602" spans="1:7" x14ac:dyDescent="0.2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 x14ac:dyDescent="0.2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13</v>
      </c>
      <c r="G603">
        <v>9174.1356500000002</v>
      </c>
    </row>
    <row r="604" spans="1:7" x14ac:dyDescent="0.2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 x14ac:dyDescent="0.2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 x14ac:dyDescent="0.2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13</v>
      </c>
      <c r="G606">
        <v>17468.983899999999</v>
      </c>
    </row>
    <row r="607" spans="1:7" x14ac:dyDescent="0.2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2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14</v>
      </c>
      <c r="G608">
        <v>3558.6202499999999</v>
      </c>
    </row>
    <row r="609" spans="1:7" x14ac:dyDescent="0.2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13</v>
      </c>
      <c r="G609">
        <v>25678.778450000002</v>
      </c>
    </row>
    <row r="610" spans="1:7" x14ac:dyDescent="0.2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14</v>
      </c>
      <c r="G610">
        <v>4435.0941999999995</v>
      </c>
    </row>
    <row r="611" spans="1:7" x14ac:dyDescent="0.2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2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2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 x14ac:dyDescent="0.2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14</v>
      </c>
      <c r="G614">
        <v>2207.6974500000001</v>
      </c>
    </row>
    <row r="615" spans="1:7" x14ac:dyDescent="0.2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14</v>
      </c>
      <c r="G615">
        <v>6753.0379999999996</v>
      </c>
    </row>
    <row r="616" spans="1:7" x14ac:dyDescent="0.2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 x14ac:dyDescent="0.2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 x14ac:dyDescent="0.2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14</v>
      </c>
      <c r="G618">
        <v>11658.11505</v>
      </c>
    </row>
    <row r="619" spans="1:7" x14ac:dyDescent="0.2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 x14ac:dyDescent="0.2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2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2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 x14ac:dyDescent="0.2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 x14ac:dyDescent="0.2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2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14</v>
      </c>
      <c r="G625">
        <v>34617.840649999998</v>
      </c>
    </row>
    <row r="626" spans="1:7" x14ac:dyDescent="0.2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13</v>
      </c>
      <c r="G626">
        <v>12129.614149999999</v>
      </c>
    </row>
    <row r="627" spans="1:7" x14ac:dyDescent="0.2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13</v>
      </c>
      <c r="G627">
        <v>3736.4647</v>
      </c>
    </row>
    <row r="628" spans="1:7" x14ac:dyDescent="0.2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14</v>
      </c>
      <c r="G628">
        <v>6748.5911999999998</v>
      </c>
    </row>
    <row r="629" spans="1:7" x14ac:dyDescent="0.2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2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2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13</v>
      </c>
      <c r="G631">
        <v>42983.458500000001</v>
      </c>
    </row>
    <row r="632" spans="1:7" x14ac:dyDescent="0.2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 x14ac:dyDescent="0.2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2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2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14</v>
      </c>
      <c r="G635">
        <v>7173.35995</v>
      </c>
    </row>
    <row r="636" spans="1:7" x14ac:dyDescent="0.2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 x14ac:dyDescent="0.2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14</v>
      </c>
      <c r="G637">
        <v>14410.9321</v>
      </c>
    </row>
    <row r="638" spans="1:7" x14ac:dyDescent="0.2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13</v>
      </c>
      <c r="G638">
        <v>2709.1118999999999</v>
      </c>
    </row>
    <row r="639" spans="1:7" x14ac:dyDescent="0.2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14</v>
      </c>
      <c r="G639">
        <v>24915.046259999999</v>
      </c>
    </row>
    <row r="640" spans="1:7" x14ac:dyDescent="0.2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14</v>
      </c>
      <c r="G640">
        <v>20149.322899999999</v>
      </c>
    </row>
    <row r="641" spans="1:7" x14ac:dyDescent="0.2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 x14ac:dyDescent="0.2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2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13</v>
      </c>
      <c r="G643">
        <v>32787.458590000002</v>
      </c>
    </row>
    <row r="644" spans="1:7" x14ac:dyDescent="0.2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14</v>
      </c>
      <c r="G644">
        <v>13143.86485</v>
      </c>
    </row>
    <row r="645" spans="1:7" x14ac:dyDescent="0.2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13</v>
      </c>
      <c r="G645">
        <v>4466.6214</v>
      </c>
    </row>
    <row r="646" spans="1:7" x14ac:dyDescent="0.2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2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14</v>
      </c>
      <c r="G647">
        <v>10141.136200000001</v>
      </c>
    </row>
    <row r="648" spans="1:7" x14ac:dyDescent="0.2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13</v>
      </c>
      <c r="G648">
        <v>6123.5688</v>
      </c>
    </row>
    <row r="649" spans="1:7" x14ac:dyDescent="0.2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14</v>
      </c>
      <c r="G649">
        <v>8252.2842999999993</v>
      </c>
    </row>
    <row r="650" spans="1:7" x14ac:dyDescent="0.2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14</v>
      </c>
      <c r="G650">
        <v>1712.2270000000001</v>
      </c>
    </row>
    <row r="651" spans="1:7" x14ac:dyDescent="0.2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14</v>
      </c>
      <c r="G651">
        <v>12430.95335</v>
      </c>
    </row>
    <row r="652" spans="1:7" x14ac:dyDescent="0.2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 x14ac:dyDescent="0.2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2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 x14ac:dyDescent="0.2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 x14ac:dyDescent="0.2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 x14ac:dyDescent="0.2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2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 x14ac:dyDescent="0.2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13</v>
      </c>
      <c r="G659">
        <v>4058.71245</v>
      </c>
    </row>
    <row r="660" spans="1:7" x14ac:dyDescent="0.2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14</v>
      </c>
      <c r="G660">
        <v>26392.260289999998</v>
      </c>
    </row>
    <row r="661" spans="1:7" x14ac:dyDescent="0.2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14</v>
      </c>
      <c r="G661">
        <v>14394.398150000001</v>
      </c>
    </row>
    <row r="662" spans="1:7" x14ac:dyDescent="0.2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 x14ac:dyDescent="0.2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 x14ac:dyDescent="0.2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14</v>
      </c>
      <c r="G664">
        <v>5148.5526</v>
      </c>
    </row>
    <row r="665" spans="1:7" x14ac:dyDescent="0.2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 x14ac:dyDescent="0.2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 x14ac:dyDescent="0.2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 x14ac:dyDescent="0.2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 x14ac:dyDescent="0.2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13</v>
      </c>
      <c r="G669">
        <v>40003.332249999999</v>
      </c>
    </row>
    <row r="670" spans="1:7" x14ac:dyDescent="0.2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14</v>
      </c>
      <c r="G670">
        <v>45710.207849999999</v>
      </c>
    </row>
    <row r="671" spans="1:7" x14ac:dyDescent="0.2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 x14ac:dyDescent="0.2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 x14ac:dyDescent="0.2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14</v>
      </c>
      <c r="G673">
        <v>3943.5954000000002</v>
      </c>
    </row>
    <row r="674" spans="1:7" x14ac:dyDescent="0.2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2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 x14ac:dyDescent="0.2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2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13</v>
      </c>
      <c r="G677">
        <v>7222.7862500000001</v>
      </c>
    </row>
    <row r="678" spans="1:7" x14ac:dyDescent="0.2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 x14ac:dyDescent="0.2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13</v>
      </c>
      <c r="G679">
        <v>46130.5265</v>
      </c>
    </row>
    <row r="680" spans="1:7" x14ac:dyDescent="0.2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 x14ac:dyDescent="0.2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13</v>
      </c>
      <c r="G681">
        <v>10156.7832</v>
      </c>
    </row>
    <row r="682" spans="1:7" x14ac:dyDescent="0.2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 x14ac:dyDescent="0.2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 x14ac:dyDescent="0.2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 x14ac:dyDescent="0.2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13</v>
      </c>
      <c r="G685">
        <v>9863.4717999999993</v>
      </c>
    </row>
    <row r="686" spans="1:7" x14ac:dyDescent="0.2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2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14</v>
      </c>
      <c r="G687">
        <v>11244.376899999999</v>
      </c>
    </row>
    <row r="688" spans="1:7" x14ac:dyDescent="0.2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14</v>
      </c>
      <c r="G688">
        <v>7729.6457499999997</v>
      </c>
    </row>
    <row r="689" spans="1:7" x14ac:dyDescent="0.2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 x14ac:dyDescent="0.2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 x14ac:dyDescent="0.2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 x14ac:dyDescent="0.2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14</v>
      </c>
      <c r="G692">
        <v>2104.1134000000002</v>
      </c>
    </row>
    <row r="693" spans="1:7" x14ac:dyDescent="0.2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 x14ac:dyDescent="0.2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13</v>
      </c>
      <c r="G694">
        <v>2362.2290499999999</v>
      </c>
    </row>
    <row r="695" spans="1:7" x14ac:dyDescent="0.2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13</v>
      </c>
      <c r="G695">
        <v>2352.9684499999998</v>
      </c>
    </row>
    <row r="696" spans="1:7" x14ac:dyDescent="0.2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 x14ac:dyDescent="0.2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13</v>
      </c>
      <c r="G697">
        <v>3201.2451500000002</v>
      </c>
    </row>
    <row r="698" spans="1:7" x14ac:dyDescent="0.2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14</v>
      </c>
      <c r="G698">
        <v>29186.482360000002</v>
      </c>
    </row>
    <row r="699" spans="1:7" x14ac:dyDescent="0.2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2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13</v>
      </c>
      <c r="G700">
        <v>10976.24575</v>
      </c>
    </row>
    <row r="701" spans="1:7" x14ac:dyDescent="0.2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 x14ac:dyDescent="0.2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 x14ac:dyDescent="0.2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14</v>
      </c>
      <c r="G703">
        <v>9541.6955500000004</v>
      </c>
    </row>
    <row r="704" spans="1:7" x14ac:dyDescent="0.2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2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13</v>
      </c>
      <c r="G705">
        <v>5385.3379000000004</v>
      </c>
    </row>
    <row r="706" spans="1:7" x14ac:dyDescent="0.2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13</v>
      </c>
      <c r="G706">
        <v>8930.9345499999999</v>
      </c>
    </row>
    <row r="707" spans="1:7" x14ac:dyDescent="0.2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 x14ac:dyDescent="0.2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 x14ac:dyDescent="0.2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13</v>
      </c>
      <c r="G709">
        <v>10264.4421</v>
      </c>
    </row>
    <row r="710" spans="1:7" x14ac:dyDescent="0.2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14</v>
      </c>
      <c r="G710">
        <v>6113.2310500000003</v>
      </c>
    </row>
    <row r="711" spans="1:7" x14ac:dyDescent="0.2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14</v>
      </c>
      <c r="G711">
        <v>5469.0065999999997</v>
      </c>
    </row>
    <row r="712" spans="1:7" x14ac:dyDescent="0.2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 x14ac:dyDescent="0.2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 x14ac:dyDescent="0.2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13</v>
      </c>
      <c r="G714">
        <v>8310.8391499999998</v>
      </c>
    </row>
    <row r="715" spans="1:7" x14ac:dyDescent="0.2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14</v>
      </c>
      <c r="G715">
        <v>1984.4532999999999</v>
      </c>
    </row>
    <row r="716" spans="1:7" x14ac:dyDescent="0.2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2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 x14ac:dyDescent="0.2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13</v>
      </c>
      <c r="G718">
        <v>9566.9909000000007</v>
      </c>
    </row>
    <row r="719" spans="1:7" x14ac:dyDescent="0.2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13</v>
      </c>
      <c r="G719">
        <v>13112.604799999999</v>
      </c>
    </row>
    <row r="720" spans="1:7" x14ac:dyDescent="0.2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13</v>
      </c>
      <c r="G720">
        <v>10848.1343</v>
      </c>
    </row>
    <row r="721" spans="1:7" x14ac:dyDescent="0.2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13</v>
      </c>
      <c r="G721">
        <v>12231.613600000001</v>
      </c>
    </row>
    <row r="722" spans="1:7" x14ac:dyDescent="0.2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14</v>
      </c>
      <c r="G722">
        <v>9875.6803999999993</v>
      </c>
    </row>
    <row r="723" spans="1:7" x14ac:dyDescent="0.2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 x14ac:dyDescent="0.2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2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2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14</v>
      </c>
      <c r="G726">
        <v>10106.134249999999</v>
      </c>
    </row>
    <row r="727" spans="1:7" x14ac:dyDescent="0.2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2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13</v>
      </c>
      <c r="G728">
        <v>6664.68595</v>
      </c>
    </row>
    <row r="729" spans="1:7" x14ac:dyDescent="0.2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14</v>
      </c>
      <c r="G729">
        <v>16657.71745</v>
      </c>
    </row>
    <row r="730" spans="1:7" x14ac:dyDescent="0.2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14</v>
      </c>
      <c r="G730">
        <v>2217.6012000000001</v>
      </c>
    </row>
    <row r="731" spans="1:7" x14ac:dyDescent="0.2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2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 x14ac:dyDescent="0.2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 x14ac:dyDescent="0.2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 x14ac:dyDescent="0.2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14</v>
      </c>
      <c r="G735">
        <v>9447.2503500000003</v>
      </c>
    </row>
    <row r="736" spans="1:7" x14ac:dyDescent="0.2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2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13</v>
      </c>
      <c r="G737">
        <v>9583.8932999999997</v>
      </c>
    </row>
    <row r="738" spans="1:7" x14ac:dyDescent="0.2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2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 x14ac:dyDescent="0.2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14</v>
      </c>
      <c r="G740">
        <v>36189.101699999999</v>
      </c>
    </row>
    <row r="741" spans="1:7" x14ac:dyDescent="0.2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 x14ac:dyDescent="0.2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14</v>
      </c>
      <c r="G742">
        <v>8604.4836500000001</v>
      </c>
    </row>
    <row r="743" spans="1:7" x14ac:dyDescent="0.2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2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14</v>
      </c>
      <c r="G744">
        <v>43254.417950000003</v>
      </c>
    </row>
    <row r="745" spans="1:7" x14ac:dyDescent="0.2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 x14ac:dyDescent="0.2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13</v>
      </c>
      <c r="G746">
        <v>8827.2098999999998</v>
      </c>
    </row>
    <row r="747" spans="1:7" x14ac:dyDescent="0.2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13</v>
      </c>
      <c r="G747">
        <v>9910.3598500000007</v>
      </c>
    </row>
    <row r="748" spans="1:7" x14ac:dyDescent="0.2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 x14ac:dyDescent="0.2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13</v>
      </c>
      <c r="G749">
        <v>1627.2824499999999</v>
      </c>
    </row>
    <row r="750" spans="1:7" x14ac:dyDescent="0.2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2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13</v>
      </c>
      <c r="G751">
        <v>3062.5082499999999</v>
      </c>
    </row>
    <row r="752" spans="1:7" x14ac:dyDescent="0.2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 x14ac:dyDescent="0.2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13</v>
      </c>
      <c r="G753">
        <v>1906.35825</v>
      </c>
    </row>
    <row r="754" spans="1:7" x14ac:dyDescent="0.2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13</v>
      </c>
      <c r="G754">
        <v>14210.53595</v>
      </c>
    </row>
    <row r="755" spans="1:7" x14ac:dyDescent="0.2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 x14ac:dyDescent="0.2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14</v>
      </c>
      <c r="G756">
        <v>17128.426080000001</v>
      </c>
    </row>
    <row r="757" spans="1:7" x14ac:dyDescent="0.2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14</v>
      </c>
      <c r="G757">
        <v>5031.26955</v>
      </c>
    </row>
    <row r="758" spans="1:7" x14ac:dyDescent="0.2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14</v>
      </c>
      <c r="G758">
        <v>7985.8149999999996</v>
      </c>
    </row>
    <row r="759" spans="1:7" x14ac:dyDescent="0.2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 x14ac:dyDescent="0.2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14</v>
      </c>
      <c r="G760">
        <v>5428.7277000000004</v>
      </c>
    </row>
    <row r="761" spans="1:7" x14ac:dyDescent="0.2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2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14</v>
      </c>
      <c r="G762">
        <v>3925.7582000000002</v>
      </c>
    </row>
    <row r="763" spans="1:7" x14ac:dyDescent="0.2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2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2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14</v>
      </c>
      <c r="G765">
        <v>3070.8087</v>
      </c>
    </row>
    <row r="766" spans="1:7" x14ac:dyDescent="0.2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14</v>
      </c>
      <c r="G766">
        <v>9095.0682500000003</v>
      </c>
    </row>
    <row r="767" spans="1:7" x14ac:dyDescent="0.2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13</v>
      </c>
      <c r="G767">
        <v>11842.623750000001</v>
      </c>
    </row>
    <row r="768" spans="1:7" x14ac:dyDescent="0.2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 x14ac:dyDescent="0.2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 x14ac:dyDescent="0.2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 x14ac:dyDescent="0.2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13</v>
      </c>
      <c r="G771">
        <v>6933.2422500000002</v>
      </c>
    </row>
    <row r="772" spans="1:7" x14ac:dyDescent="0.2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 x14ac:dyDescent="0.2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2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14</v>
      </c>
      <c r="G774">
        <v>12797.20962</v>
      </c>
    </row>
    <row r="775" spans="1:7" x14ac:dyDescent="0.2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13</v>
      </c>
      <c r="G775">
        <v>17748.5062</v>
      </c>
    </row>
    <row r="776" spans="1:7" x14ac:dyDescent="0.2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13</v>
      </c>
      <c r="G776">
        <v>7261.741</v>
      </c>
    </row>
    <row r="777" spans="1:7" x14ac:dyDescent="0.2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 x14ac:dyDescent="0.2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13</v>
      </c>
      <c r="G778">
        <v>6986.6970000000001</v>
      </c>
    </row>
    <row r="779" spans="1:7" x14ac:dyDescent="0.2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14</v>
      </c>
      <c r="G779">
        <v>7448.4039499999999</v>
      </c>
    </row>
    <row r="780" spans="1:7" x14ac:dyDescent="0.2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 x14ac:dyDescent="0.2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13</v>
      </c>
      <c r="G781">
        <v>9869.8101999999999</v>
      </c>
    </row>
    <row r="782" spans="1:7" x14ac:dyDescent="0.2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 x14ac:dyDescent="0.2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 x14ac:dyDescent="0.2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2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2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 x14ac:dyDescent="0.2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2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14</v>
      </c>
      <c r="G788">
        <v>12741.167450000001</v>
      </c>
    </row>
    <row r="789" spans="1:7" x14ac:dyDescent="0.2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13</v>
      </c>
      <c r="G789">
        <v>1917.3184000000001</v>
      </c>
    </row>
    <row r="790" spans="1:7" x14ac:dyDescent="0.2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14</v>
      </c>
      <c r="G790">
        <v>5209.5788499999999</v>
      </c>
    </row>
    <row r="791" spans="1:7" x14ac:dyDescent="0.2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2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 x14ac:dyDescent="0.2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 x14ac:dyDescent="0.2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14</v>
      </c>
      <c r="G794">
        <v>2731.9122000000002</v>
      </c>
    </row>
    <row r="795" spans="1:7" x14ac:dyDescent="0.2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 x14ac:dyDescent="0.2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13</v>
      </c>
      <c r="G796">
        <v>7209.4917999999998</v>
      </c>
    </row>
    <row r="797" spans="1:7" x14ac:dyDescent="0.2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13</v>
      </c>
      <c r="G797">
        <v>18310.741999999998</v>
      </c>
    </row>
    <row r="798" spans="1:7" x14ac:dyDescent="0.2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 x14ac:dyDescent="0.2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14</v>
      </c>
      <c r="G799">
        <v>4719.52405</v>
      </c>
    </row>
    <row r="800" spans="1:7" x14ac:dyDescent="0.2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 x14ac:dyDescent="0.2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14</v>
      </c>
      <c r="G801">
        <v>17904.527050000001</v>
      </c>
    </row>
    <row r="802" spans="1:7" x14ac:dyDescent="0.2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 x14ac:dyDescent="0.2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2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 x14ac:dyDescent="0.2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 x14ac:dyDescent="0.2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 x14ac:dyDescent="0.2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13</v>
      </c>
      <c r="G807">
        <v>7731.8578500000003</v>
      </c>
    </row>
    <row r="808" spans="1:7" x14ac:dyDescent="0.2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13</v>
      </c>
      <c r="G808">
        <v>28476.734990000001</v>
      </c>
    </row>
    <row r="809" spans="1:7" x14ac:dyDescent="0.2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13</v>
      </c>
      <c r="G809">
        <v>2136.8822500000001</v>
      </c>
    </row>
    <row r="810" spans="1:7" x14ac:dyDescent="0.2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 x14ac:dyDescent="0.2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14</v>
      </c>
      <c r="G811">
        <v>3309.7926000000002</v>
      </c>
    </row>
    <row r="812" spans="1:7" x14ac:dyDescent="0.2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2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13</v>
      </c>
      <c r="G813">
        <v>6360.9935999999998</v>
      </c>
    </row>
    <row r="814" spans="1:7" x14ac:dyDescent="0.2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 x14ac:dyDescent="0.2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14</v>
      </c>
      <c r="G815">
        <v>4428.8878500000001</v>
      </c>
    </row>
    <row r="816" spans="1:7" x14ac:dyDescent="0.2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 x14ac:dyDescent="0.2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2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13</v>
      </c>
      <c r="G818">
        <v>2842.7607499999999</v>
      </c>
    </row>
    <row r="819" spans="1:7" x14ac:dyDescent="0.2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 x14ac:dyDescent="0.2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14</v>
      </c>
      <c r="G820">
        <v>23401.30575</v>
      </c>
    </row>
    <row r="821" spans="1:7" x14ac:dyDescent="0.2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13</v>
      </c>
      <c r="G821">
        <v>55135.402090000003</v>
      </c>
    </row>
    <row r="822" spans="1:7" x14ac:dyDescent="0.2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2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13</v>
      </c>
      <c r="G823">
        <v>2680.9493000000002</v>
      </c>
    </row>
    <row r="824" spans="1:7" x14ac:dyDescent="0.2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 x14ac:dyDescent="0.2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2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13</v>
      </c>
      <c r="G826">
        <v>12523.604799999999</v>
      </c>
    </row>
    <row r="827" spans="1:7" x14ac:dyDescent="0.2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14</v>
      </c>
      <c r="G827">
        <v>16069.08475</v>
      </c>
    </row>
    <row r="828" spans="1:7" x14ac:dyDescent="0.2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 x14ac:dyDescent="0.2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14</v>
      </c>
      <c r="G829">
        <v>20773.62775</v>
      </c>
    </row>
    <row r="830" spans="1:7" x14ac:dyDescent="0.2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14</v>
      </c>
      <c r="G830">
        <v>39597.407200000001</v>
      </c>
    </row>
    <row r="831" spans="1:7" x14ac:dyDescent="0.2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13</v>
      </c>
      <c r="G831">
        <v>6117.4944999999998</v>
      </c>
    </row>
    <row r="832" spans="1:7" x14ac:dyDescent="0.2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2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13</v>
      </c>
      <c r="G833">
        <v>5266.3656000000001</v>
      </c>
    </row>
    <row r="834" spans="1:7" x14ac:dyDescent="0.2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13</v>
      </c>
      <c r="G834">
        <v>4719.7365499999996</v>
      </c>
    </row>
    <row r="835" spans="1:7" x14ac:dyDescent="0.2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13</v>
      </c>
      <c r="G835">
        <v>11743.9341</v>
      </c>
    </row>
    <row r="836" spans="1:7" x14ac:dyDescent="0.2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13</v>
      </c>
      <c r="G836">
        <v>5377.4578000000001</v>
      </c>
    </row>
    <row r="837" spans="1:7" x14ac:dyDescent="0.2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 x14ac:dyDescent="0.2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 x14ac:dyDescent="0.2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14</v>
      </c>
      <c r="G839">
        <v>11657.7189</v>
      </c>
    </row>
    <row r="840" spans="1:7" x14ac:dyDescent="0.2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14</v>
      </c>
      <c r="G840">
        <v>6402.2913500000004</v>
      </c>
    </row>
    <row r="841" spans="1:7" x14ac:dyDescent="0.2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13</v>
      </c>
      <c r="G841">
        <v>12622.1795</v>
      </c>
    </row>
    <row r="842" spans="1:7" x14ac:dyDescent="0.2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 x14ac:dyDescent="0.2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14</v>
      </c>
      <c r="G843">
        <v>12323.936</v>
      </c>
    </row>
    <row r="844" spans="1:7" x14ac:dyDescent="0.2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 x14ac:dyDescent="0.2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 x14ac:dyDescent="0.2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14</v>
      </c>
      <c r="G846">
        <v>10072.055050000001</v>
      </c>
    </row>
    <row r="847" spans="1:7" x14ac:dyDescent="0.2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2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2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2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2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13</v>
      </c>
      <c r="G851">
        <v>10601.632250000001</v>
      </c>
    </row>
    <row r="852" spans="1:7" x14ac:dyDescent="0.2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14</v>
      </c>
      <c r="G852">
        <v>37270.1512</v>
      </c>
    </row>
    <row r="853" spans="1:7" x14ac:dyDescent="0.2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13</v>
      </c>
      <c r="G853">
        <v>14119.62</v>
      </c>
    </row>
    <row r="854" spans="1:7" x14ac:dyDescent="0.2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14</v>
      </c>
      <c r="G854">
        <v>42111.664700000001</v>
      </c>
    </row>
    <row r="855" spans="1:7" x14ac:dyDescent="0.2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14</v>
      </c>
      <c r="G855">
        <v>11729.6795</v>
      </c>
    </row>
    <row r="856" spans="1:7" x14ac:dyDescent="0.2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14</v>
      </c>
      <c r="G856">
        <v>24106.912550000001</v>
      </c>
    </row>
    <row r="857" spans="1:7" x14ac:dyDescent="0.2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2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2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13</v>
      </c>
      <c r="G859">
        <v>15817.985699999999</v>
      </c>
    </row>
    <row r="860" spans="1:7" x14ac:dyDescent="0.2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 x14ac:dyDescent="0.2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 x14ac:dyDescent="0.2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 x14ac:dyDescent="0.2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2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13</v>
      </c>
      <c r="G864">
        <v>12269.68865</v>
      </c>
    </row>
    <row r="865" spans="1:7" x14ac:dyDescent="0.2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14</v>
      </c>
      <c r="G865">
        <v>5458.0464499999998</v>
      </c>
    </row>
    <row r="866" spans="1:7" x14ac:dyDescent="0.2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2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2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 x14ac:dyDescent="0.2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 x14ac:dyDescent="0.2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14</v>
      </c>
      <c r="G870">
        <v>13129.603450000001</v>
      </c>
    </row>
    <row r="871" spans="1:7" x14ac:dyDescent="0.2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 x14ac:dyDescent="0.2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 x14ac:dyDescent="0.2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 x14ac:dyDescent="0.2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 x14ac:dyDescent="0.2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2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14</v>
      </c>
      <c r="G876">
        <v>8891.1394999999993</v>
      </c>
    </row>
    <row r="877" spans="1:7" x14ac:dyDescent="0.2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13</v>
      </c>
      <c r="G877">
        <v>2690.1138000000001</v>
      </c>
    </row>
    <row r="878" spans="1:7" x14ac:dyDescent="0.2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2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 x14ac:dyDescent="0.2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2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 x14ac:dyDescent="0.2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2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13</v>
      </c>
      <c r="G883">
        <v>2789.0574000000001</v>
      </c>
    </row>
    <row r="884" spans="1:7" x14ac:dyDescent="0.2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14</v>
      </c>
      <c r="G884">
        <v>2585.8506499999999</v>
      </c>
    </row>
    <row r="885" spans="1:7" x14ac:dyDescent="0.2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14</v>
      </c>
      <c r="G885">
        <v>46255.112500000003</v>
      </c>
    </row>
    <row r="886" spans="1:7" x14ac:dyDescent="0.2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13</v>
      </c>
      <c r="G886">
        <v>4877.9810500000003</v>
      </c>
    </row>
    <row r="887" spans="1:7" x14ac:dyDescent="0.2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 x14ac:dyDescent="0.2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14</v>
      </c>
      <c r="G888">
        <v>27218.437249999999</v>
      </c>
    </row>
    <row r="889" spans="1:7" x14ac:dyDescent="0.2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13</v>
      </c>
      <c r="G889">
        <v>5272.1758</v>
      </c>
    </row>
    <row r="890" spans="1:7" x14ac:dyDescent="0.2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 x14ac:dyDescent="0.2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13</v>
      </c>
      <c r="G891">
        <v>11945.1327</v>
      </c>
    </row>
    <row r="892" spans="1:7" x14ac:dyDescent="0.2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13</v>
      </c>
      <c r="G892">
        <v>29330.98315</v>
      </c>
    </row>
    <row r="893" spans="1:7" x14ac:dyDescent="0.2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2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14</v>
      </c>
      <c r="G894">
        <v>10422.916649999999</v>
      </c>
    </row>
    <row r="895" spans="1:7" x14ac:dyDescent="0.2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 x14ac:dyDescent="0.2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14</v>
      </c>
      <c r="G896">
        <v>13555.0049</v>
      </c>
    </row>
    <row r="897" spans="1:7" x14ac:dyDescent="0.2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2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14</v>
      </c>
      <c r="G898">
        <v>19798.054550000001</v>
      </c>
    </row>
    <row r="899" spans="1:7" x14ac:dyDescent="0.2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13</v>
      </c>
      <c r="G899">
        <v>2221.5644499999999</v>
      </c>
    </row>
    <row r="900" spans="1:7" x14ac:dyDescent="0.2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 x14ac:dyDescent="0.2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13</v>
      </c>
      <c r="G901">
        <v>2117.3388500000001</v>
      </c>
    </row>
    <row r="902" spans="1:7" x14ac:dyDescent="0.2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14</v>
      </c>
      <c r="G902">
        <v>8688.8588500000005</v>
      </c>
    </row>
    <row r="903" spans="1:7" x14ac:dyDescent="0.2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2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14</v>
      </c>
      <c r="G904">
        <v>4661.2863500000003</v>
      </c>
    </row>
    <row r="905" spans="1:7" x14ac:dyDescent="0.2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2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 x14ac:dyDescent="0.2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14</v>
      </c>
      <c r="G907">
        <v>4564.1914500000003</v>
      </c>
    </row>
    <row r="908" spans="1:7" x14ac:dyDescent="0.2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14</v>
      </c>
      <c r="G908">
        <v>4846.9201499999999</v>
      </c>
    </row>
    <row r="909" spans="1:7" x14ac:dyDescent="0.2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2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 x14ac:dyDescent="0.2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2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13</v>
      </c>
      <c r="G912">
        <v>2639.0428999999999</v>
      </c>
    </row>
    <row r="913" spans="1:7" x14ac:dyDescent="0.2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14</v>
      </c>
      <c r="G913">
        <v>33732.686699999998</v>
      </c>
    </row>
    <row r="914" spans="1:7" x14ac:dyDescent="0.2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13</v>
      </c>
      <c r="G914">
        <v>14382.709049999999</v>
      </c>
    </row>
    <row r="915" spans="1:7" x14ac:dyDescent="0.2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 x14ac:dyDescent="0.2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13</v>
      </c>
      <c r="G916">
        <v>5257.5079500000002</v>
      </c>
    </row>
    <row r="917" spans="1:7" x14ac:dyDescent="0.2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 x14ac:dyDescent="0.2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13</v>
      </c>
      <c r="G918">
        <v>21774.32215</v>
      </c>
    </row>
    <row r="919" spans="1:7" x14ac:dyDescent="0.2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14</v>
      </c>
      <c r="G919">
        <v>35069.374519999998</v>
      </c>
    </row>
    <row r="920" spans="1:7" x14ac:dyDescent="0.2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 x14ac:dyDescent="0.2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 x14ac:dyDescent="0.2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 x14ac:dyDescent="0.2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 x14ac:dyDescent="0.2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2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13</v>
      </c>
      <c r="G925">
        <v>4320.4108500000002</v>
      </c>
    </row>
    <row r="926" spans="1:7" x14ac:dyDescent="0.2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2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14</v>
      </c>
      <c r="G927">
        <v>25333.332839999999</v>
      </c>
    </row>
    <row r="928" spans="1:7" x14ac:dyDescent="0.2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 x14ac:dyDescent="0.2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 x14ac:dyDescent="0.2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 x14ac:dyDescent="0.2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 x14ac:dyDescent="0.2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 x14ac:dyDescent="0.2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 x14ac:dyDescent="0.2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 x14ac:dyDescent="0.2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2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 x14ac:dyDescent="0.2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2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14</v>
      </c>
      <c r="G938">
        <v>32108.662820000001</v>
      </c>
    </row>
    <row r="939" spans="1:7" x14ac:dyDescent="0.2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13</v>
      </c>
      <c r="G939">
        <v>8965.7957499999993</v>
      </c>
    </row>
    <row r="940" spans="1:7" x14ac:dyDescent="0.2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 x14ac:dyDescent="0.2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 x14ac:dyDescent="0.2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 x14ac:dyDescent="0.2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 x14ac:dyDescent="0.2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14</v>
      </c>
      <c r="G944">
        <v>2217.4691499999999</v>
      </c>
    </row>
    <row r="945" spans="1:7" x14ac:dyDescent="0.2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13</v>
      </c>
      <c r="G945">
        <v>1628.4709</v>
      </c>
    </row>
    <row r="946" spans="1:7" x14ac:dyDescent="0.2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2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 x14ac:dyDescent="0.2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 x14ac:dyDescent="0.2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14</v>
      </c>
      <c r="G949">
        <v>39047.285000000003</v>
      </c>
    </row>
    <row r="950" spans="1:7" x14ac:dyDescent="0.2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13</v>
      </c>
      <c r="G950">
        <v>6358.7764500000003</v>
      </c>
    </row>
    <row r="951" spans="1:7" x14ac:dyDescent="0.2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 x14ac:dyDescent="0.2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14</v>
      </c>
      <c r="G952">
        <v>11534.872649999999</v>
      </c>
    </row>
    <row r="953" spans="1:7" x14ac:dyDescent="0.2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 x14ac:dyDescent="0.2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13</v>
      </c>
      <c r="G954">
        <v>4527.1829500000003</v>
      </c>
    </row>
    <row r="955" spans="1:7" x14ac:dyDescent="0.2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 x14ac:dyDescent="0.2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13</v>
      </c>
      <c r="G956">
        <v>20009.63365</v>
      </c>
    </row>
    <row r="957" spans="1:7" x14ac:dyDescent="0.2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2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2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13</v>
      </c>
      <c r="G959">
        <v>12609.88702</v>
      </c>
    </row>
    <row r="960" spans="1:7" x14ac:dyDescent="0.2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14</v>
      </c>
      <c r="G960">
        <v>41034.221400000002</v>
      </c>
    </row>
    <row r="961" spans="1:7" x14ac:dyDescent="0.2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13</v>
      </c>
      <c r="G961">
        <v>28468.919010000001</v>
      </c>
    </row>
    <row r="962" spans="1:7" x14ac:dyDescent="0.2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13</v>
      </c>
      <c r="G962">
        <v>2730.1078499999999</v>
      </c>
    </row>
    <row r="963" spans="1:7" x14ac:dyDescent="0.2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2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 x14ac:dyDescent="0.2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14</v>
      </c>
      <c r="G965">
        <v>9500.5730500000009</v>
      </c>
    </row>
    <row r="966" spans="1:7" x14ac:dyDescent="0.2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13</v>
      </c>
      <c r="G966">
        <v>26467.09737</v>
      </c>
    </row>
    <row r="967" spans="1:7" x14ac:dyDescent="0.2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 x14ac:dyDescent="0.2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13</v>
      </c>
      <c r="G968">
        <v>23967.38305</v>
      </c>
    </row>
    <row r="969" spans="1:7" x14ac:dyDescent="0.2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13</v>
      </c>
      <c r="G969">
        <v>7518.0253499999999</v>
      </c>
    </row>
    <row r="970" spans="1:7" x14ac:dyDescent="0.2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14</v>
      </c>
      <c r="G970">
        <v>3279.8685500000001</v>
      </c>
    </row>
    <row r="971" spans="1:7" x14ac:dyDescent="0.2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 x14ac:dyDescent="0.2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2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14</v>
      </c>
      <c r="G973">
        <v>4992.3764000000001</v>
      </c>
    </row>
    <row r="974" spans="1:7" x14ac:dyDescent="0.2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13</v>
      </c>
      <c r="G974">
        <v>2527.8186500000002</v>
      </c>
    </row>
    <row r="975" spans="1:7" x14ac:dyDescent="0.2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 x14ac:dyDescent="0.2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 x14ac:dyDescent="0.2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14</v>
      </c>
      <c r="G977">
        <v>16138.762049999999</v>
      </c>
    </row>
    <row r="978" spans="1:7" x14ac:dyDescent="0.2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 x14ac:dyDescent="0.2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 x14ac:dyDescent="0.2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14</v>
      </c>
      <c r="G980">
        <v>9704.6680500000002</v>
      </c>
    </row>
    <row r="981" spans="1:7" x14ac:dyDescent="0.2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 x14ac:dyDescent="0.2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14</v>
      </c>
      <c r="G982">
        <v>25517.11363</v>
      </c>
    </row>
    <row r="983" spans="1:7" x14ac:dyDescent="0.2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14</v>
      </c>
      <c r="G983">
        <v>4500.33925</v>
      </c>
    </row>
    <row r="984" spans="1:7" x14ac:dyDescent="0.2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2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14</v>
      </c>
      <c r="G985">
        <v>16796.411940000002</v>
      </c>
    </row>
    <row r="986" spans="1:7" x14ac:dyDescent="0.2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14</v>
      </c>
      <c r="G986">
        <v>4915.0598499999996</v>
      </c>
    </row>
    <row r="987" spans="1:7" x14ac:dyDescent="0.2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 x14ac:dyDescent="0.2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13</v>
      </c>
      <c r="G988">
        <v>8410.0468500000006</v>
      </c>
    </row>
    <row r="989" spans="1:7" x14ac:dyDescent="0.2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13</v>
      </c>
      <c r="G989">
        <v>28340.188849999999</v>
      </c>
    </row>
    <row r="990" spans="1:7" x14ac:dyDescent="0.2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14</v>
      </c>
      <c r="G990">
        <v>4518.8262500000001</v>
      </c>
    </row>
    <row r="991" spans="1:7" x14ac:dyDescent="0.2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14</v>
      </c>
      <c r="G991">
        <v>14571.890799999999</v>
      </c>
    </row>
    <row r="992" spans="1:7" x14ac:dyDescent="0.2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 x14ac:dyDescent="0.2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14</v>
      </c>
      <c r="G993">
        <v>7144.86265</v>
      </c>
    </row>
    <row r="994" spans="1:7" x14ac:dyDescent="0.2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2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2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13</v>
      </c>
      <c r="G996">
        <v>16420.494549999999</v>
      </c>
    </row>
    <row r="997" spans="1:7" x14ac:dyDescent="0.2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14</v>
      </c>
      <c r="G997">
        <v>7986.4752500000004</v>
      </c>
    </row>
    <row r="998" spans="1:7" x14ac:dyDescent="0.2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 x14ac:dyDescent="0.2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 x14ac:dyDescent="0.2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14</v>
      </c>
      <c r="G1000">
        <v>6551.7501000000002</v>
      </c>
    </row>
    <row r="1001" spans="1:7" x14ac:dyDescent="0.2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13</v>
      </c>
      <c r="G1001">
        <v>5267.8181500000001</v>
      </c>
    </row>
    <row r="1002" spans="1:7" x14ac:dyDescent="0.2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13</v>
      </c>
      <c r="G1002">
        <v>17361.766100000001</v>
      </c>
    </row>
    <row r="1003" spans="1:7" x14ac:dyDescent="0.2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 x14ac:dyDescent="0.2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2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2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14</v>
      </c>
      <c r="G1006">
        <v>8627.5411000000004</v>
      </c>
    </row>
    <row r="1007" spans="1:7" x14ac:dyDescent="0.2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13</v>
      </c>
      <c r="G1007">
        <v>4433.3877000000002</v>
      </c>
    </row>
    <row r="1008" spans="1:7" x14ac:dyDescent="0.2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14</v>
      </c>
      <c r="G1008">
        <v>4438.2633999999998</v>
      </c>
    </row>
    <row r="1009" spans="1:7" x14ac:dyDescent="0.2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13</v>
      </c>
      <c r="G1009">
        <v>24915.220850000002</v>
      </c>
    </row>
    <row r="1010" spans="1:7" x14ac:dyDescent="0.2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14</v>
      </c>
      <c r="G1010">
        <v>23241.47453</v>
      </c>
    </row>
    <row r="1011" spans="1:7" x14ac:dyDescent="0.2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14</v>
      </c>
      <c r="G1011">
        <v>9957.7216000000008</v>
      </c>
    </row>
    <row r="1012" spans="1:7" x14ac:dyDescent="0.2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 x14ac:dyDescent="0.2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2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2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13</v>
      </c>
      <c r="G1015">
        <v>8765.2489999999998</v>
      </c>
    </row>
    <row r="1016" spans="1:7" x14ac:dyDescent="0.2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2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13</v>
      </c>
      <c r="G1017">
        <v>12124.992399999999</v>
      </c>
    </row>
    <row r="1018" spans="1:7" x14ac:dyDescent="0.2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13</v>
      </c>
      <c r="G1018">
        <v>2709.24395</v>
      </c>
    </row>
    <row r="1019" spans="1:7" x14ac:dyDescent="0.2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 x14ac:dyDescent="0.2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13</v>
      </c>
      <c r="G1020">
        <v>12495.290849999999</v>
      </c>
    </row>
    <row r="1021" spans="1:7" x14ac:dyDescent="0.2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13</v>
      </c>
      <c r="G1021">
        <v>26018.950519999999</v>
      </c>
    </row>
    <row r="1022" spans="1:7" x14ac:dyDescent="0.2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2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 x14ac:dyDescent="0.2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 x14ac:dyDescent="0.2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2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 x14ac:dyDescent="0.2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 x14ac:dyDescent="0.2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13</v>
      </c>
      <c r="G1028">
        <v>16450.894700000001</v>
      </c>
    </row>
    <row r="1029" spans="1:7" x14ac:dyDescent="0.2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13</v>
      </c>
      <c r="G1029">
        <v>21595.382290000001</v>
      </c>
    </row>
    <row r="1030" spans="1:7" x14ac:dyDescent="0.2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 x14ac:dyDescent="0.2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14</v>
      </c>
      <c r="G1031">
        <v>6877.9800999999998</v>
      </c>
    </row>
    <row r="1032" spans="1:7" x14ac:dyDescent="0.2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13</v>
      </c>
      <c r="G1032">
        <v>21677.283449999999</v>
      </c>
    </row>
    <row r="1033" spans="1:7" x14ac:dyDescent="0.2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 x14ac:dyDescent="0.2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14</v>
      </c>
      <c r="G1034">
        <v>4137.5227000000004</v>
      </c>
    </row>
    <row r="1035" spans="1:7" x14ac:dyDescent="0.2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14</v>
      </c>
      <c r="G1035">
        <v>13747.87235</v>
      </c>
    </row>
    <row r="1036" spans="1:7" x14ac:dyDescent="0.2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13</v>
      </c>
      <c r="G1036">
        <v>12950.0712</v>
      </c>
    </row>
    <row r="1037" spans="1:7" x14ac:dyDescent="0.2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 x14ac:dyDescent="0.2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2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13</v>
      </c>
      <c r="G1039">
        <v>39725.518049999999</v>
      </c>
    </row>
    <row r="1040" spans="1:7" x14ac:dyDescent="0.2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14</v>
      </c>
      <c r="G1040">
        <v>2250.8352</v>
      </c>
    </row>
    <row r="1041" spans="1:7" x14ac:dyDescent="0.2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13</v>
      </c>
      <c r="G1041">
        <v>22493.659640000002</v>
      </c>
    </row>
    <row r="1042" spans="1:7" x14ac:dyDescent="0.2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13</v>
      </c>
      <c r="G1042">
        <v>20234.854749999999</v>
      </c>
    </row>
    <row r="1043" spans="1:7" x14ac:dyDescent="0.2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14</v>
      </c>
      <c r="G1043">
        <v>1704.7001499999999</v>
      </c>
    </row>
    <row r="1044" spans="1:7" x14ac:dyDescent="0.2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14</v>
      </c>
      <c r="G1044">
        <v>33475.817150000003</v>
      </c>
    </row>
    <row r="1045" spans="1:7" x14ac:dyDescent="0.2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 x14ac:dyDescent="0.2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14</v>
      </c>
      <c r="G1046">
        <v>11394.065549999999</v>
      </c>
    </row>
    <row r="1047" spans="1:7" x14ac:dyDescent="0.2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13</v>
      </c>
      <c r="G1047">
        <v>21880.82</v>
      </c>
    </row>
    <row r="1048" spans="1:7" x14ac:dyDescent="0.2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14</v>
      </c>
      <c r="G1048">
        <v>7325.0482000000002</v>
      </c>
    </row>
    <row r="1049" spans="1:7" x14ac:dyDescent="0.2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 x14ac:dyDescent="0.2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13</v>
      </c>
      <c r="G1050">
        <v>3594.17085</v>
      </c>
    </row>
    <row r="1051" spans="1:7" x14ac:dyDescent="0.2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2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13</v>
      </c>
      <c r="G1052">
        <v>8023.1354499999998</v>
      </c>
    </row>
    <row r="1053" spans="1:7" x14ac:dyDescent="0.2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14</v>
      </c>
      <c r="G1053">
        <v>14394.5579</v>
      </c>
    </row>
    <row r="1054" spans="1:7" x14ac:dyDescent="0.2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14</v>
      </c>
      <c r="G1054">
        <v>9288.0267000000003</v>
      </c>
    </row>
    <row r="1055" spans="1:7" x14ac:dyDescent="0.2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 x14ac:dyDescent="0.2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13</v>
      </c>
      <c r="G1056">
        <v>3353.4703</v>
      </c>
    </row>
    <row r="1057" spans="1:7" x14ac:dyDescent="0.2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13</v>
      </c>
      <c r="G1057">
        <v>10594.501550000001</v>
      </c>
    </row>
    <row r="1058" spans="1:7" x14ac:dyDescent="0.2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 x14ac:dyDescent="0.2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 x14ac:dyDescent="0.2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2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13</v>
      </c>
      <c r="G1061">
        <v>4462.7218000000003</v>
      </c>
    </row>
    <row r="1062" spans="1:7" x14ac:dyDescent="0.2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 x14ac:dyDescent="0.2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2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 x14ac:dyDescent="0.2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13</v>
      </c>
      <c r="G1065">
        <v>6548.1950500000003</v>
      </c>
    </row>
    <row r="1066" spans="1:7" x14ac:dyDescent="0.2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2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2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2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14</v>
      </c>
      <c r="G1069">
        <v>5757.41345</v>
      </c>
    </row>
    <row r="1070" spans="1:7" x14ac:dyDescent="0.2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13</v>
      </c>
      <c r="G1070">
        <v>14349.8544</v>
      </c>
    </row>
    <row r="1071" spans="1:7" x14ac:dyDescent="0.2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 x14ac:dyDescent="0.2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2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14</v>
      </c>
      <c r="G1073">
        <v>13974.455550000001</v>
      </c>
    </row>
    <row r="1074" spans="1:7" x14ac:dyDescent="0.2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13</v>
      </c>
      <c r="G1074">
        <v>1909.52745</v>
      </c>
    </row>
    <row r="1075" spans="1:7" x14ac:dyDescent="0.2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14</v>
      </c>
      <c r="G1075">
        <v>12096.6512</v>
      </c>
    </row>
    <row r="1076" spans="1:7" x14ac:dyDescent="0.2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14</v>
      </c>
      <c r="G1076">
        <v>13204.28565</v>
      </c>
    </row>
    <row r="1077" spans="1:7" x14ac:dyDescent="0.2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2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 x14ac:dyDescent="0.2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14</v>
      </c>
      <c r="G1079">
        <v>2102.2647000000002</v>
      </c>
    </row>
    <row r="1080" spans="1:7" x14ac:dyDescent="0.2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 x14ac:dyDescent="0.2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 x14ac:dyDescent="0.2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2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13</v>
      </c>
      <c r="G1083">
        <v>4454.40265</v>
      </c>
    </row>
    <row r="1084" spans="1:7" x14ac:dyDescent="0.2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13</v>
      </c>
      <c r="G1084">
        <v>5855.9025000000001</v>
      </c>
    </row>
    <row r="1085" spans="1:7" x14ac:dyDescent="0.2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 x14ac:dyDescent="0.2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13</v>
      </c>
      <c r="G1086">
        <v>15019.760050000001</v>
      </c>
    </row>
    <row r="1087" spans="1:7" x14ac:dyDescent="0.2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 x14ac:dyDescent="0.2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14</v>
      </c>
      <c r="G1088">
        <v>10796.35025</v>
      </c>
    </row>
    <row r="1089" spans="1:7" x14ac:dyDescent="0.2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13</v>
      </c>
      <c r="G1089">
        <v>11353.2276</v>
      </c>
    </row>
    <row r="1090" spans="1:7" x14ac:dyDescent="0.2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 x14ac:dyDescent="0.2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 x14ac:dyDescent="0.2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 x14ac:dyDescent="0.2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14</v>
      </c>
      <c r="G1093">
        <v>11286.538699999999</v>
      </c>
    </row>
    <row r="1094" spans="1:7" x14ac:dyDescent="0.2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 x14ac:dyDescent="0.2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13</v>
      </c>
      <c r="G1095">
        <v>33907.548000000003</v>
      </c>
    </row>
    <row r="1096" spans="1:7" x14ac:dyDescent="0.2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 x14ac:dyDescent="0.2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14</v>
      </c>
      <c r="G1097">
        <v>4561.1885000000002</v>
      </c>
    </row>
    <row r="1098" spans="1:7" x14ac:dyDescent="0.2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14</v>
      </c>
      <c r="G1098">
        <v>44641.197399999997</v>
      </c>
    </row>
    <row r="1099" spans="1:7" x14ac:dyDescent="0.2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2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14</v>
      </c>
      <c r="G1100">
        <v>23045.566159999998</v>
      </c>
    </row>
    <row r="1101" spans="1:7" x14ac:dyDescent="0.2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2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14</v>
      </c>
      <c r="G1102">
        <v>16776.304049999999</v>
      </c>
    </row>
    <row r="1103" spans="1:7" x14ac:dyDescent="0.2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2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 x14ac:dyDescent="0.2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 x14ac:dyDescent="0.2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2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 x14ac:dyDescent="0.2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13</v>
      </c>
      <c r="G1108">
        <v>8988.1587500000005</v>
      </c>
    </row>
    <row r="1109" spans="1:7" x14ac:dyDescent="0.2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13</v>
      </c>
      <c r="G1109">
        <v>10493.9458</v>
      </c>
    </row>
    <row r="1110" spans="1:7" x14ac:dyDescent="0.2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 x14ac:dyDescent="0.2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2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14</v>
      </c>
      <c r="G1112">
        <v>11512.405000000001</v>
      </c>
    </row>
    <row r="1113" spans="1:7" x14ac:dyDescent="0.2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2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 x14ac:dyDescent="0.2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13</v>
      </c>
      <c r="G1115">
        <v>5312.1698500000002</v>
      </c>
    </row>
    <row r="1116" spans="1:7" x14ac:dyDescent="0.2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14</v>
      </c>
      <c r="G1116">
        <v>2396.0958999999998</v>
      </c>
    </row>
    <row r="1117" spans="1:7" x14ac:dyDescent="0.2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 x14ac:dyDescent="0.2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14</v>
      </c>
      <c r="G1118">
        <v>9222.4025999999994</v>
      </c>
    </row>
    <row r="1119" spans="1:7" x14ac:dyDescent="0.2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2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 x14ac:dyDescent="0.2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13</v>
      </c>
      <c r="G1121">
        <v>5693.4305000000004</v>
      </c>
    </row>
    <row r="1122" spans="1:7" x14ac:dyDescent="0.2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2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2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13</v>
      </c>
      <c r="G1124">
        <v>46661.4424</v>
      </c>
    </row>
    <row r="1125" spans="1:7" x14ac:dyDescent="0.2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14</v>
      </c>
      <c r="G1125">
        <v>18903.491409999999</v>
      </c>
    </row>
    <row r="1126" spans="1:7" x14ac:dyDescent="0.2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14</v>
      </c>
      <c r="G1126">
        <v>40904.199500000002</v>
      </c>
    </row>
    <row r="1127" spans="1:7" x14ac:dyDescent="0.2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13</v>
      </c>
      <c r="G1127">
        <v>14254.608200000001</v>
      </c>
    </row>
    <row r="1128" spans="1:7" x14ac:dyDescent="0.2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 x14ac:dyDescent="0.2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 x14ac:dyDescent="0.2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 x14ac:dyDescent="0.2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 x14ac:dyDescent="0.2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 x14ac:dyDescent="0.2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 x14ac:dyDescent="0.2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14</v>
      </c>
      <c r="G1134">
        <v>20709.020339999999</v>
      </c>
    </row>
    <row r="1135" spans="1:7" x14ac:dyDescent="0.2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13</v>
      </c>
      <c r="G1135">
        <v>9991.0376500000002</v>
      </c>
    </row>
    <row r="1136" spans="1:7" x14ac:dyDescent="0.2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13</v>
      </c>
      <c r="G1136">
        <v>19673.335729999999</v>
      </c>
    </row>
    <row r="1137" spans="1:7" x14ac:dyDescent="0.2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13</v>
      </c>
      <c r="G1137">
        <v>11085.586799999999</v>
      </c>
    </row>
    <row r="1138" spans="1:7" x14ac:dyDescent="0.2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 x14ac:dyDescent="0.2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13</v>
      </c>
      <c r="G1139">
        <v>3176.2876999999999</v>
      </c>
    </row>
    <row r="1140" spans="1:7" x14ac:dyDescent="0.2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 x14ac:dyDescent="0.2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13</v>
      </c>
      <c r="G1141">
        <v>36898.733079999998</v>
      </c>
    </row>
    <row r="1142" spans="1:7" x14ac:dyDescent="0.2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 x14ac:dyDescent="0.2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 x14ac:dyDescent="0.2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2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 x14ac:dyDescent="0.2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2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13</v>
      </c>
      <c r="G1147">
        <v>11289.10925</v>
      </c>
    </row>
    <row r="1148" spans="1:7" x14ac:dyDescent="0.2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 x14ac:dyDescent="0.2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13</v>
      </c>
      <c r="G1149">
        <v>2261.5688</v>
      </c>
    </row>
    <row r="1150" spans="1:7" x14ac:dyDescent="0.2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 x14ac:dyDescent="0.2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2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14</v>
      </c>
      <c r="G1152">
        <v>2203.7359499999998</v>
      </c>
    </row>
    <row r="1153" spans="1:7" x14ac:dyDescent="0.2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13</v>
      </c>
      <c r="G1153">
        <v>12235.8392</v>
      </c>
    </row>
    <row r="1154" spans="1:7" x14ac:dyDescent="0.2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2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13</v>
      </c>
      <c r="G1155">
        <v>5630.4578499999998</v>
      </c>
    </row>
    <row r="1156" spans="1:7" x14ac:dyDescent="0.2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13</v>
      </c>
      <c r="G1156">
        <v>11015.1747</v>
      </c>
    </row>
    <row r="1157" spans="1:7" x14ac:dyDescent="0.2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14</v>
      </c>
      <c r="G1157">
        <v>7228.2156500000001</v>
      </c>
    </row>
    <row r="1158" spans="1:7" x14ac:dyDescent="0.2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2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13</v>
      </c>
      <c r="G1159">
        <v>14426.073850000001</v>
      </c>
    </row>
    <row r="1160" spans="1:7" x14ac:dyDescent="0.2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14</v>
      </c>
      <c r="G1160">
        <v>2459.7201</v>
      </c>
    </row>
    <row r="1161" spans="1:7" x14ac:dyDescent="0.2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 x14ac:dyDescent="0.2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13</v>
      </c>
      <c r="G1162">
        <v>7727.2532000000001</v>
      </c>
    </row>
    <row r="1163" spans="1:7" x14ac:dyDescent="0.2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 x14ac:dyDescent="0.2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 x14ac:dyDescent="0.2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14</v>
      </c>
      <c r="G1165">
        <v>2200.8308499999998</v>
      </c>
    </row>
    <row r="1166" spans="1:7" x14ac:dyDescent="0.2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13</v>
      </c>
      <c r="G1166">
        <v>7153.5538999999999</v>
      </c>
    </row>
    <row r="1167" spans="1:7" x14ac:dyDescent="0.2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14</v>
      </c>
      <c r="G1167">
        <v>5227.9887500000004</v>
      </c>
    </row>
    <row r="1168" spans="1:7" x14ac:dyDescent="0.2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2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2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 x14ac:dyDescent="0.2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13</v>
      </c>
      <c r="G1171">
        <v>6112.3529500000004</v>
      </c>
    </row>
    <row r="1172" spans="1:7" x14ac:dyDescent="0.2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14</v>
      </c>
      <c r="G1172">
        <v>17178.682400000002</v>
      </c>
    </row>
    <row r="1173" spans="1:7" x14ac:dyDescent="0.2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 x14ac:dyDescent="0.2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2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13</v>
      </c>
      <c r="G1175">
        <v>6457.8433999999997</v>
      </c>
    </row>
    <row r="1176" spans="1:7" x14ac:dyDescent="0.2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13</v>
      </c>
      <c r="G1176">
        <v>4433.9159</v>
      </c>
    </row>
    <row r="1177" spans="1:7" x14ac:dyDescent="0.2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2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13</v>
      </c>
      <c r="G1178">
        <v>23887.662700000001</v>
      </c>
    </row>
    <row r="1179" spans="1:7" x14ac:dyDescent="0.2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 x14ac:dyDescent="0.2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14</v>
      </c>
      <c r="G1180">
        <v>2899.4893499999998</v>
      </c>
    </row>
    <row r="1181" spans="1:7" x14ac:dyDescent="0.2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 x14ac:dyDescent="0.2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14</v>
      </c>
      <c r="G1182">
        <v>7650.7737500000003</v>
      </c>
    </row>
    <row r="1183" spans="1:7" x14ac:dyDescent="0.2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13</v>
      </c>
      <c r="G1183">
        <v>2850.6837500000001</v>
      </c>
    </row>
    <row r="1184" spans="1:7" x14ac:dyDescent="0.2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 x14ac:dyDescent="0.2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14</v>
      </c>
      <c r="G1185">
        <v>9447.3824000000004</v>
      </c>
    </row>
    <row r="1186" spans="1:7" x14ac:dyDescent="0.2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 x14ac:dyDescent="0.2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14</v>
      </c>
      <c r="G1187">
        <v>8603.8233999999993</v>
      </c>
    </row>
    <row r="1188" spans="1:7" x14ac:dyDescent="0.2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13</v>
      </c>
      <c r="G1188">
        <v>37465.34375</v>
      </c>
    </row>
    <row r="1189" spans="1:7" x14ac:dyDescent="0.2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13</v>
      </c>
      <c r="G1189">
        <v>13844.797200000001</v>
      </c>
    </row>
    <row r="1190" spans="1:7" x14ac:dyDescent="0.2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14</v>
      </c>
      <c r="G1190">
        <v>21771.3423</v>
      </c>
    </row>
    <row r="1191" spans="1:7" x14ac:dyDescent="0.2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 x14ac:dyDescent="0.2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13</v>
      </c>
      <c r="G1192">
        <v>5327.4002499999997</v>
      </c>
    </row>
    <row r="1193" spans="1:7" x14ac:dyDescent="0.2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14</v>
      </c>
      <c r="G1193">
        <v>13725.47184</v>
      </c>
    </row>
    <row r="1194" spans="1:7" x14ac:dyDescent="0.2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14</v>
      </c>
      <c r="G1194">
        <v>13019.161050000001</v>
      </c>
    </row>
    <row r="1195" spans="1:7" x14ac:dyDescent="0.2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13</v>
      </c>
      <c r="G1195">
        <v>8671.1912499999999</v>
      </c>
    </row>
    <row r="1196" spans="1:7" x14ac:dyDescent="0.2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13</v>
      </c>
      <c r="G1196">
        <v>4134.0824499999999</v>
      </c>
    </row>
    <row r="1197" spans="1:7" x14ac:dyDescent="0.2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13</v>
      </c>
      <c r="G1197">
        <v>18838.703659999999</v>
      </c>
    </row>
    <row r="1198" spans="1:7" x14ac:dyDescent="0.2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13</v>
      </c>
      <c r="G1198">
        <v>33307.550799999997</v>
      </c>
    </row>
    <row r="1199" spans="1:7" x14ac:dyDescent="0.2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 x14ac:dyDescent="0.2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13</v>
      </c>
      <c r="G1200">
        <v>6393.6034499999996</v>
      </c>
    </row>
    <row r="1201" spans="1:7" x14ac:dyDescent="0.2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2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13</v>
      </c>
      <c r="G1202">
        <v>6198.7518</v>
      </c>
    </row>
    <row r="1203" spans="1:7" x14ac:dyDescent="0.2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13</v>
      </c>
      <c r="G1203">
        <v>8733.2292500000003</v>
      </c>
    </row>
    <row r="1204" spans="1:7" x14ac:dyDescent="0.2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13</v>
      </c>
      <c r="G1204">
        <v>2055.3249000000001</v>
      </c>
    </row>
    <row r="1205" spans="1:7" x14ac:dyDescent="0.2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14</v>
      </c>
      <c r="G1205">
        <v>9964.06</v>
      </c>
    </row>
    <row r="1206" spans="1:7" x14ac:dyDescent="0.2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 x14ac:dyDescent="0.2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13</v>
      </c>
      <c r="G1207">
        <v>5116.5003999999999</v>
      </c>
    </row>
    <row r="1208" spans="1:7" x14ac:dyDescent="0.2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 x14ac:dyDescent="0.2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 x14ac:dyDescent="0.2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14</v>
      </c>
      <c r="G1210">
        <v>20296.863450000001</v>
      </c>
    </row>
    <row r="1211" spans="1:7" x14ac:dyDescent="0.2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2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13</v>
      </c>
      <c r="G1212">
        <v>5373.3642499999996</v>
      </c>
    </row>
    <row r="1213" spans="1:7" x14ac:dyDescent="0.2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 x14ac:dyDescent="0.2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14</v>
      </c>
      <c r="G1214">
        <v>1702.4553000000001</v>
      </c>
    </row>
    <row r="1215" spans="1:7" x14ac:dyDescent="0.2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 x14ac:dyDescent="0.2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13</v>
      </c>
      <c r="G1216">
        <v>3956.0714499999999</v>
      </c>
    </row>
    <row r="1217" spans="1:7" x14ac:dyDescent="0.2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14</v>
      </c>
      <c r="G1217">
        <v>12890.057650000001</v>
      </c>
    </row>
    <row r="1218" spans="1:7" x14ac:dyDescent="0.2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2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 x14ac:dyDescent="0.2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 x14ac:dyDescent="0.2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13</v>
      </c>
      <c r="G1221">
        <v>7537.1638999999996</v>
      </c>
    </row>
    <row r="1222" spans="1:7" x14ac:dyDescent="0.2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14</v>
      </c>
      <c r="G1222">
        <v>4718.2035500000002</v>
      </c>
    </row>
    <row r="1223" spans="1:7" x14ac:dyDescent="0.2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 x14ac:dyDescent="0.2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 x14ac:dyDescent="0.2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2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14</v>
      </c>
      <c r="G1226">
        <v>6858.4795999999997</v>
      </c>
    </row>
    <row r="1227" spans="1:7" x14ac:dyDescent="0.2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 x14ac:dyDescent="0.2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14</v>
      </c>
      <c r="G1228">
        <v>6640.5448500000002</v>
      </c>
    </row>
    <row r="1229" spans="1:7" x14ac:dyDescent="0.2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 x14ac:dyDescent="0.2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 x14ac:dyDescent="0.2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14</v>
      </c>
      <c r="G1231">
        <v>11938.255950000001</v>
      </c>
    </row>
    <row r="1232" spans="1:7" x14ac:dyDescent="0.2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13</v>
      </c>
      <c r="G1232">
        <v>60021.398970000002</v>
      </c>
    </row>
    <row r="1233" spans="1:7" x14ac:dyDescent="0.2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 x14ac:dyDescent="0.2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13</v>
      </c>
      <c r="G1234">
        <v>12479.70895</v>
      </c>
    </row>
    <row r="1235" spans="1:7" x14ac:dyDescent="0.2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 x14ac:dyDescent="0.2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2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13</v>
      </c>
      <c r="G1237">
        <v>2699.56835</v>
      </c>
    </row>
    <row r="1238" spans="1:7" x14ac:dyDescent="0.2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14</v>
      </c>
      <c r="G1238">
        <v>14449.8544</v>
      </c>
    </row>
    <row r="1239" spans="1:7" x14ac:dyDescent="0.2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13</v>
      </c>
      <c r="G1239">
        <v>12224.350850000001</v>
      </c>
    </row>
    <row r="1240" spans="1:7" x14ac:dyDescent="0.2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14</v>
      </c>
      <c r="G1240">
        <v>6985.50695</v>
      </c>
    </row>
    <row r="1241" spans="1:7" x14ac:dyDescent="0.2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2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2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2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13</v>
      </c>
      <c r="G1244">
        <v>4296.2712000000001</v>
      </c>
    </row>
    <row r="1245" spans="1:7" x14ac:dyDescent="0.2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2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 x14ac:dyDescent="0.2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 x14ac:dyDescent="0.2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 x14ac:dyDescent="0.2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 x14ac:dyDescent="0.2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2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14</v>
      </c>
      <c r="G1251">
        <v>37607.527699999999</v>
      </c>
    </row>
    <row r="1252" spans="1:7" x14ac:dyDescent="0.2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14</v>
      </c>
      <c r="G1252">
        <v>18648.421699999999</v>
      </c>
    </row>
    <row r="1253" spans="1:7" x14ac:dyDescent="0.2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2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 x14ac:dyDescent="0.2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 x14ac:dyDescent="0.2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 x14ac:dyDescent="0.2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 x14ac:dyDescent="0.2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13</v>
      </c>
      <c r="G1258">
        <v>11436.738149999999</v>
      </c>
    </row>
    <row r="1259" spans="1:7" x14ac:dyDescent="0.2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13</v>
      </c>
      <c r="G1259">
        <v>11305.93455</v>
      </c>
    </row>
    <row r="1260" spans="1:7" x14ac:dyDescent="0.2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13</v>
      </c>
      <c r="G1260">
        <v>30063.580549999999</v>
      </c>
    </row>
    <row r="1261" spans="1:7" x14ac:dyDescent="0.2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14</v>
      </c>
      <c r="G1261">
        <v>10197.772199999999</v>
      </c>
    </row>
    <row r="1262" spans="1:7" x14ac:dyDescent="0.2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14</v>
      </c>
      <c r="G1262">
        <v>4544.2348000000002</v>
      </c>
    </row>
    <row r="1263" spans="1:7" x14ac:dyDescent="0.2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 x14ac:dyDescent="0.2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 x14ac:dyDescent="0.2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 x14ac:dyDescent="0.2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14</v>
      </c>
      <c r="G1266">
        <v>10370.912549999999</v>
      </c>
    </row>
    <row r="1267" spans="1:7" x14ac:dyDescent="0.2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 x14ac:dyDescent="0.2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 x14ac:dyDescent="0.2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14</v>
      </c>
      <c r="G1269">
        <v>34254.053350000002</v>
      </c>
    </row>
    <row r="1270" spans="1:7" x14ac:dyDescent="0.2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 x14ac:dyDescent="0.2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 x14ac:dyDescent="0.2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13</v>
      </c>
      <c r="G1272">
        <v>3292.5298499999999</v>
      </c>
    </row>
    <row r="1273" spans="1:7" x14ac:dyDescent="0.2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13</v>
      </c>
      <c r="G1273">
        <v>3021.80915</v>
      </c>
    </row>
    <row r="1274" spans="1:7" x14ac:dyDescent="0.2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 x14ac:dyDescent="0.2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 x14ac:dyDescent="0.2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2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 x14ac:dyDescent="0.2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14</v>
      </c>
      <c r="G1278">
        <v>2741.9479999999999</v>
      </c>
    </row>
    <row r="1279" spans="1:7" x14ac:dyDescent="0.2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13</v>
      </c>
      <c r="G1279">
        <v>4357.0436499999996</v>
      </c>
    </row>
    <row r="1280" spans="1:7" x14ac:dyDescent="0.2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14</v>
      </c>
      <c r="G1280">
        <v>22462.043750000001</v>
      </c>
    </row>
    <row r="1281" spans="1:7" x14ac:dyDescent="0.2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13</v>
      </c>
      <c r="G1281">
        <v>4189.1130999999996</v>
      </c>
    </row>
    <row r="1282" spans="1:7" x14ac:dyDescent="0.2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 x14ac:dyDescent="0.2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13</v>
      </c>
      <c r="G1283">
        <v>24535.698550000001</v>
      </c>
    </row>
    <row r="1284" spans="1:7" x14ac:dyDescent="0.2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14</v>
      </c>
      <c r="G1284">
        <v>14283.4594</v>
      </c>
    </row>
    <row r="1285" spans="1:7" x14ac:dyDescent="0.2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2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2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14</v>
      </c>
      <c r="G1287">
        <v>8534.6718000000001</v>
      </c>
    </row>
    <row r="1288" spans="1:7" x14ac:dyDescent="0.2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14</v>
      </c>
      <c r="G1288">
        <v>3732.6251000000002</v>
      </c>
    </row>
    <row r="1289" spans="1:7" x14ac:dyDescent="0.2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 x14ac:dyDescent="0.2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 x14ac:dyDescent="0.2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2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14</v>
      </c>
      <c r="G1292">
        <v>7133.9025000000001</v>
      </c>
    </row>
    <row r="1293" spans="1:7" x14ac:dyDescent="0.2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2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 x14ac:dyDescent="0.2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13</v>
      </c>
      <c r="G1295">
        <v>9301.8935500000007</v>
      </c>
    </row>
    <row r="1296" spans="1:7" x14ac:dyDescent="0.2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14</v>
      </c>
      <c r="G1296">
        <v>11931.125249999999</v>
      </c>
    </row>
    <row r="1297" spans="1:7" x14ac:dyDescent="0.2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2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14</v>
      </c>
      <c r="G1298">
        <v>1708.9257500000001</v>
      </c>
    </row>
    <row r="1299" spans="1:7" x14ac:dyDescent="0.2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 x14ac:dyDescent="0.2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13</v>
      </c>
      <c r="G1300">
        <v>5261.4694499999996</v>
      </c>
    </row>
    <row r="1301" spans="1:7" x14ac:dyDescent="0.2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13</v>
      </c>
      <c r="G1301">
        <v>2710.8285500000002</v>
      </c>
    </row>
    <row r="1302" spans="1:7" x14ac:dyDescent="0.2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2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13</v>
      </c>
      <c r="G1303">
        <v>46718.163249999998</v>
      </c>
    </row>
    <row r="1304" spans="1:7" x14ac:dyDescent="0.2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2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2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14</v>
      </c>
      <c r="G1306">
        <v>21259.377949999998</v>
      </c>
    </row>
    <row r="1307" spans="1:7" x14ac:dyDescent="0.2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 x14ac:dyDescent="0.2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14</v>
      </c>
      <c r="G1308">
        <v>16115.3045</v>
      </c>
    </row>
    <row r="1309" spans="1:7" x14ac:dyDescent="0.2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13</v>
      </c>
      <c r="G1309">
        <v>21472.478800000001</v>
      </c>
    </row>
    <row r="1310" spans="1:7" x14ac:dyDescent="0.2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2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 x14ac:dyDescent="0.2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13</v>
      </c>
      <c r="G1312">
        <v>6940.90985</v>
      </c>
    </row>
    <row r="1313" spans="1:7" x14ac:dyDescent="0.2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13</v>
      </c>
      <c r="G1313">
        <v>4571.4130500000001</v>
      </c>
    </row>
    <row r="1314" spans="1:7" x14ac:dyDescent="0.2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 x14ac:dyDescent="0.2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 x14ac:dyDescent="0.2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13</v>
      </c>
      <c r="G1316">
        <v>18765.87545</v>
      </c>
    </row>
    <row r="1317" spans="1:7" x14ac:dyDescent="0.2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14</v>
      </c>
      <c r="G1317">
        <v>11272.331389999999</v>
      </c>
    </row>
    <row r="1318" spans="1:7" x14ac:dyDescent="0.2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2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2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14</v>
      </c>
      <c r="G1320">
        <v>19496.71917</v>
      </c>
    </row>
    <row r="1321" spans="1:7" x14ac:dyDescent="0.2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13</v>
      </c>
      <c r="G1321">
        <v>7201.7008500000002</v>
      </c>
    </row>
    <row r="1322" spans="1:7" x14ac:dyDescent="0.2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13</v>
      </c>
      <c r="G1322">
        <v>5425.0233500000004</v>
      </c>
    </row>
    <row r="1323" spans="1:7" x14ac:dyDescent="0.2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14</v>
      </c>
      <c r="G1323">
        <v>28101.333050000001</v>
      </c>
    </row>
    <row r="1324" spans="1:7" x14ac:dyDescent="0.2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2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 x14ac:dyDescent="0.2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13</v>
      </c>
      <c r="G1326">
        <v>4239.8926499999998</v>
      </c>
    </row>
    <row r="1327" spans="1:7" x14ac:dyDescent="0.2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14</v>
      </c>
      <c r="G1327">
        <v>13143.336649999999</v>
      </c>
    </row>
    <row r="1328" spans="1:7" x14ac:dyDescent="0.2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14</v>
      </c>
      <c r="G1328">
        <v>7050.0213000000003</v>
      </c>
    </row>
    <row r="1329" spans="1:7" x14ac:dyDescent="0.2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2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14</v>
      </c>
      <c r="G1330">
        <v>22395.74424</v>
      </c>
    </row>
    <row r="1331" spans="1:7" x14ac:dyDescent="0.2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2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2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 x14ac:dyDescent="0.2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2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13</v>
      </c>
      <c r="G1335">
        <v>10600.5483</v>
      </c>
    </row>
    <row r="1336" spans="1:7" x14ac:dyDescent="0.2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14</v>
      </c>
      <c r="G1336">
        <v>2205.9807999999998</v>
      </c>
    </row>
    <row r="1337" spans="1:7" x14ac:dyDescent="0.2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 x14ac:dyDescent="0.2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2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13</v>
      </c>
      <c r="G1339">
        <v>29141.3603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A822A7-7854-884D-B311-EEDCDE9940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Dashboard</vt:lpstr>
      <vt:lpstr>Analysis</vt:lpstr>
      <vt:lpstr>Cleaned_Data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 Bilski</dc:creator>
  <cp:lastModifiedBy>Erica Bilski</cp:lastModifiedBy>
  <dcterms:created xsi:type="dcterms:W3CDTF">2026-05-16T01:48:34Z</dcterms:created>
  <dcterms:modified xsi:type="dcterms:W3CDTF">2026-05-31T19:59:14Z</dcterms:modified>
</cp:coreProperties>
</file>